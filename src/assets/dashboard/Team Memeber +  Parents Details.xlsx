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HP 830 G6\Downloads\"/>
    </mc:Choice>
  </mc:AlternateContent>
  <xr:revisionPtr revIDLastSave="0" documentId="13_ncr:1_{B140B230-D57F-4F8F-A101-22AC61D8BA8C}" xr6:coauthVersionLast="47" xr6:coauthVersionMax="47" xr10:uidLastSave="{00000000-0000-0000-0000-000000000000}"/>
  <bookViews>
    <workbookView xWindow="-110" yWindow="-110" windowWidth="19420" windowHeight="10300" xr2:uid="{00000000-000D-0000-FFFF-FFFF00000000}"/>
  </bookViews>
  <sheets>
    <sheet name="Data" sheetId="1" r:id="rId1"/>
    <sheet name="Data_Check" sheetId="2" state="hidden" r:id="rId2"/>
    <sheet name="Data_Val" sheetId="3" state="hidden" r:id="rId3"/>
  </sheets>
  <externalReferences>
    <externalReference r:id="rId4"/>
  </externalReferences>
  <calcPr calcId="191029"/>
</workbook>
</file>

<file path=xl/calcChain.xml><?xml version="1.0" encoding="utf-8"?>
<calcChain xmlns="http://schemas.openxmlformats.org/spreadsheetml/2006/main">
  <c r="C3" i="1" l="1"/>
  <c r="C4" i="1"/>
  <c r="C5" i="1"/>
  <c r="C6" i="1"/>
  <c r="C7" i="1"/>
  <c r="C8" i="1"/>
  <c r="C9" i="1"/>
  <c r="C10" i="1"/>
  <c r="C11" i="1"/>
  <c r="C2" i="1"/>
  <c r="Q1001" i="2"/>
  <c r="P1001" i="2"/>
  <c r="O1001" i="2"/>
  <c r="N1001" i="2"/>
  <c r="M1001" i="2"/>
  <c r="L1001" i="2"/>
  <c r="K1001" i="2"/>
  <c r="J1001" i="2"/>
  <c r="I1001" i="2"/>
  <c r="H1001" i="2"/>
  <c r="G1001" i="2"/>
  <c r="F1001" i="2"/>
  <c r="E1001" i="2"/>
  <c r="D1001" i="2"/>
  <c r="C1001" i="2"/>
  <c r="A1001" i="2"/>
  <c r="Q1000" i="2"/>
  <c r="P1000" i="2"/>
  <c r="O1000" i="2"/>
  <c r="N1000" i="2"/>
  <c r="M1000" i="2"/>
  <c r="L1000" i="2"/>
  <c r="K1000" i="2"/>
  <c r="J1000" i="2"/>
  <c r="I1000" i="2"/>
  <c r="H1000" i="2"/>
  <c r="G1000" i="2"/>
  <c r="F1000" i="2"/>
  <c r="E1000" i="2"/>
  <c r="D1000" i="2"/>
  <c r="C1000" i="2"/>
  <c r="A1000" i="2"/>
  <c r="Q999" i="2"/>
  <c r="P999" i="2"/>
  <c r="O999" i="2"/>
  <c r="N999" i="2"/>
  <c r="M999" i="2"/>
  <c r="L999" i="2"/>
  <c r="K999" i="2"/>
  <c r="J999" i="2"/>
  <c r="I999" i="2"/>
  <c r="H999" i="2"/>
  <c r="G999" i="2"/>
  <c r="F999" i="2"/>
  <c r="E999" i="2"/>
  <c r="D999" i="2"/>
  <c r="C999" i="2"/>
  <c r="A999" i="2"/>
  <c r="Q998" i="2"/>
  <c r="P998" i="2"/>
  <c r="O998" i="2"/>
  <c r="N998" i="2"/>
  <c r="M998" i="2"/>
  <c r="L998" i="2"/>
  <c r="K998" i="2"/>
  <c r="J998" i="2"/>
  <c r="I998" i="2"/>
  <c r="H998" i="2"/>
  <c r="G998" i="2"/>
  <c r="F998" i="2"/>
  <c r="E998" i="2"/>
  <c r="D998" i="2"/>
  <c r="C998" i="2"/>
  <c r="A998" i="2"/>
  <c r="Q997" i="2"/>
  <c r="P997" i="2"/>
  <c r="O997" i="2"/>
  <c r="N997" i="2"/>
  <c r="M997" i="2"/>
  <c r="L997" i="2"/>
  <c r="K997" i="2"/>
  <c r="J997" i="2"/>
  <c r="I997" i="2"/>
  <c r="H997" i="2"/>
  <c r="G997" i="2"/>
  <c r="F997" i="2"/>
  <c r="E997" i="2"/>
  <c r="D997" i="2"/>
  <c r="C997" i="2"/>
  <c r="A997" i="2"/>
  <c r="Q996" i="2"/>
  <c r="P996" i="2"/>
  <c r="O996" i="2"/>
  <c r="N996" i="2"/>
  <c r="M996" i="2"/>
  <c r="L996" i="2"/>
  <c r="K996" i="2"/>
  <c r="J996" i="2"/>
  <c r="I996" i="2"/>
  <c r="H996" i="2"/>
  <c r="G996" i="2"/>
  <c r="F996" i="2"/>
  <c r="E996" i="2"/>
  <c r="D996" i="2"/>
  <c r="C996" i="2"/>
  <c r="A996" i="2"/>
  <c r="Q995" i="2"/>
  <c r="P995" i="2"/>
  <c r="O995" i="2"/>
  <c r="N995" i="2"/>
  <c r="M995" i="2"/>
  <c r="L995" i="2"/>
  <c r="K995" i="2"/>
  <c r="J995" i="2"/>
  <c r="I995" i="2"/>
  <c r="H995" i="2"/>
  <c r="G995" i="2"/>
  <c r="F995" i="2"/>
  <c r="E995" i="2"/>
  <c r="D995" i="2"/>
  <c r="C995" i="2"/>
  <c r="A995" i="2"/>
  <c r="Q994" i="2"/>
  <c r="P994" i="2"/>
  <c r="O994" i="2"/>
  <c r="N994" i="2"/>
  <c r="M994" i="2"/>
  <c r="L994" i="2"/>
  <c r="K994" i="2"/>
  <c r="J994" i="2"/>
  <c r="I994" i="2"/>
  <c r="H994" i="2"/>
  <c r="G994" i="2"/>
  <c r="F994" i="2"/>
  <c r="E994" i="2"/>
  <c r="D994" i="2"/>
  <c r="C994" i="2"/>
  <c r="A994" i="2"/>
  <c r="Q993" i="2"/>
  <c r="P993" i="2"/>
  <c r="O993" i="2"/>
  <c r="N993" i="2"/>
  <c r="M993" i="2"/>
  <c r="L993" i="2"/>
  <c r="K993" i="2"/>
  <c r="J993" i="2"/>
  <c r="I993" i="2"/>
  <c r="H993" i="2"/>
  <c r="G993" i="2"/>
  <c r="F993" i="2"/>
  <c r="E993" i="2"/>
  <c r="D993" i="2"/>
  <c r="C993" i="2"/>
  <c r="A993" i="2"/>
  <c r="Q992" i="2"/>
  <c r="P992" i="2"/>
  <c r="O992" i="2"/>
  <c r="N992" i="2"/>
  <c r="M992" i="2"/>
  <c r="L992" i="2"/>
  <c r="K992" i="2"/>
  <c r="J992" i="2"/>
  <c r="I992" i="2"/>
  <c r="H992" i="2"/>
  <c r="G992" i="2"/>
  <c r="F992" i="2"/>
  <c r="E992" i="2"/>
  <c r="D992" i="2"/>
  <c r="C992" i="2"/>
  <c r="A992" i="2"/>
  <c r="Q991" i="2"/>
  <c r="P991" i="2"/>
  <c r="O991" i="2"/>
  <c r="N991" i="2"/>
  <c r="M991" i="2"/>
  <c r="L991" i="2"/>
  <c r="K991" i="2"/>
  <c r="J991" i="2"/>
  <c r="I991" i="2"/>
  <c r="H991" i="2"/>
  <c r="G991" i="2"/>
  <c r="F991" i="2"/>
  <c r="E991" i="2"/>
  <c r="D991" i="2"/>
  <c r="C991" i="2"/>
  <c r="A991" i="2"/>
  <c r="Q990" i="2"/>
  <c r="P990" i="2"/>
  <c r="O990" i="2"/>
  <c r="N990" i="2"/>
  <c r="M990" i="2"/>
  <c r="L990" i="2"/>
  <c r="K990" i="2"/>
  <c r="J990" i="2"/>
  <c r="I990" i="2"/>
  <c r="H990" i="2"/>
  <c r="G990" i="2"/>
  <c r="F990" i="2"/>
  <c r="E990" i="2"/>
  <c r="D990" i="2"/>
  <c r="C990" i="2"/>
  <c r="A990" i="2"/>
  <c r="Q989" i="2"/>
  <c r="P989" i="2"/>
  <c r="O989" i="2"/>
  <c r="N989" i="2"/>
  <c r="M989" i="2"/>
  <c r="L989" i="2"/>
  <c r="K989" i="2"/>
  <c r="J989" i="2"/>
  <c r="I989" i="2"/>
  <c r="H989" i="2"/>
  <c r="G989" i="2"/>
  <c r="F989" i="2"/>
  <c r="E989" i="2"/>
  <c r="D989" i="2"/>
  <c r="C989" i="2"/>
  <c r="A989" i="2"/>
  <c r="Q988" i="2"/>
  <c r="P988" i="2"/>
  <c r="O988" i="2"/>
  <c r="N988" i="2"/>
  <c r="M988" i="2"/>
  <c r="L988" i="2"/>
  <c r="K988" i="2"/>
  <c r="J988" i="2"/>
  <c r="I988" i="2"/>
  <c r="H988" i="2"/>
  <c r="G988" i="2"/>
  <c r="F988" i="2"/>
  <c r="E988" i="2"/>
  <c r="D988" i="2"/>
  <c r="C988" i="2"/>
  <c r="A988" i="2"/>
  <c r="Q987" i="2"/>
  <c r="P987" i="2"/>
  <c r="O987" i="2"/>
  <c r="N987" i="2"/>
  <c r="M987" i="2"/>
  <c r="L987" i="2"/>
  <c r="K987" i="2"/>
  <c r="J987" i="2"/>
  <c r="I987" i="2"/>
  <c r="H987" i="2"/>
  <c r="G987" i="2"/>
  <c r="F987" i="2"/>
  <c r="E987" i="2"/>
  <c r="D987" i="2"/>
  <c r="C987" i="2"/>
  <c r="A987" i="2"/>
  <c r="Q986" i="2"/>
  <c r="P986" i="2"/>
  <c r="O986" i="2"/>
  <c r="N986" i="2"/>
  <c r="M986" i="2"/>
  <c r="L986" i="2"/>
  <c r="K986" i="2"/>
  <c r="J986" i="2"/>
  <c r="I986" i="2"/>
  <c r="H986" i="2"/>
  <c r="G986" i="2"/>
  <c r="F986" i="2"/>
  <c r="E986" i="2"/>
  <c r="D986" i="2"/>
  <c r="C986" i="2"/>
  <c r="A986" i="2"/>
  <c r="Q985" i="2"/>
  <c r="P985" i="2"/>
  <c r="O985" i="2"/>
  <c r="N985" i="2"/>
  <c r="M985" i="2"/>
  <c r="L985" i="2"/>
  <c r="K985" i="2"/>
  <c r="J985" i="2"/>
  <c r="I985" i="2"/>
  <c r="H985" i="2"/>
  <c r="G985" i="2"/>
  <c r="F985" i="2"/>
  <c r="E985" i="2"/>
  <c r="D985" i="2"/>
  <c r="C985" i="2"/>
  <c r="A985" i="2"/>
  <c r="Q984" i="2"/>
  <c r="P984" i="2"/>
  <c r="O984" i="2"/>
  <c r="N984" i="2"/>
  <c r="M984" i="2"/>
  <c r="L984" i="2"/>
  <c r="K984" i="2"/>
  <c r="J984" i="2"/>
  <c r="I984" i="2"/>
  <c r="H984" i="2"/>
  <c r="G984" i="2"/>
  <c r="F984" i="2"/>
  <c r="E984" i="2"/>
  <c r="D984" i="2"/>
  <c r="C984" i="2"/>
  <c r="A984" i="2"/>
  <c r="Q983" i="2"/>
  <c r="P983" i="2"/>
  <c r="O983" i="2"/>
  <c r="N983" i="2"/>
  <c r="M983" i="2"/>
  <c r="L983" i="2"/>
  <c r="K983" i="2"/>
  <c r="J983" i="2"/>
  <c r="I983" i="2"/>
  <c r="H983" i="2"/>
  <c r="G983" i="2"/>
  <c r="F983" i="2"/>
  <c r="E983" i="2"/>
  <c r="D983" i="2"/>
  <c r="C983" i="2"/>
  <c r="A983" i="2"/>
  <c r="Q982" i="2"/>
  <c r="P982" i="2"/>
  <c r="O982" i="2"/>
  <c r="N982" i="2"/>
  <c r="M982" i="2"/>
  <c r="L982" i="2"/>
  <c r="K982" i="2"/>
  <c r="J982" i="2"/>
  <c r="I982" i="2"/>
  <c r="H982" i="2"/>
  <c r="G982" i="2"/>
  <c r="F982" i="2"/>
  <c r="E982" i="2"/>
  <c r="D982" i="2"/>
  <c r="C982" i="2"/>
  <c r="A982" i="2"/>
  <c r="Q981" i="2"/>
  <c r="P981" i="2"/>
  <c r="O981" i="2"/>
  <c r="N981" i="2"/>
  <c r="M981" i="2"/>
  <c r="L981" i="2"/>
  <c r="K981" i="2"/>
  <c r="J981" i="2"/>
  <c r="I981" i="2"/>
  <c r="H981" i="2"/>
  <c r="G981" i="2"/>
  <c r="F981" i="2"/>
  <c r="E981" i="2"/>
  <c r="D981" i="2"/>
  <c r="C981" i="2"/>
  <c r="A981" i="2"/>
  <c r="Q980" i="2"/>
  <c r="P980" i="2"/>
  <c r="O980" i="2"/>
  <c r="N980" i="2"/>
  <c r="M980" i="2"/>
  <c r="L980" i="2"/>
  <c r="K980" i="2"/>
  <c r="J980" i="2"/>
  <c r="I980" i="2"/>
  <c r="H980" i="2"/>
  <c r="G980" i="2"/>
  <c r="F980" i="2"/>
  <c r="E980" i="2"/>
  <c r="D980" i="2"/>
  <c r="C980" i="2"/>
  <c r="A980" i="2"/>
  <c r="Q979" i="2"/>
  <c r="P979" i="2"/>
  <c r="O979" i="2"/>
  <c r="N979" i="2"/>
  <c r="M979" i="2"/>
  <c r="L979" i="2"/>
  <c r="K979" i="2"/>
  <c r="J979" i="2"/>
  <c r="I979" i="2"/>
  <c r="H979" i="2"/>
  <c r="G979" i="2"/>
  <c r="F979" i="2"/>
  <c r="E979" i="2"/>
  <c r="D979" i="2"/>
  <c r="C979" i="2"/>
  <c r="A979" i="2"/>
  <c r="Q978" i="2"/>
  <c r="P978" i="2"/>
  <c r="O978" i="2"/>
  <c r="N978" i="2"/>
  <c r="M978" i="2"/>
  <c r="L978" i="2"/>
  <c r="K978" i="2"/>
  <c r="J978" i="2"/>
  <c r="I978" i="2"/>
  <c r="H978" i="2"/>
  <c r="G978" i="2"/>
  <c r="F978" i="2"/>
  <c r="E978" i="2"/>
  <c r="D978" i="2"/>
  <c r="C978" i="2"/>
  <c r="A978" i="2"/>
  <c r="Q977" i="2"/>
  <c r="P977" i="2"/>
  <c r="O977" i="2"/>
  <c r="N977" i="2"/>
  <c r="M977" i="2"/>
  <c r="L977" i="2"/>
  <c r="K977" i="2"/>
  <c r="J977" i="2"/>
  <c r="I977" i="2"/>
  <c r="H977" i="2"/>
  <c r="G977" i="2"/>
  <c r="F977" i="2"/>
  <c r="E977" i="2"/>
  <c r="D977" i="2"/>
  <c r="C977" i="2"/>
  <c r="A977" i="2"/>
  <c r="Q976" i="2"/>
  <c r="P976" i="2"/>
  <c r="O976" i="2"/>
  <c r="N976" i="2"/>
  <c r="M976" i="2"/>
  <c r="L976" i="2"/>
  <c r="K976" i="2"/>
  <c r="J976" i="2"/>
  <c r="I976" i="2"/>
  <c r="H976" i="2"/>
  <c r="G976" i="2"/>
  <c r="F976" i="2"/>
  <c r="E976" i="2"/>
  <c r="D976" i="2"/>
  <c r="C976" i="2"/>
  <c r="A976" i="2"/>
  <c r="Q975" i="2"/>
  <c r="P975" i="2"/>
  <c r="O975" i="2"/>
  <c r="N975" i="2"/>
  <c r="M975" i="2"/>
  <c r="L975" i="2"/>
  <c r="K975" i="2"/>
  <c r="J975" i="2"/>
  <c r="I975" i="2"/>
  <c r="H975" i="2"/>
  <c r="G975" i="2"/>
  <c r="F975" i="2"/>
  <c r="E975" i="2"/>
  <c r="D975" i="2"/>
  <c r="C975" i="2"/>
  <c r="A975" i="2"/>
  <c r="Q974" i="2"/>
  <c r="P974" i="2"/>
  <c r="O974" i="2"/>
  <c r="N974" i="2"/>
  <c r="M974" i="2"/>
  <c r="L974" i="2"/>
  <c r="K974" i="2"/>
  <c r="J974" i="2"/>
  <c r="I974" i="2"/>
  <c r="H974" i="2"/>
  <c r="G974" i="2"/>
  <c r="F974" i="2"/>
  <c r="E974" i="2"/>
  <c r="D974" i="2"/>
  <c r="C974" i="2"/>
  <c r="A974" i="2"/>
  <c r="Q973" i="2"/>
  <c r="P973" i="2"/>
  <c r="O973" i="2"/>
  <c r="N973" i="2"/>
  <c r="M973" i="2"/>
  <c r="L973" i="2"/>
  <c r="K973" i="2"/>
  <c r="J973" i="2"/>
  <c r="I973" i="2"/>
  <c r="H973" i="2"/>
  <c r="G973" i="2"/>
  <c r="F973" i="2"/>
  <c r="E973" i="2"/>
  <c r="D973" i="2"/>
  <c r="C973" i="2"/>
  <c r="A973" i="2"/>
  <c r="Q972" i="2"/>
  <c r="P972" i="2"/>
  <c r="O972" i="2"/>
  <c r="N972" i="2"/>
  <c r="M972" i="2"/>
  <c r="L972" i="2"/>
  <c r="K972" i="2"/>
  <c r="J972" i="2"/>
  <c r="I972" i="2"/>
  <c r="H972" i="2"/>
  <c r="G972" i="2"/>
  <c r="F972" i="2"/>
  <c r="E972" i="2"/>
  <c r="D972" i="2"/>
  <c r="C972" i="2"/>
  <c r="A972" i="2"/>
  <c r="Q971" i="2"/>
  <c r="P971" i="2"/>
  <c r="O971" i="2"/>
  <c r="N971" i="2"/>
  <c r="M971" i="2"/>
  <c r="L971" i="2"/>
  <c r="K971" i="2"/>
  <c r="J971" i="2"/>
  <c r="I971" i="2"/>
  <c r="H971" i="2"/>
  <c r="G971" i="2"/>
  <c r="F971" i="2"/>
  <c r="E971" i="2"/>
  <c r="D971" i="2"/>
  <c r="C971" i="2"/>
  <c r="A971" i="2"/>
  <c r="Q970" i="2"/>
  <c r="P970" i="2"/>
  <c r="O970" i="2"/>
  <c r="N970" i="2"/>
  <c r="M970" i="2"/>
  <c r="L970" i="2"/>
  <c r="K970" i="2"/>
  <c r="J970" i="2"/>
  <c r="I970" i="2"/>
  <c r="H970" i="2"/>
  <c r="G970" i="2"/>
  <c r="F970" i="2"/>
  <c r="E970" i="2"/>
  <c r="D970" i="2"/>
  <c r="C970" i="2"/>
  <c r="A970" i="2"/>
  <c r="Q969" i="2"/>
  <c r="P969" i="2"/>
  <c r="O969" i="2"/>
  <c r="N969" i="2"/>
  <c r="M969" i="2"/>
  <c r="L969" i="2"/>
  <c r="K969" i="2"/>
  <c r="J969" i="2"/>
  <c r="I969" i="2"/>
  <c r="H969" i="2"/>
  <c r="G969" i="2"/>
  <c r="F969" i="2"/>
  <c r="E969" i="2"/>
  <c r="D969" i="2"/>
  <c r="C969" i="2"/>
  <c r="A969" i="2"/>
  <c r="Q968" i="2"/>
  <c r="P968" i="2"/>
  <c r="O968" i="2"/>
  <c r="N968" i="2"/>
  <c r="M968" i="2"/>
  <c r="L968" i="2"/>
  <c r="K968" i="2"/>
  <c r="J968" i="2"/>
  <c r="I968" i="2"/>
  <c r="H968" i="2"/>
  <c r="G968" i="2"/>
  <c r="F968" i="2"/>
  <c r="E968" i="2"/>
  <c r="D968" i="2"/>
  <c r="C968" i="2"/>
  <c r="A968" i="2"/>
  <c r="Q967" i="2"/>
  <c r="P967" i="2"/>
  <c r="O967" i="2"/>
  <c r="N967" i="2"/>
  <c r="M967" i="2"/>
  <c r="L967" i="2"/>
  <c r="K967" i="2"/>
  <c r="J967" i="2"/>
  <c r="I967" i="2"/>
  <c r="H967" i="2"/>
  <c r="G967" i="2"/>
  <c r="F967" i="2"/>
  <c r="E967" i="2"/>
  <c r="D967" i="2"/>
  <c r="C967" i="2"/>
  <c r="A967" i="2"/>
  <c r="Q966" i="2"/>
  <c r="P966" i="2"/>
  <c r="O966" i="2"/>
  <c r="N966" i="2"/>
  <c r="M966" i="2"/>
  <c r="L966" i="2"/>
  <c r="K966" i="2"/>
  <c r="J966" i="2"/>
  <c r="I966" i="2"/>
  <c r="H966" i="2"/>
  <c r="G966" i="2"/>
  <c r="F966" i="2"/>
  <c r="E966" i="2"/>
  <c r="D966" i="2"/>
  <c r="C966" i="2"/>
  <c r="A966" i="2"/>
  <c r="Q965" i="2"/>
  <c r="P965" i="2"/>
  <c r="O965" i="2"/>
  <c r="N965" i="2"/>
  <c r="M965" i="2"/>
  <c r="L965" i="2"/>
  <c r="K965" i="2"/>
  <c r="J965" i="2"/>
  <c r="I965" i="2"/>
  <c r="H965" i="2"/>
  <c r="G965" i="2"/>
  <c r="F965" i="2"/>
  <c r="E965" i="2"/>
  <c r="D965" i="2"/>
  <c r="C965" i="2"/>
  <c r="A965" i="2"/>
  <c r="Q964" i="2"/>
  <c r="P964" i="2"/>
  <c r="O964" i="2"/>
  <c r="N964" i="2"/>
  <c r="M964" i="2"/>
  <c r="L964" i="2"/>
  <c r="K964" i="2"/>
  <c r="J964" i="2"/>
  <c r="I964" i="2"/>
  <c r="H964" i="2"/>
  <c r="G964" i="2"/>
  <c r="F964" i="2"/>
  <c r="E964" i="2"/>
  <c r="D964" i="2"/>
  <c r="C964" i="2"/>
  <c r="A964" i="2"/>
  <c r="Q963" i="2"/>
  <c r="P963" i="2"/>
  <c r="O963" i="2"/>
  <c r="N963" i="2"/>
  <c r="M963" i="2"/>
  <c r="L963" i="2"/>
  <c r="K963" i="2"/>
  <c r="J963" i="2"/>
  <c r="I963" i="2"/>
  <c r="H963" i="2"/>
  <c r="G963" i="2"/>
  <c r="F963" i="2"/>
  <c r="E963" i="2"/>
  <c r="D963" i="2"/>
  <c r="C963" i="2"/>
  <c r="A963" i="2"/>
  <c r="Q962" i="2"/>
  <c r="P962" i="2"/>
  <c r="O962" i="2"/>
  <c r="N962" i="2"/>
  <c r="M962" i="2"/>
  <c r="L962" i="2"/>
  <c r="K962" i="2"/>
  <c r="J962" i="2"/>
  <c r="I962" i="2"/>
  <c r="H962" i="2"/>
  <c r="G962" i="2"/>
  <c r="F962" i="2"/>
  <c r="E962" i="2"/>
  <c r="D962" i="2"/>
  <c r="C962" i="2"/>
  <c r="A962" i="2"/>
  <c r="Q961" i="2"/>
  <c r="P961" i="2"/>
  <c r="O961" i="2"/>
  <c r="N961" i="2"/>
  <c r="M961" i="2"/>
  <c r="L961" i="2"/>
  <c r="K961" i="2"/>
  <c r="J961" i="2"/>
  <c r="I961" i="2"/>
  <c r="H961" i="2"/>
  <c r="G961" i="2"/>
  <c r="F961" i="2"/>
  <c r="E961" i="2"/>
  <c r="D961" i="2"/>
  <c r="C961" i="2"/>
  <c r="A961" i="2"/>
  <c r="Q960" i="2"/>
  <c r="P960" i="2"/>
  <c r="O960" i="2"/>
  <c r="N960" i="2"/>
  <c r="M960" i="2"/>
  <c r="L960" i="2"/>
  <c r="K960" i="2"/>
  <c r="J960" i="2"/>
  <c r="I960" i="2"/>
  <c r="H960" i="2"/>
  <c r="G960" i="2"/>
  <c r="F960" i="2"/>
  <c r="E960" i="2"/>
  <c r="D960" i="2"/>
  <c r="C960" i="2"/>
  <c r="A960" i="2"/>
  <c r="Q959" i="2"/>
  <c r="P959" i="2"/>
  <c r="O959" i="2"/>
  <c r="N959" i="2"/>
  <c r="M959" i="2"/>
  <c r="L959" i="2"/>
  <c r="K959" i="2"/>
  <c r="J959" i="2"/>
  <c r="I959" i="2"/>
  <c r="H959" i="2"/>
  <c r="G959" i="2"/>
  <c r="F959" i="2"/>
  <c r="E959" i="2"/>
  <c r="D959" i="2"/>
  <c r="C959" i="2"/>
  <c r="A959" i="2"/>
  <c r="Q958" i="2"/>
  <c r="P958" i="2"/>
  <c r="O958" i="2"/>
  <c r="N958" i="2"/>
  <c r="M958" i="2"/>
  <c r="L958" i="2"/>
  <c r="K958" i="2"/>
  <c r="J958" i="2"/>
  <c r="I958" i="2"/>
  <c r="H958" i="2"/>
  <c r="G958" i="2"/>
  <c r="F958" i="2"/>
  <c r="E958" i="2"/>
  <c r="D958" i="2"/>
  <c r="C958" i="2"/>
  <c r="A958" i="2"/>
  <c r="Q957" i="2"/>
  <c r="P957" i="2"/>
  <c r="O957" i="2"/>
  <c r="N957" i="2"/>
  <c r="M957" i="2"/>
  <c r="L957" i="2"/>
  <c r="K957" i="2"/>
  <c r="J957" i="2"/>
  <c r="I957" i="2"/>
  <c r="H957" i="2"/>
  <c r="G957" i="2"/>
  <c r="F957" i="2"/>
  <c r="E957" i="2"/>
  <c r="D957" i="2"/>
  <c r="C957" i="2"/>
  <c r="A957" i="2"/>
  <c r="Q956" i="2"/>
  <c r="P956" i="2"/>
  <c r="O956" i="2"/>
  <c r="N956" i="2"/>
  <c r="M956" i="2"/>
  <c r="L956" i="2"/>
  <c r="K956" i="2"/>
  <c r="J956" i="2"/>
  <c r="I956" i="2"/>
  <c r="H956" i="2"/>
  <c r="G956" i="2"/>
  <c r="F956" i="2"/>
  <c r="E956" i="2"/>
  <c r="D956" i="2"/>
  <c r="C956" i="2"/>
  <c r="A956" i="2"/>
  <c r="Q955" i="2"/>
  <c r="P955" i="2"/>
  <c r="O955" i="2"/>
  <c r="N955" i="2"/>
  <c r="M955" i="2"/>
  <c r="L955" i="2"/>
  <c r="K955" i="2"/>
  <c r="J955" i="2"/>
  <c r="I955" i="2"/>
  <c r="H955" i="2"/>
  <c r="G955" i="2"/>
  <c r="F955" i="2"/>
  <c r="E955" i="2"/>
  <c r="D955" i="2"/>
  <c r="C955" i="2"/>
  <c r="A955" i="2"/>
  <c r="Q954" i="2"/>
  <c r="P954" i="2"/>
  <c r="O954" i="2"/>
  <c r="N954" i="2"/>
  <c r="M954" i="2"/>
  <c r="L954" i="2"/>
  <c r="K954" i="2"/>
  <c r="J954" i="2"/>
  <c r="I954" i="2"/>
  <c r="H954" i="2"/>
  <c r="G954" i="2"/>
  <c r="F954" i="2"/>
  <c r="E954" i="2"/>
  <c r="D954" i="2"/>
  <c r="C954" i="2"/>
  <c r="A954" i="2"/>
  <c r="Q953" i="2"/>
  <c r="P953" i="2"/>
  <c r="O953" i="2"/>
  <c r="N953" i="2"/>
  <c r="M953" i="2"/>
  <c r="L953" i="2"/>
  <c r="K953" i="2"/>
  <c r="J953" i="2"/>
  <c r="I953" i="2"/>
  <c r="H953" i="2"/>
  <c r="G953" i="2"/>
  <c r="F953" i="2"/>
  <c r="E953" i="2"/>
  <c r="D953" i="2"/>
  <c r="C953" i="2"/>
  <c r="A953" i="2"/>
  <c r="Q952" i="2"/>
  <c r="P952" i="2"/>
  <c r="O952" i="2"/>
  <c r="N952" i="2"/>
  <c r="M952" i="2"/>
  <c r="L952" i="2"/>
  <c r="K952" i="2"/>
  <c r="J952" i="2"/>
  <c r="I952" i="2"/>
  <c r="H952" i="2"/>
  <c r="G952" i="2"/>
  <c r="F952" i="2"/>
  <c r="E952" i="2"/>
  <c r="D952" i="2"/>
  <c r="C952" i="2"/>
  <c r="A952" i="2"/>
  <c r="Q951" i="2"/>
  <c r="P951" i="2"/>
  <c r="O951" i="2"/>
  <c r="N951" i="2"/>
  <c r="M951" i="2"/>
  <c r="L951" i="2"/>
  <c r="K951" i="2"/>
  <c r="J951" i="2"/>
  <c r="I951" i="2"/>
  <c r="H951" i="2"/>
  <c r="G951" i="2"/>
  <c r="F951" i="2"/>
  <c r="E951" i="2"/>
  <c r="D951" i="2"/>
  <c r="C951" i="2"/>
  <c r="A951" i="2"/>
  <c r="Q950" i="2"/>
  <c r="P950" i="2"/>
  <c r="O950" i="2"/>
  <c r="N950" i="2"/>
  <c r="M950" i="2"/>
  <c r="L950" i="2"/>
  <c r="K950" i="2"/>
  <c r="J950" i="2"/>
  <c r="I950" i="2"/>
  <c r="H950" i="2"/>
  <c r="G950" i="2"/>
  <c r="F950" i="2"/>
  <c r="E950" i="2"/>
  <c r="D950" i="2"/>
  <c r="C950" i="2"/>
  <c r="A950" i="2"/>
  <c r="Q949" i="2"/>
  <c r="P949" i="2"/>
  <c r="O949" i="2"/>
  <c r="N949" i="2"/>
  <c r="M949" i="2"/>
  <c r="L949" i="2"/>
  <c r="K949" i="2"/>
  <c r="J949" i="2"/>
  <c r="I949" i="2"/>
  <c r="H949" i="2"/>
  <c r="G949" i="2"/>
  <c r="F949" i="2"/>
  <c r="E949" i="2"/>
  <c r="D949" i="2"/>
  <c r="C949" i="2"/>
  <c r="A949" i="2"/>
  <c r="Q948" i="2"/>
  <c r="P948" i="2"/>
  <c r="O948" i="2"/>
  <c r="N948" i="2"/>
  <c r="M948" i="2"/>
  <c r="L948" i="2"/>
  <c r="K948" i="2"/>
  <c r="J948" i="2"/>
  <c r="I948" i="2"/>
  <c r="H948" i="2"/>
  <c r="G948" i="2"/>
  <c r="F948" i="2"/>
  <c r="E948" i="2"/>
  <c r="D948" i="2"/>
  <c r="C948" i="2"/>
  <c r="A948" i="2"/>
  <c r="Q947" i="2"/>
  <c r="P947" i="2"/>
  <c r="O947" i="2"/>
  <c r="N947" i="2"/>
  <c r="M947" i="2"/>
  <c r="L947" i="2"/>
  <c r="K947" i="2"/>
  <c r="J947" i="2"/>
  <c r="I947" i="2"/>
  <c r="H947" i="2"/>
  <c r="G947" i="2"/>
  <c r="F947" i="2"/>
  <c r="E947" i="2"/>
  <c r="D947" i="2"/>
  <c r="C947" i="2"/>
  <c r="A947" i="2"/>
  <c r="Q946" i="2"/>
  <c r="P946" i="2"/>
  <c r="O946" i="2"/>
  <c r="N946" i="2"/>
  <c r="M946" i="2"/>
  <c r="L946" i="2"/>
  <c r="K946" i="2"/>
  <c r="J946" i="2"/>
  <c r="I946" i="2"/>
  <c r="H946" i="2"/>
  <c r="G946" i="2"/>
  <c r="F946" i="2"/>
  <c r="E946" i="2"/>
  <c r="D946" i="2"/>
  <c r="C946" i="2"/>
  <c r="A946" i="2"/>
  <c r="Q945" i="2"/>
  <c r="P945" i="2"/>
  <c r="O945" i="2"/>
  <c r="N945" i="2"/>
  <c r="M945" i="2"/>
  <c r="L945" i="2"/>
  <c r="K945" i="2"/>
  <c r="J945" i="2"/>
  <c r="I945" i="2"/>
  <c r="H945" i="2"/>
  <c r="G945" i="2"/>
  <c r="F945" i="2"/>
  <c r="E945" i="2"/>
  <c r="D945" i="2"/>
  <c r="C945" i="2"/>
  <c r="A945" i="2"/>
  <c r="Q944" i="2"/>
  <c r="P944" i="2"/>
  <c r="O944" i="2"/>
  <c r="N944" i="2"/>
  <c r="M944" i="2"/>
  <c r="L944" i="2"/>
  <c r="K944" i="2"/>
  <c r="J944" i="2"/>
  <c r="I944" i="2"/>
  <c r="H944" i="2"/>
  <c r="G944" i="2"/>
  <c r="F944" i="2"/>
  <c r="E944" i="2"/>
  <c r="D944" i="2"/>
  <c r="C944" i="2"/>
  <c r="A944" i="2"/>
  <c r="Q943" i="2"/>
  <c r="P943" i="2"/>
  <c r="O943" i="2"/>
  <c r="N943" i="2"/>
  <c r="M943" i="2"/>
  <c r="L943" i="2"/>
  <c r="K943" i="2"/>
  <c r="J943" i="2"/>
  <c r="I943" i="2"/>
  <c r="H943" i="2"/>
  <c r="G943" i="2"/>
  <c r="F943" i="2"/>
  <c r="E943" i="2"/>
  <c r="D943" i="2"/>
  <c r="C943" i="2"/>
  <c r="A943" i="2"/>
  <c r="Q942" i="2"/>
  <c r="P942" i="2"/>
  <c r="O942" i="2"/>
  <c r="N942" i="2"/>
  <c r="M942" i="2"/>
  <c r="L942" i="2"/>
  <c r="K942" i="2"/>
  <c r="J942" i="2"/>
  <c r="I942" i="2"/>
  <c r="H942" i="2"/>
  <c r="G942" i="2"/>
  <c r="F942" i="2"/>
  <c r="E942" i="2"/>
  <c r="D942" i="2"/>
  <c r="C942" i="2"/>
  <c r="A942" i="2"/>
  <c r="Q941" i="2"/>
  <c r="P941" i="2"/>
  <c r="O941" i="2"/>
  <c r="N941" i="2"/>
  <c r="M941" i="2"/>
  <c r="L941" i="2"/>
  <c r="K941" i="2"/>
  <c r="J941" i="2"/>
  <c r="I941" i="2"/>
  <c r="H941" i="2"/>
  <c r="G941" i="2"/>
  <c r="F941" i="2"/>
  <c r="E941" i="2"/>
  <c r="D941" i="2"/>
  <c r="C941" i="2"/>
  <c r="A941" i="2"/>
  <c r="Q940" i="2"/>
  <c r="P940" i="2"/>
  <c r="O940" i="2"/>
  <c r="N940" i="2"/>
  <c r="M940" i="2"/>
  <c r="L940" i="2"/>
  <c r="K940" i="2"/>
  <c r="J940" i="2"/>
  <c r="I940" i="2"/>
  <c r="H940" i="2"/>
  <c r="G940" i="2"/>
  <c r="F940" i="2"/>
  <c r="E940" i="2"/>
  <c r="D940" i="2"/>
  <c r="C940" i="2"/>
  <c r="A940" i="2"/>
  <c r="Q939" i="2"/>
  <c r="P939" i="2"/>
  <c r="O939" i="2"/>
  <c r="N939" i="2"/>
  <c r="M939" i="2"/>
  <c r="L939" i="2"/>
  <c r="K939" i="2"/>
  <c r="J939" i="2"/>
  <c r="I939" i="2"/>
  <c r="H939" i="2"/>
  <c r="G939" i="2"/>
  <c r="F939" i="2"/>
  <c r="E939" i="2"/>
  <c r="D939" i="2"/>
  <c r="C939" i="2"/>
  <c r="A939" i="2"/>
  <c r="Q938" i="2"/>
  <c r="P938" i="2"/>
  <c r="O938" i="2"/>
  <c r="N938" i="2"/>
  <c r="M938" i="2"/>
  <c r="L938" i="2"/>
  <c r="K938" i="2"/>
  <c r="J938" i="2"/>
  <c r="I938" i="2"/>
  <c r="H938" i="2"/>
  <c r="G938" i="2"/>
  <c r="F938" i="2"/>
  <c r="E938" i="2"/>
  <c r="D938" i="2"/>
  <c r="C938" i="2"/>
  <c r="A938" i="2"/>
  <c r="Q937" i="2"/>
  <c r="P937" i="2"/>
  <c r="O937" i="2"/>
  <c r="N937" i="2"/>
  <c r="M937" i="2"/>
  <c r="L937" i="2"/>
  <c r="K937" i="2"/>
  <c r="J937" i="2"/>
  <c r="I937" i="2"/>
  <c r="H937" i="2"/>
  <c r="G937" i="2"/>
  <c r="F937" i="2"/>
  <c r="E937" i="2"/>
  <c r="D937" i="2"/>
  <c r="C937" i="2"/>
  <c r="A937" i="2"/>
  <c r="Q936" i="2"/>
  <c r="P936" i="2"/>
  <c r="O936" i="2"/>
  <c r="N936" i="2"/>
  <c r="M936" i="2"/>
  <c r="L936" i="2"/>
  <c r="K936" i="2"/>
  <c r="J936" i="2"/>
  <c r="I936" i="2"/>
  <c r="H936" i="2"/>
  <c r="G936" i="2"/>
  <c r="F936" i="2"/>
  <c r="E936" i="2"/>
  <c r="D936" i="2"/>
  <c r="C936" i="2"/>
  <c r="A936" i="2"/>
  <c r="Q935" i="2"/>
  <c r="P935" i="2"/>
  <c r="O935" i="2"/>
  <c r="N935" i="2"/>
  <c r="M935" i="2"/>
  <c r="L935" i="2"/>
  <c r="K935" i="2"/>
  <c r="J935" i="2"/>
  <c r="I935" i="2"/>
  <c r="H935" i="2"/>
  <c r="G935" i="2"/>
  <c r="F935" i="2"/>
  <c r="E935" i="2"/>
  <c r="D935" i="2"/>
  <c r="C935" i="2"/>
  <c r="A935" i="2"/>
  <c r="Q934" i="2"/>
  <c r="P934" i="2"/>
  <c r="O934" i="2"/>
  <c r="N934" i="2"/>
  <c r="M934" i="2"/>
  <c r="L934" i="2"/>
  <c r="K934" i="2"/>
  <c r="J934" i="2"/>
  <c r="I934" i="2"/>
  <c r="H934" i="2"/>
  <c r="G934" i="2"/>
  <c r="F934" i="2"/>
  <c r="E934" i="2"/>
  <c r="D934" i="2"/>
  <c r="C934" i="2"/>
  <c r="A934" i="2"/>
  <c r="Q933" i="2"/>
  <c r="P933" i="2"/>
  <c r="O933" i="2"/>
  <c r="N933" i="2"/>
  <c r="M933" i="2"/>
  <c r="L933" i="2"/>
  <c r="K933" i="2"/>
  <c r="J933" i="2"/>
  <c r="I933" i="2"/>
  <c r="H933" i="2"/>
  <c r="G933" i="2"/>
  <c r="F933" i="2"/>
  <c r="E933" i="2"/>
  <c r="D933" i="2"/>
  <c r="C933" i="2"/>
  <c r="A933" i="2"/>
  <c r="Q932" i="2"/>
  <c r="P932" i="2"/>
  <c r="O932" i="2"/>
  <c r="N932" i="2"/>
  <c r="M932" i="2"/>
  <c r="L932" i="2"/>
  <c r="K932" i="2"/>
  <c r="J932" i="2"/>
  <c r="I932" i="2"/>
  <c r="H932" i="2"/>
  <c r="G932" i="2"/>
  <c r="F932" i="2"/>
  <c r="E932" i="2"/>
  <c r="D932" i="2"/>
  <c r="C932" i="2"/>
  <c r="A932" i="2"/>
  <c r="Q931" i="2"/>
  <c r="P931" i="2"/>
  <c r="O931" i="2"/>
  <c r="N931" i="2"/>
  <c r="M931" i="2"/>
  <c r="L931" i="2"/>
  <c r="K931" i="2"/>
  <c r="J931" i="2"/>
  <c r="I931" i="2"/>
  <c r="H931" i="2"/>
  <c r="G931" i="2"/>
  <c r="F931" i="2"/>
  <c r="E931" i="2"/>
  <c r="D931" i="2"/>
  <c r="C931" i="2"/>
  <c r="A931" i="2"/>
  <c r="Q930" i="2"/>
  <c r="P930" i="2"/>
  <c r="O930" i="2"/>
  <c r="N930" i="2"/>
  <c r="M930" i="2"/>
  <c r="L930" i="2"/>
  <c r="K930" i="2"/>
  <c r="J930" i="2"/>
  <c r="I930" i="2"/>
  <c r="H930" i="2"/>
  <c r="G930" i="2"/>
  <c r="F930" i="2"/>
  <c r="E930" i="2"/>
  <c r="D930" i="2"/>
  <c r="C930" i="2"/>
  <c r="A930" i="2"/>
  <c r="Q929" i="2"/>
  <c r="P929" i="2"/>
  <c r="O929" i="2"/>
  <c r="N929" i="2"/>
  <c r="M929" i="2"/>
  <c r="L929" i="2"/>
  <c r="K929" i="2"/>
  <c r="J929" i="2"/>
  <c r="I929" i="2"/>
  <c r="H929" i="2"/>
  <c r="G929" i="2"/>
  <c r="F929" i="2"/>
  <c r="E929" i="2"/>
  <c r="D929" i="2"/>
  <c r="C929" i="2"/>
  <c r="A929" i="2"/>
  <c r="Q928" i="2"/>
  <c r="P928" i="2"/>
  <c r="O928" i="2"/>
  <c r="N928" i="2"/>
  <c r="M928" i="2"/>
  <c r="L928" i="2"/>
  <c r="K928" i="2"/>
  <c r="J928" i="2"/>
  <c r="I928" i="2"/>
  <c r="H928" i="2"/>
  <c r="G928" i="2"/>
  <c r="F928" i="2"/>
  <c r="E928" i="2"/>
  <c r="D928" i="2"/>
  <c r="C928" i="2"/>
  <c r="A928" i="2"/>
  <c r="Q927" i="2"/>
  <c r="P927" i="2"/>
  <c r="O927" i="2"/>
  <c r="N927" i="2"/>
  <c r="M927" i="2"/>
  <c r="L927" i="2"/>
  <c r="K927" i="2"/>
  <c r="J927" i="2"/>
  <c r="I927" i="2"/>
  <c r="H927" i="2"/>
  <c r="G927" i="2"/>
  <c r="F927" i="2"/>
  <c r="E927" i="2"/>
  <c r="D927" i="2"/>
  <c r="C927" i="2"/>
  <c r="A927" i="2"/>
  <c r="Q926" i="2"/>
  <c r="P926" i="2"/>
  <c r="O926" i="2"/>
  <c r="N926" i="2"/>
  <c r="M926" i="2"/>
  <c r="L926" i="2"/>
  <c r="K926" i="2"/>
  <c r="J926" i="2"/>
  <c r="I926" i="2"/>
  <c r="H926" i="2"/>
  <c r="G926" i="2"/>
  <c r="F926" i="2"/>
  <c r="E926" i="2"/>
  <c r="D926" i="2"/>
  <c r="C926" i="2"/>
  <c r="A926" i="2"/>
  <c r="Q925" i="2"/>
  <c r="P925" i="2"/>
  <c r="O925" i="2"/>
  <c r="N925" i="2"/>
  <c r="M925" i="2"/>
  <c r="L925" i="2"/>
  <c r="K925" i="2"/>
  <c r="J925" i="2"/>
  <c r="I925" i="2"/>
  <c r="H925" i="2"/>
  <c r="G925" i="2"/>
  <c r="F925" i="2"/>
  <c r="E925" i="2"/>
  <c r="D925" i="2"/>
  <c r="C925" i="2"/>
  <c r="A925" i="2"/>
  <c r="Q924" i="2"/>
  <c r="P924" i="2"/>
  <c r="O924" i="2"/>
  <c r="N924" i="2"/>
  <c r="M924" i="2"/>
  <c r="L924" i="2"/>
  <c r="K924" i="2"/>
  <c r="J924" i="2"/>
  <c r="I924" i="2"/>
  <c r="H924" i="2"/>
  <c r="G924" i="2"/>
  <c r="F924" i="2"/>
  <c r="E924" i="2"/>
  <c r="D924" i="2"/>
  <c r="C924" i="2"/>
  <c r="A924" i="2"/>
  <c r="Q923" i="2"/>
  <c r="P923" i="2"/>
  <c r="O923" i="2"/>
  <c r="N923" i="2"/>
  <c r="M923" i="2"/>
  <c r="L923" i="2"/>
  <c r="K923" i="2"/>
  <c r="J923" i="2"/>
  <c r="I923" i="2"/>
  <c r="H923" i="2"/>
  <c r="G923" i="2"/>
  <c r="F923" i="2"/>
  <c r="E923" i="2"/>
  <c r="D923" i="2"/>
  <c r="C923" i="2"/>
  <c r="A923" i="2"/>
  <c r="Q922" i="2"/>
  <c r="P922" i="2"/>
  <c r="O922" i="2"/>
  <c r="N922" i="2"/>
  <c r="M922" i="2"/>
  <c r="L922" i="2"/>
  <c r="K922" i="2"/>
  <c r="J922" i="2"/>
  <c r="I922" i="2"/>
  <c r="H922" i="2"/>
  <c r="G922" i="2"/>
  <c r="F922" i="2"/>
  <c r="E922" i="2"/>
  <c r="D922" i="2"/>
  <c r="C922" i="2"/>
  <c r="A922" i="2"/>
  <c r="Q921" i="2"/>
  <c r="P921" i="2"/>
  <c r="O921" i="2"/>
  <c r="N921" i="2"/>
  <c r="M921" i="2"/>
  <c r="L921" i="2"/>
  <c r="K921" i="2"/>
  <c r="J921" i="2"/>
  <c r="I921" i="2"/>
  <c r="H921" i="2"/>
  <c r="G921" i="2"/>
  <c r="F921" i="2"/>
  <c r="E921" i="2"/>
  <c r="D921" i="2"/>
  <c r="C921" i="2"/>
  <c r="A921" i="2"/>
  <c r="Q920" i="2"/>
  <c r="P920" i="2"/>
  <c r="O920" i="2"/>
  <c r="N920" i="2"/>
  <c r="M920" i="2"/>
  <c r="L920" i="2"/>
  <c r="K920" i="2"/>
  <c r="J920" i="2"/>
  <c r="I920" i="2"/>
  <c r="H920" i="2"/>
  <c r="G920" i="2"/>
  <c r="F920" i="2"/>
  <c r="E920" i="2"/>
  <c r="D920" i="2"/>
  <c r="C920" i="2"/>
  <c r="A920" i="2"/>
  <c r="Q919" i="2"/>
  <c r="P919" i="2"/>
  <c r="O919" i="2"/>
  <c r="N919" i="2"/>
  <c r="M919" i="2"/>
  <c r="L919" i="2"/>
  <c r="K919" i="2"/>
  <c r="J919" i="2"/>
  <c r="I919" i="2"/>
  <c r="H919" i="2"/>
  <c r="G919" i="2"/>
  <c r="F919" i="2"/>
  <c r="E919" i="2"/>
  <c r="D919" i="2"/>
  <c r="C919" i="2"/>
  <c r="A919" i="2"/>
  <c r="Q918" i="2"/>
  <c r="P918" i="2"/>
  <c r="O918" i="2"/>
  <c r="N918" i="2"/>
  <c r="M918" i="2"/>
  <c r="L918" i="2"/>
  <c r="K918" i="2"/>
  <c r="J918" i="2"/>
  <c r="I918" i="2"/>
  <c r="H918" i="2"/>
  <c r="G918" i="2"/>
  <c r="F918" i="2"/>
  <c r="E918" i="2"/>
  <c r="D918" i="2"/>
  <c r="C918" i="2"/>
  <c r="A918" i="2"/>
  <c r="Q917" i="2"/>
  <c r="P917" i="2"/>
  <c r="O917" i="2"/>
  <c r="N917" i="2"/>
  <c r="M917" i="2"/>
  <c r="L917" i="2"/>
  <c r="K917" i="2"/>
  <c r="J917" i="2"/>
  <c r="I917" i="2"/>
  <c r="H917" i="2"/>
  <c r="G917" i="2"/>
  <c r="F917" i="2"/>
  <c r="E917" i="2"/>
  <c r="D917" i="2"/>
  <c r="C917" i="2"/>
  <c r="A917" i="2"/>
  <c r="Q916" i="2"/>
  <c r="P916" i="2"/>
  <c r="O916" i="2"/>
  <c r="N916" i="2"/>
  <c r="M916" i="2"/>
  <c r="L916" i="2"/>
  <c r="K916" i="2"/>
  <c r="J916" i="2"/>
  <c r="I916" i="2"/>
  <c r="H916" i="2"/>
  <c r="G916" i="2"/>
  <c r="F916" i="2"/>
  <c r="E916" i="2"/>
  <c r="D916" i="2"/>
  <c r="C916" i="2"/>
  <c r="A916" i="2"/>
  <c r="Q915" i="2"/>
  <c r="P915" i="2"/>
  <c r="O915" i="2"/>
  <c r="N915" i="2"/>
  <c r="M915" i="2"/>
  <c r="L915" i="2"/>
  <c r="K915" i="2"/>
  <c r="J915" i="2"/>
  <c r="I915" i="2"/>
  <c r="H915" i="2"/>
  <c r="G915" i="2"/>
  <c r="F915" i="2"/>
  <c r="E915" i="2"/>
  <c r="D915" i="2"/>
  <c r="C915" i="2"/>
  <c r="A915" i="2"/>
  <c r="Q914" i="2"/>
  <c r="P914" i="2"/>
  <c r="O914" i="2"/>
  <c r="N914" i="2"/>
  <c r="M914" i="2"/>
  <c r="L914" i="2"/>
  <c r="K914" i="2"/>
  <c r="J914" i="2"/>
  <c r="I914" i="2"/>
  <c r="H914" i="2"/>
  <c r="G914" i="2"/>
  <c r="F914" i="2"/>
  <c r="E914" i="2"/>
  <c r="D914" i="2"/>
  <c r="C914" i="2"/>
  <c r="A914" i="2"/>
  <c r="Q913" i="2"/>
  <c r="P913" i="2"/>
  <c r="O913" i="2"/>
  <c r="N913" i="2"/>
  <c r="M913" i="2"/>
  <c r="L913" i="2"/>
  <c r="K913" i="2"/>
  <c r="J913" i="2"/>
  <c r="I913" i="2"/>
  <c r="H913" i="2"/>
  <c r="G913" i="2"/>
  <c r="F913" i="2"/>
  <c r="E913" i="2"/>
  <c r="D913" i="2"/>
  <c r="C913" i="2"/>
  <c r="A913" i="2"/>
  <c r="Q912" i="2"/>
  <c r="P912" i="2"/>
  <c r="O912" i="2"/>
  <c r="N912" i="2"/>
  <c r="M912" i="2"/>
  <c r="L912" i="2"/>
  <c r="K912" i="2"/>
  <c r="J912" i="2"/>
  <c r="I912" i="2"/>
  <c r="H912" i="2"/>
  <c r="G912" i="2"/>
  <c r="F912" i="2"/>
  <c r="E912" i="2"/>
  <c r="D912" i="2"/>
  <c r="C912" i="2"/>
  <c r="A912" i="2"/>
  <c r="Q911" i="2"/>
  <c r="P911" i="2"/>
  <c r="O911" i="2"/>
  <c r="N911" i="2"/>
  <c r="M911" i="2"/>
  <c r="L911" i="2"/>
  <c r="K911" i="2"/>
  <c r="J911" i="2"/>
  <c r="I911" i="2"/>
  <c r="H911" i="2"/>
  <c r="G911" i="2"/>
  <c r="F911" i="2"/>
  <c r="E911" i="2"/>
  <c r="D911" i="2"/>
  <c r="C911" i="2"/>
  <c r="A911" i="2"/>
  <c r="Q910" i="2"/>
  <c r="P910" i="2"/>
  <c r="O910" i="2"/>
  <c r="N910" i="2"/>
  <c r="M910" i="2"/>
  <c r="L910" i="2"/>
  <c r="K910" i="2"/>
  <c r="J910" i="2"/>
  <c r="I910" i="2"/>
  <c r="H910" i="2"/>
  <c r="G910" i="2"/>
  <c r="F910" i="2"/>
  <c r="E910" i="2"/>
  <c r="D910" i="2"/>
  <c r="C910" i="2"/>
  <c r="A910" i="2"/>
  <c r="Q909" i="2"/>
  <c r="P909" i="2"/>
  <c r="O909" i="2"/>
  <c r="N909" i="2"/>
  <c r="M909" i="2"/>
  <c r="L909" i="2"/>
  <c r="K909" i="2"/>
  <c r="J909" i="2"/>
  <c r="I909" i="2"/>
  <c r="H909" i="2"/>
  <c r="G909" i="2"/>
  <c r="F909" i="2"/>
  <c r="E909" i="2"/>
  <c r="D909" i="2"/>
  <c r="C909" i="2"/>
  <c r="A909" i="2"/>
  <c r="Q908" i="2"/>
  <c r="P908" i="2"/>
  <c r="O908" i="2"/>
  <c r="N908" i="2"/>
  <c r="M908" i="2"/>
  <c r="L908" i="2"/>
  <c r="K908" i="2"/>
  <c r="J908" i="2"/>
  <c r="I908" i="2"/>
  <c r="H908" i="2"/>
  <c r="G908" i="2"/>
  <c r="F908" i="2"/>
  <c r="E908" i="2"/>
  <c r="D908" i="2"/>
  <c r="C908" i="2"/>
  <c r="A908" i="2"/>
  <c r="Q907" i="2"/>
  <c r="P907" i="2"/>
  <c r="O907" i="2"/>
  <c r="N907" i="2"/>
  <c r="M907" i="2"/>
  <c r="L907" i="2"/>
  <c r="K907" i="2"/>
  <c r="J907" i="2"/>
  <c r="I907" i="2"/>
  <c r="H907" i="2"/>
  <c r="G907" i="2"/>
  <c r="F907" i="2"/>
  <c r="E907" i="2"/>
  <c r="D907" i="2"/>
  <c r="C907" i="2"/>
  <c r="A907" i="2"/>
  <c r="Q906" i="2"/>
  <c r="P906" i="2"/>
  <c r="O906" i="2"/>
  <c r="N906" i="2"/>
  <c r="M906" i="2"/>
  <c r="L906" i="2"/>
  <c r="K906" i="2"/>
  <c r="J906" i="2"/>
  <c r="I906" i="2"/>
  <c r="H906" i="2"/>
  <c r="G906" i="2"/>
  <c r="F906" i="2"/>
  <c r="E906" i="2"/>
  <c r="D906" i="2"/>
  <c r="C906" i="2"/>
  <c r="A906" i="2"/>
  <c r="Q905" i="2"/>
  <c r="P905" i="2"/>
  <c r="O905" i="2"/>
  <c r="N905" i="2"/>
  <c r="M905" i="2"/>
  <c r="L905" i="2"/>
  <c r="K905" i="2"/>
  <c r="J905" i="2"/>
  <c r="I905" i="2"/>
  <c r="H905" i="2"/>
  <c r="G905" i="2"/>
  <c r="F905" i="2"/>
  <c r="E905" i="2"/>
  <c r="D905" i="2"/>
  <c r="C905" i="2"/>
  <c r="A905" i="2"/>
  <c r="Q904" i="2"/>
  <c r="P904" i="2"/>
  <c r="O904" i="2"/>
  <c r="N904" i="2"/>
  <c r="M904" i="2"/>
  <c r="L904" i="2"/>
  <c r="K904" i="2"/>
  <c r="J904" i="2"/>
  <c r="I904" i="2"/>
  <c r="H904" i="2"/>
  <c r="G904" i="2"/>
  <c r="F904" i="2"/>
  <c r="E904" i="2"/>
  <c r="D904" i="2"/>
  <c r="C904" i="2"/>
  <c r="A904" i="2"/>
  <c r="Q903" i="2"/>
  <c r="P903" i="2"/>
  <c r="O903" i="2"/>
  <c r="N903" i="2"/>
  <c r="M903" i="2"/>
  <c r="L903" i="2"/>
  <c r="K903" i="2"/>
  <c r="J903" i="2"/>
  <c r="I903" i="2"/>
  <c r="H903" i="2"/>
  <c r="G903" i="2"/>
  <c r="F903" i="2"/>
  <c r="E903" i="2"/>
  <c r="D903" i="2"/>
  <c r="C903" i="2"/>
  <c r="A903" i="2"/>
  <c r="Q902" i="2"/>
  <c r="P902" i="2"/>
  <c r="O902" i="2"/>
  <c r="N902" i="2"/>
  <c r="M902" i="2"/>
  <c r="L902" i="2"/>
  <c r="K902" i="2"/>
  <c r="J902" i="2"/>
  <c r="I902" i="2"/>
  <c r="H902" i="2"/>
  <c r="G902" i="2"/>
  <c r="F902" i="2"/>
  <c r="E902" i="2"/>
  <c r="D902" i="2"/>
  <c r="C902" i="2"/>
  <c r="A902" i="2"/>
  <c r="Q901" i="2"/>
  <c r="P901" i="2"/>
  <c r="O901" i="2"/>
  <c r="N901" i="2"/>
  <c r="M901" i="2"/>
  <c r="L901" i="2"/>
  <c r="K901" i="2"/>
  <c r="J901" i="2"/>
  <c r="I901" i="2"/>
  <c r="H901" i="2"/>
  <c r="G901" i="2"/>
  <c r="F901" i="2"/>
  <c r="E901" i="2"/>
  <c r="D901" i="2"/>
  <c r="C901" i="2"/>
  <c r="A901" i="2"/>
  <c r="Q900" i="2"/>
  <c r="P900" i="2"/>
  <c r="O900" i="2"/>
  <c r="N900" i="2"/>
  <c r="M900" i="2"/>
  <c r="L900" i="2"/>
  <c r="K900" i="2"/>
  <c r="J900" i="2"/>
  <c r="I900" i="2"/>
  <c r="H900" i="2"/>
  <c r="G900" i="2"/>
  <c r="F900" i="2"/>
  <c r="E900" i="2"/>
  <c r="D900" i="2"/>
  <c r="C900" i="2"/>
  <c r="A900" i="2"/>
  <c r="Q899" i="2"/>
  <c r="P899" i="2"/>
  <c r="O899" i="2"/>
  <c r="N899" i="2"/>
  <c r="M899" i="2"/>
  <c r="L899" i="2"/>
  <c r="K899" i="2"/>
  <c r="J899" i="2"/>
  <c r="I899" i="2"/>
  <c r="H899" i="2"/>
  <c r="G899" i="2"/>
  <c r="F899" i="2"/>
  <c r="E899" i="2"/>
  <c r="D899" i="2"/>
  <c r="C899" i="2"/>
  <c r="A899" i="2"/>
  <c r="Q898" i="2"/>
  <c r="P898" i="2"/>
  <c r="O898" i="2"/>
  <c r="N898" i="2"/>
  <c r="M898" i="2"/>
  <c r="L898" i="2"/>
  <c r="K898" i="2"/>
  <c r="J898" i="2"/>
  <c r="I898" i="2"/>
  <c r="H898" i="2"/>
  <c r="G898" i="2"/>
  <c r="F898" i="2"/>
  <c r="E898" i="2"/>
  <c r="D898" i="2"/>
  <c r="C898" i="2"/>
  <c r="A898" i="2"/>
  <c r="Q897" i="2"/>
  <c r="P897" i="2"/>
  <c r="O897" i="2"/>
  <c r="N897" i="2"/>
  <c r="M897" i="2"/>
  <c r="L897" i="2"/>
  <c r="K897" i="2"/>
  <c r="J897" i="2"/>
  <c r="I897" i="2"/>
  <c r="H897" i="2"/>
  <c r="G897" i="2"/>
  <c r="F897" i="2"/>
  <c r="E897" i="2"/>
  <c r="D897" i="2"/>
  <c r="C897" i="2"/>
  <c r="A897" i="2"/>
  <c r="Q896" i="2"/>
  <c r="P896" i="2"/>
  <c r="O896" i="2"/>
  <c r="N896" i="2"/>
  <c r="M896" i="2"/>
  <c r="L896" i="2"/>
  <c r="K896" i="2"/>
  <c r="J896" i="2"/>
  <c r="I896" i="2"/>
  <c r="H896" i="2"/>
  <c r="G896" i="2"/>
  <c r="F896" i="2"/>
  <c r="E896" i="2"/>
  <c r="D896" i="2"/>
  <c r="C896" i="2"/>
  <c r="A896" i="2"/>
  <c r="Q895" i="2"/>
  <c r="P895" i="2"/>
  <c r="O895" i="2"/>
  <c r="N895" i="2"/>
  <c r="M895" i="2"/>
  <c r="L895" i="2"/>
  <c r="K895" i="2"/>
  <c r="J895" i="2"/>
  <c r="I895" i="2"/>
  <c r="H895" i="2"/>
  <c r="G895" i="2"/>
  <c r="F895" i="2"/>
  <c r="E895" i="2"/>
  <c r="D895" i="2"/>
  <c r="C895" i="2"/>
  <c r="A895" i="2"/>
  <c r="Q894" i="2"/>
  <c r="P894" i="2"/>
  <c r="O894" i="2"/>
  <c r="N894" i="2"/>
  <c r="M894" i="2"/>
  <c r="L894" i="2"/>
  <c r="K894" i="2"/>
  <c r="J894" i="2"/>
  <c r="I894" i="2"/>
  <c r="H894" i="2"/>
  <c r="G894" i="2"/>
  <c r="F894" i="2"/>
  <c r="E894" i="2"/>
  <c r="D894" i="2"/>
  <c r="C894" i="2"/>
  <c r="A894" i="2"/>
  <c r="Q893" i="2"/>
  <c r="P893" i="2"/>
  <c r="O893" i="2"/>
  <c r="N893" i="2"/>
  <c r="M893" i="2"/>
  <c r="L893" i="2"/>
  <c r="K893" i="2"/>
  <c r="J893" i="2"/>
  <c r="I893" i="2"/>
  <c r="H893" i="2"/>
  <c r="G893" i="2"/>
  <c r="F893" i="2"/>
  <c r="E893" i="2"/>
  <c r="D893" i="2"/>
  <c r="C893" i="2"/>
  <c r="A893" i="2"/>
  <c r="Q892" i="2"/>
  <c r="P892" i="2"/>
  <c r="O892" i="2"/>
  <c r="N892" i="2"/>
  <c r="M892" i="2"/>
  <c r="L892" i="2"/>
  <c r="K892" i="2"/>
  <c r="J892" i="2"/>
  <c r="I892" i="2"/>
  <c r="H892" i="2"/>
  <c r="G892" i="2"/>
  <c r="F892" i="2"/>
  <c r="E892" i="2"/>
  <c r="D892" i="2"/>
  <c r="C892" i="2"/>
  <c r="A892" i="2"/>
  <c r="Q891" i="2"/>
  <c r="P891" i="2"/>
  <c r="O891" i="2"/>
  <c r="N891" i="2"/>
  <c r="M891" i="2"/>
  <c r="L891" i="2"/>
  <c r="K891" i="2"/>
  <c r="J891" i="2"/>
  <c r="I891" i="2"/>
  <c r="H891" i="2"/>
  <c r="G891" i="2"/>
  <c r="F891" i="2"/>
  <c r="E891" i="2"/>
  <c r="D891" i="2"/>
  <c r="C891" i="2"/>
  <c r="A891" i="2"/>
  <c r="Q890" i="2"/>
  <c r="P890" i="2"/>
  <c r="O890" i="2"/>
  <c r="N890" i="2"/>
  <c r="M890" i="2"/>
  <c r="L890" i="2"/>
  <c r="K890" i="2"/>
  <c r="J890" i="2"/>
  <c r="I890" i="2"/>
  <c r="H890" i="2"/>
  <c r="G890" i="2"/>
  <c r="F890" i="2"/>
  <c r="E890" i="2"/>
  <c r="D890" i="2"/>
  <c r="C890" i="2"/>
  <c r="A890" i="2"/>
  <c r="Q889" i="2"/>
  <c r="P889" i="2"/>
  <c r="O889" i="2"/>
  <c r="N889" i="2"/>
  <c r="M889" i="2"/>
  <c r="L889" i="2"/>
  <c r="K889" i="2"/>
  <c r="J889" i="2"/>
  <c r="I889" i="2"/>
  <c r="H889" i="2"/>
  <c r="G889" i="2"/>
  <c r="F889" i="2"/>
  <c r="E889" i="2"/>
  <c r="D889" i="2"/>
  <c r="C889" i="2"/>
  <c r="A889" i="2"/>
  <c r="Q888" i="2"/>
  <c r="P888" i="2"/>
  <c r="O888" i="2"/>
  <c r="N888" i="2"/>
  <c r="M888" i="2"/>
  <c r="L888" i="2"/>
  <c r="K888" i="2"/>
  <c r="J888" i="2"/>
  <c r="I888" i="2"/>
  <c r="H888" i="2"/>
  <c r="G888" i="2"/>
  <c r="F888" i="2"/>
  <c r="E888" i="2"/>
  <c r="D888" i="2"/>
  <c r="C888" i="2"/>
  <c r="A888" i="2"/>
  <c r="Q887" i="2"/>
  <c r="P887" i="2"/>
  <c r="O887" i="2"/>
  <c r="N887" i="2"/>
  <c r="M887" i="2"/>
  <c r="L887" i="2"/>
  <c r="K887" i="2"/>
  <c r="J887" i="2"/>
  <c r="I887" i="2"/>
  <c r="H887" i="2"/>
  <c r="G887" i="2"/>
  <c r="F887" i="2"/>
  <c r="E887" i="2"/>
  <c r="D887" i="2"/>
  <c r="C887" i="2"/>
  <c r="A887" i="2"/>
  <c r="Q886" i="2"/>
  <c r="P886" i="2"/>
  <c r="O886" i="2"/>
  <c r="N886" i="2"/>
  <c r="M886" i="2"/>
  <c r="L886" i="2"/>
  <c r="K886" i="2"/>
  <c r="J886" i="2"/>
  <c r="I886" i="2"/>
  <c r="H886" i="2"/>
  <c r="G886" i="2"/>
  <c r="F886" i="2"/>
  <c r="E886" i="2"/>
  <c r="D886" i="2"/>
  <c r="C886" i="2"/>
  <c r="A886" i="2"/>
  <c r="Q885" i="2"/>
  <c r="P885" i="2"/>
  <c r="O885" i="2"/>
  <c r="N885" i="2"/>
  <c r="M885" i="2"/>
  <c r="L885" i="2"/>
  <c r="K885" i="2"/>
  <c r="J885" i="2"/>
  <c r="I885" i="2"/>
  <c r="H885" i="2"/>
  <c r="G885" i="2"/>
  <c r="F885" i="2"/>
  <c r="E885" i="2"/>
  <c r="D885" i="2"/>
  <c r="C885" i="2"/>
  <c r="A885" i="2"/>
  <c r="Q884" i="2"/>
  <c r="P884" i="2"/>
  <c r="O884" i="2"/>
  <c r="N884" i="2"/>
  <c r="M884" i="2"/>
  <c r="L884" i="2"/>
  <c r="K884" i="2"/>
  <c r="J884" i="2"/>
  <c r="I884" i="2"/>
  <c r="H884" i="2"/>
  <c r="G884" i="2"/>
  <c r="F884" i="2"/>
  <c r="E884" i="2"/>
  <c r="D884" i="2"/>
  <c r="C884" i="2"/>
  <c r="A884" i="2"/>
  <c r="Q883" i="2"/>
  <c r="P883" i="2"/>
  <c r="O883" i="2"/>
  <c r="N883" i="2"/>
  <c r="M883" i="2"/>
  <c r="L883" i="2"/>
  <c r="K883" i="2"/>
  <c r="J883" i="2"/>
  <c r="I883" i="2"/>
  <c r="H883" i="2"/>
  <c r="G883" i="2"/>
  <c r="F883" i="2"/>
  <c r="E883" i="2"/>
  <c r="D883" i="2"/>
  <c r="C883" i="2"/>
  <c r="A883" i="2"/>
  <c r="Q882" i="2"/>
  <c r="P882" i="2"/>
  <c r="O882" i="2"/>
  <c r="N882" i="2"/>
  <c r="M882" i="2"/>
  <c r="L882" i="2"/>
  <c r="K882" i="2"/>
  <c r="J882" i="2"/>
  <c r="I882" i="2"/>
  <c r="H882" i="2"/>
  <c r="G882" i="2"/>
  <c r="F882" i="2"/>
  <c r="E882" i="2"/>
  <c r="D882" i="2"/>
  <c r="C882" i="2"/>
  <c r="A882" i="2"/>
  <c r="Q881" i="2"/>
  <c r="P881" i="2"/>
  <c r="O881" i="2"/>
  <c r="N881" i="2"/>
  <c r="M881" i="2"/>
  <c r="L881" i="2"/>
  <c r="K881" i="2"/>
  <c r="J881" i="2"/>
  <c r="I881" i="2"/>
  <c r="H881" i="2"/>
  <c r="G881" i="2"/>
  <c r="F881" i="2"/>
  <c r="E881" i="2"/>
  <c r="D881" i="2"/>
  <c r="C881" i="2"/>
  <c r="A881" i="2"/>
  <c r="Q880" i="2"/>
  <c r="P880" i="2"/>
  <c r="O880" i="2"/>
  <c r="N880" i="2"/>
  <c r="M880" i="2"/>
  <c r="L880" i="2"/>
  <c r="K880" i="2"/>
  <c r="J880" i="2"/>
  <c r="I880" i="2"/>
  <c r="H880" i="2"/>
  <c r="G880" i="2"/>
  <c r="F880" i="2"/>
  <c r="E880" i="2"/>
  <c r="D880" i="2"/>
  <c r="C880" i="2"/>
  <c r="A880" i="2"/>
  <c r="Q879" i="2"/>
  <c r="P879" i="2"/>
  <c r="O879" i="2"/>
  <c r="N879" i="2"/>
  <c r="M879" i="2"/>
  <c r="L879" i="2"/>
  <c r="K879" i="2"/>
  <c r="J879" i="2"/>
  <c r="I879" i="2"/>
  <c r="H879" i="2"/>
  <c r="G879" i="2"/>
  <c r="F879" i="2"/>
  <c r="E879" i="2"/>
  <c r="D879" i="2"/>
  <c r="C879" i="2"/>
  <c r="A879" i="2"/>
  <c r="Q878" i="2"/>
  <c r="P878" i="2"/>
  <c r="O878" i="2"/>
  <c r="N878" i="2"/>
  <c r="M878" i="2"/>
  <c r="L878" i="2"/>
  <c r="K878" i="2"/>
  <c r="J878" i="2"/>
  <c r="I878" i="2"/>
  <c r="H878" i="2"/>
  <c r="G878" i="2"/>
  <c r="F878" i="2"/>
  <c r="E878" i="2"/>
  <c r="D878" i="2"/>
  <c r="C878" i="2"/>
  <c r="A878" i="2"/>
  <c r="Q877" i="2"/>
  <c r="P877" i="2"/>
  <c r="O877" i="2"/>
  <c r="N877" i="2"/>
  <c r="M877" i="2"/>
  <c r="L877" i="2"/>
  <c r="K877" i="2"/>
  <c r="J877" i="2"/>
  <c r="I877" i="2"/>
  <c r="H877" i="2"/>
  <c r="G877" i="2"/>
  <c r="F877" i="2"/>
  <c r="E877" i="2"/>
  <c r="D877" i="2"/>
  <c r="C877" i="2"/>
  <c r="A877" i="2"/>
  <c r="Q876" i="2"/>
  <c r="P876" i="2"/>
  <c r="O876" i="2"/>
  <c r="N876" i="2"/>
  <c r="M876" i="2"/>
  <c r="L876" i="2"/>
  <c r="K876" i="2"/>
  <c r="J876" i="2"/>
  <c r="I876" i="2"/>
  <c r="H876" i="2"/>
  <c r="G876" i="2"/>
  <c r="F876" i="2"/>
  <c r="E876" i="2"/>
  <c r="D876" i="2"/>
  <c r="C876" i="2"/>
  <c r="A876" i="2"/>
  <c r="Q875" i="2"/>
  <c r="P875" i="2"/>
  <c r="O875" i="2"/>
  <c r="N875" i="2"/>
  <c r="M875" i="2"/>
  <c r="L875" i="2"/>
  <c r="K875" i="2"/>
  <c r="J875" i="2"/>
  <c r="I875" i="2"/>
  <c r="H875" i="2"/>
  <c r="G875" i="2"/>
  <c r="F875" i="2"/>
  <c r="E875" i="2"/>
  <c r="D875" i="2"/>
  <c r="C875" i="2"/>
  <c r="A875" i="2"/>
  <c r="Q874" i="2"/>
  <c r="P874" i="2"/>
  <c r="O874" i="2"/>
  <c r="N874" i="2"/>
  <c r="M874" i="2"/>
  <c r="L874" i="2"/>
  <c r="K874" i="2"/>
  <c r="J874" i="2"/>
  <c r="I874" i="2"/>
  <c r="H874" i="2"/>
  <c r="G874" i="2"/>
  <c r="F874" i="2"/>
  <c r="E874" i="2"/>
  <c r="D874" i="2"/>
  <c r="C874" i="2"/>
  <c r="A874" i="2"/>
  <c r="Q873" i="2"/>
  <c r="P873" i="2"/>
  <c r="O873" i="2"/>
  <c r="N873" i="2"/>
  <c r="M873" i="2"/>
  <c r="L873" i="2"/>
  <c r="K873" i="2"/>
  <c r="J873" i="2"/>
  <c r="I873" i="2"/>
  <c r="H873" i="2"/>
  <c r="G873" i="2"/>
  <c r="F873" i="2"/>
  <c r="E873" i="2"/>
  <c r="D873" i="2"/>
  <c r="C873" i="2"/>
  <c r="A873" i="2"/>
  <c r="Q872" i="2"/>
  <c r="P872" i="2"/>
  <c r="O872" i="2"/>
  <c r="N872" i="2"/>
  <c r="M872" i="2"/>
  <c r="L872" i="2"/>
  <c r="K872" i="2"/>
  <c r="J872" i="2"/>
  <c r="I872" i="2"/>
  <c r="H872" i="2"/>
  <c r="G872" i="2"/>
  <c r="F872" i="2"/>
  <c r="E872" i="2"/>
  <c r="D872" i="2"/>
  <c r="C872" i="2"/>
  <c r="A872" i="2"/>
  <c r="Q871" i="2"/>
  <c r="P871" i="2"/>
  <c r="O871" i="2"/>
  <c r="N871" i="2"/>
  <c r="M871" i="2"/>
  <c r="L871" i="2"/>
  <c r="K871" i="2"/>
  <c r="J871" i="2"/>
  <c r="I871" i="2"/>
  <c r="H871" i="2"/>
  <c r="G871" i="2"/>
  <c r="F871" i="2"/>
  <c r="E871" i="2"/>
  <c r="D871" i="2"/>
  <c r="C871" i="2"/>
  <c r="A871" i="2"/>
  <c r="Q870" i="2"/>
  <c r="P870" i="2"/>
  <c r="O870" i="2"/>
  <c r="N870" i="2"/>
  <c r="M870" i="2"/>
  <c r="L870" i="2"/>
  <c r="K870" i="2"/>
  <c r="J870" i="2"/>
  <c r="I870" i="2"/>
  <c r="H870" i="2"/>
  <c r="G870" i="2"/>
  <c r="F870" i="2"/>
  <c r="E870" i="2"/>
  <c r="D870" i="2"/>
  <c r="C870" i="2"/>
  <c r="A870" i="2"/>
  <c r="Q869" i="2"/>
  <c r="P869" i="2"/>
  <c r="O869" i="2"/>
  <c r="N869" i="2"/>
  <c r="M869" i="2"/>
  <c r="L869" i="2"/>
  <c r="K869" i="2"/>
  <c r="J869" i="2"/>
  <c r="I869" i="2"/>
  <c r="H869" i="2"/>
  <c r="G869" i="2"/>
  <c r="F869" i="2"/>
  <c r="E869" i="2"/>
  <c r="D869" i="2"/>
  <c r="C869" i="2"/>
  <c r="A869" i="2"/>
  <c r="Q868" i="2"/>
  <c r="P868" i="2"/>
  <c r="O868" i="2"/>
  <c r="N868" i="2"/>
  <c r="M868" i="2"/>
  <c r="L868" i="2"/>
  <c r="K868" i="2"/>
  <c r="J868" i="2"/>
  <c r="I868" i="2"/>
  <c r="H868" i="2"/>
  <c r="G868" i="2"/>
  <c r="F868" i="2"/>
  <c r="E868" i="2"/>
  <c r="D868" i="2"/>
  <c r="C868" i="2"/>
  <c r="A868" i="2"/>
  <c r="Q867" i="2"/>
  <c r="P867" i="2"/>
  <c r="O867" i="2"/>
  <c r="N867" i="2"/>
  <c r="M867" i="2"/>
  <c r="L867" i="2"/>
  <c r="K867" i="2"/>
  <c r="J867" i="2"/>
  <c r="I867" i="2"/>
  <c r="H867" i="2"/>
  <c r="G867" i="2"/>
  <c r="F867" i="2"/>
  <c r="E867" i="2"/>
  <c r="D867" i="2"/>
  <c r="C867" i="2"/>
  <c r="A867" i="2"/>
  <c r="Q866" i="2"/>
  <c r="P866" i="2"/>
  <c r="O866" i="2"/>
  <c r="N866" i="2"/>
  <c r="M866" i="2"/>
  <c r="L866" i="2"/>
  <c r="K866" i="2"/>
  <c r="J866" i="2"/>
  <c r="I866" i="2"/>
  <c r="H866" i="2"/>
  <c r="G866" i="2"/>
  <c r="F866" i="2"/>
  <c r="E866" i="2"/>
  <c r="D866" i="2"/>
  <c r="C866" i="2"/>
  <c r="A866" i="2"/>
  <c r="Q865" i="2"/>
  <c r="P865" i="2"/>
  <c r="O865" i="2"/>
  <c r="N865" i="2"/>
  <c r="M865" i="2"/>
  <c r="L865" i="2"/>
  <c r="K865" i="2"/>
  <c r="J865" i="2"/>
  <c r="I865" i="2"/>
  <c r="H865" i="2"/>
  <c r="G865" i="2"/>
  <c r="F865" i="2"/>
  <c r="E865" i="2"/>
  <c r="D865" i="2"/>
  <c r="C865" i="2"/>
  <c r="A865" i="2"/>
  <c r="Q864" i="2"/>
  <c r="P864" i="2"/>
  <c r="O864" i="2"/>
  <c r="N864" i="2"/>
  <c r="M864" i="2"/>
  <c r="L864" i="2"/>
  <c r="K864" i="2"/>
  <c r="J864" i="2"/>
  <c r="I864" i="2"/>
  <c r="H864" i="2"/>
  <c r="G864" i="2"/>
  <c r="F864" i="2"/>
  <c r="E864" i="2"/>
  <c r="D864" i="2"/>
  <c r="C864" i="2"/>
  <c r="A864" i="2"/>
  <c r="Q863" i="2"/>
  <c r="P863" i="2"/>
  <c r="O863" i="2"/>
  <c r="N863" i="2"/>
  <c r="M863" i="2"/>
  <c r="L863" i="2"/>
  <c r="K863" i="2"/>
  <c r="J863" i="2"/>
  <c r="I863" i="2"/>
  <c r="H863" i="2"/>
  <c r="G863" i="2"/>
  <c r="F863" i="2"/>
  <c r="E863" i="2"/>
  <c r="D863" i="2"/>
  <c r="C863" i="2"/>
  <c r="A863" i="2"/>
  <c r="Q862" i="2"/>
  <c r="P862" i="2"/>
  <c r="O862" i="2"/>
  <c r="N862" i="2"/>
  <c r="M862" i="2"/>
  <c r="L862" i="2"/>
  <c r="K862" i="2"/>
  <c r="J862" i="2"/>
  <c r="I862" i="2"/>
  <c r="H862" i="2"/>
  <c r="G862" i="2"/>
  <c r="F862" i="2"/>
  <c r="E862" i="2"/>
  <c r="D862" i="2"/>
  <c r="C862" i="2"/>
  <c r="A862" i="2"/>
  <c r="Q861" i="2"/>
  <c r="P861" i="2"/>
  <c r="O861" i="2"/>
  <c r="N861" i="2"/>
  <c r="M861" i="2"/>
  <c r="L861" i="2"/>
  <c r="K861" i="2"/>
  <c r="J861" i="2"/>
  <c r="I861" i="2"/>
  <c r="H861" i="2"/>
  <c r="G861" i="2"/>
  <c r="F861" i="2"/>
  <c r="E861" i="2"/>
  <c r="D861" i="2"/>
  <c r="C861" i="2"/>
  <c r="A861" i="2"/>
  <c r="Q860" i="2"/>
  <c r="P860" i="2"/>
  <c r="O860" i="2"/>
  <c r="N860" i="2"/>
  <c r="M860" i="2"/>
  <c r="L860" i="2"/>
  <c r="K860" i="2"/>
  <c r="J860" i="2"/>
  <c r="I860" i="2"/>
  <c r="H860" i="2"/>
  <c r="G860" i="2"/>
  <c r="F860" i="2"/>
  <c r="E860" i="2"/>
  <c r="D860" i="2"/>
  <c r="C860" i="2"/>
  <c r="A860" i="2"/>
  <c r="Q859" i="2"/>
  <c r="P859" i="2"/>
  <c r="O859" i="2"/>
  <c r="N859" i="2"/>
  <c r="M859" i="2"/>
  <c r="L859" i="2"/>
  <c r="K859" i="2"/>
  <c r="J859" i="2"/>
  <c r="I859" i="2"/>
  <c r="H859" i="2"/>
  <c r="G859" i="2"/>
  <c r="F859" i="2"/>
  <c r="E859" i="2"/>
  <c r="D859" i="2"/>
  <c r="C859" i="2"/>
  <c r="A859" i="2"/>
  <c r="Q858" i="2"/>
  <c r="P858" i="2"/>
  <c r="O858" i="2"/>
  <c r="N858" i="2"/>
  <c r="M858" i="2"/>
  <c r="L858" i="2"/>
  <c r="K858" i="2"/>
  <c r="J858" i="2"/>
  <c r="I858" i="2"/>
  <c r="H858" i="2"/>
  <c r="G858" i="2"/>
  <c r="F858" i="2"/>
  <c r="E858" i="2"/>
  <c r="D858" i="2"/>
  <c r="C858" i="2"/>
  <c r="A858" i="2"/>
  <c r="Q857" i="2"/>
  <c r="P857" i="2"/>
  <c r="O857" i="2"/>
  <c r="N857" i="2"/>
  <c r="M857" i="2"/>
  <c r="L857" i="2"/>
  <c r="K857" i="2"/>
  <c r="J857" i="2"/>
  <c r="I857" i="2"/>
  <c r="H857" i="2"/>
  <c r="G857" i="2"/>
  <c r="F857" i="2"/>
  <c r="E857" i="2"/>
  <c r="D857" i="2"/>
  <c r="C857" i="2"/>
  <c r="A857" i="2"/>
  <c r="Q856" i="2"/>
  <c r="P856" i="2"/>
  <c r="O856" i="2"/>
  <c r="N856" i="2"/>
  <c r="M856" i="2"/>
  <c r="L856" i="2"/>
  <c r="K856" i="2"/>
  <c r="J856" i="2"/>
  <c r="I856" i="2"/>
  <c r="H856" i="2"/>
  <c r="G856" i="2"/>
  <c r="F856" i="2"/>
  <c r="E856" i="2"/>
  <c r="D856" i="2"/>
  <c r="C856" i="2"/>
  <c r="A856" i="2"/>
  <c r="Q855" i="2"/>
  <c r="P855" i="2"/>
  <c r="O855" i="2"/>
  <c r="N855" i="2"/>
  <c r="M855" i="2"/>
  <c r="L855" i="2"/>
  <c r="K855" i="2"/>
  <c r="J855" i="2"/>
  <c r="I855" i="2"/>
  <c r="H855" i="2"/>
  <c r="G855" i="2"/>
  <c r="F855" i="2"/>
  <c r="E855" i="2"/>
  <c r="D855" i="2"/>
  <c r="C855" i="2"/>
  <c r="A855" i="2"/>
  <c r="Q854" i="2"/>
  <c r="P854" i="2"/>
  <c r="O854" i="2"/>
  <c r="N854" i="2"/>
  <c r="M854" i="2"/>
  <c r="L854" i="2"/>
  <c r="K854" i="2"/>
  <c r="J854" i="2"/>
  <c r="I854" i="2"/>
  <c r="H854" i="2"/>
  <c r="G854" i="2"/>
  <c r="F854" i="2"/>
  <c r="E854" i="2"/>
  <c r="D854" i="2"/>
  <c r="C854" i="2"/>
  <c r="A854" i="2"/>
  <c r="Q853" i="2"/>
  <c r="P853" i="2"/>
  <c r="O853" i="2"/>
  <c r="N853" i="2"/>
  <c r="M853" i="2"/>
  <c r="L853" i="2"/>
  <c r="K853" i="2"/>
  <c r="J853" i="2"/>
  <c r="I853" i="2"/>
  <c r="H853" i="2"/>
  <c r="G853" i="2"/>
  <c r="F853" i="2"/>
  <c r="E853" i="2"/>
  <c r="D853" i="2"/>
  <c r="C853" i="2"/>
  <c r="A853" i="2"/>
  <c r="Q852" i="2"/>
  <c r="P852" i="2"/>
  <c r="O852" i="2"/>
  <c r="N852" i="2"/>
  <c r="M852" i="2"/>
  <c r="L852" i="2"/>
  <c r="K852" i="2"/>
  <c r="J852" i="2"/>
  <c r="I852" i="2"/>
  <c r="H852" i="2"/>
  <c r="G852" i="2"/>
  <c r="F852" i="2"/>
  <c r="E852" i="2"/>
  <c r="D852" i="2"/>
  <c r="C852" i="2"/>
  <c r="A852" i="2"/>
  <c r="Q851" i="2"/>
  <c r="P851" i="2"/>
  <c r="O851" i="2"/>
  <c r="N851" i="2"/>
  <c r="M851" i="2"/>
  <c r="L851" i="2"/>
  <c r="K851" i="2"/>
  <c r="J851" i="2"/>
  <c r="I851" i="2"/>
  <c r="H851" i="2"/>
  <c r="G851" i="2"/>
  <c r="F851" i="2"/>
  <c r="E851" i="2"/>
  <c r="D851" i="2"/>
  <c r="C851" i="2"/>
  <c r="A851" i="2"/>
  <c r="Q850" i="2"/>
  <c r="P850" i="2"/>
  <c r="O850" i="2"/>
  <c r="N850" i="2"/>
  <c r="M850" i="2"/>
  <c r="L850" i="2"/>
  <c r="K850" i="2"/>
  <c r="J850" i="2"/>
  <c r="I850" i="2"/>
  <c r="H850" i="2"/>
  <c r="G850" i="2"/>
  <c r="F850" i="2"/>
  <c r="E850" i="2"/>
  <c r="D850" i="2"/>
  <c r="C850" i="2"/>
  <c r="A850" i="2"/>
  <c r="Q849" i="2"/>
  <c r="P849" i="2"/>
  <c r="O849" i="2"/>
  <c r="N849" i="2"/>
  <c r="M849" i="2"/>
  <c r="L849" i="2"/>
  <c r="K849" i="2"/>
  <c r="J849" i="2"/>
  <c r="I849" i="2"/>
  <c r="H849" i="2"/>
  <c r="G849" i="2"/>
  <c r="F849" i="2"/>
  <c r="E849" i="2"/>
  <c r="D849" i="2"/>
  <c r="C849" i="2"/>
  <c r="A849" i="2"/>
  <c r="Q848" i="2"/>
  <c r="P848" i="2"/>
  <c r="O848" i="2"/>
  <c r="N848" i="2"/>
  <c r="M848" i="2"/>
  <c r="L848" i="2"/>
  <c r="K848" i="2"/>
  <c r="J848" i="2"/>
  <c r="I848" i="2"/>
  <c r="H848" i="2"/>
  <c r="G848" i="2"/>
  <c r="F848" i="2"/>
  <c r="E848" i="2"/>
  <c r="D848" i="2"/>
  <c r="C848" i="2"/>
  <c r="A848" i="2"/>
  <c r="Q847" i="2"/>
  <c r="P847" i="2"/>
  <c r="O847" i="2"/>
  <c r="N847" i="2"/>
  <c r="M847" i="2"/>
  <c r="L847" i="2"/>
  <c r="K847" i="2"/>
  <c r="J847" i="2"/>
  <c r="I847" i="2"/>
  <c r="H847" i="2"/>
  <c r="G847" i="2"/>
  <c r="F847" i="2"/>
  <c r="E847" i="2"/>
  <c r="D847" i="2"/>
  <c r="C847" i="2"/>
  <c r="A847" i="2"/>
  <c r="Q846" i="2"/>
  <c r="P846" i="2"/>
  <c r="O846" i="2"/>
  <c r="N846" i="2"/>
  <c r="M846" i="2"/>
  <c r="L846" i="2"/>
  <c r="K846" i="2"/>
  <c r="J846" i="2"/>
  <c r="I846" i="2"/>
  <c r="H846" i="2"/>
  <c r="G846" i="2"/>
  <c r="F846" i="2"/>
  <c r="E846" i="2"/>
  <c r="D846" i="2"/>
  <c r="C846" i="2"/>
  <c r="A846" i="2"/>
  <c r="Q845" i="2"/>
  <c r="P845" i="2"/>
  <c r="O845" i="2"/>
  <c r="N845" i="2"/>
  <c r="M845" i="2"/>
  <c r="L845" i="2"/>
  <c r="K845" i="2"/>
  <c r="J845" i="2"/>
  <c r="I845" i="2"/>
  <c r="H845" i="2"/>
  <c r="G845" i="2"/>
  <c r="F845" i="2"/>
  <c r="E845" i="2"/>
  <c r="D845" i="2"/>
  <c r="C845" i="2"/>
  <c r="A845" i="2"/>
  <c r="Q844" i="2"/>
  <c r="P844" i="2"/>
  <c r="O844" i="2"/>
  <c r="N844" i="2"/>
  <c r="M844" i="2"/>
  <c r="L844" i="2"/>
  <c r="K844" i="2"/>
  <c r="J844" i="2"/>
  <c r="I844" i="2"/>
  <c r="H844" i="2"/>
  <c r="G844" i="2"/>
  <c r="F844" i="2"/>
  <c r="E844" i="2"/>
  <c r="D844" i="2"/>
  <c r="C844" i="2"/>
  <c r="A844" i="2"/>
  <c r="Q843" i="2"/>
  <c r="P843" i="2"/>
  <c r="O843" i="2"/>
  <c r="N843" i="2"/>
  <c r="M843" i="2"/>
  <c r="L843" i="2"/>
  <c r="K843" i="2"/>
  <c r="J843" i="2"/>
  <c r="I843" i="2"/>
  <c r="H843" i="2"/>
  <c r="G843" i="2"/>
  <c r="F843" i="2"/>
  <c r="E843" i="2"/>
  <c r="D843" i="2"/>
  <c r="C843" i="2"/>
  <c r="A843" i="2"/>
  <c r="Q842" i="2"/>
  <c r="P842" i="2"/>
  <c r="O842" i="2"/>
  <c r="N842" i="2"/>
  <c r="M842" i="2"/>
  <c r="L842" i="2"/>
  <c r="K842" i="2"/>
  <c r="J842" i="2"/>
  <c r="I842" i="2"/>
  <c r="H842" i="2"/>
  <c r="G842" i="2"/>
  <c r="F842" i="2"/>
  <c r="E842" i="2"/>
  <c r="D842" i="2"/>
  <c r="C842" i="2"/>
  <c r="A842" i="2"/>
  <c r="Q841" i="2"/>
  <c r="P841" i="2"/>
  <c r="O841" i="2"/>
  <c r="N841" i="2"/>
  <c r="M841" i="2"/>
  <c r="L841" i="2"/>
  <c r="K841" i="2"/>
  <c r="J841" i="2"/>
  <c r="I841" i="2"/>
  <c r="H841" i="2"/>
  <c r="G841" i="2"/>
  <c r="F841" i="2"/>
  <c r="E841" i="2"/>
  <c r="D841" i="2"/>
  <c r="C841" i="2"/>
  <c r="A841" i="2"/>
  <c r="Q840" i="2"/>
  <c r="P840" i="2"/>
  <c r="O840" i="2"/>
  <c r="N840" i="2"/>
  <c r="M840" i="2"/>
  <c r="L840" i="2"/>
  <c r="K840" i="2"/>
  <c r="J840" i="2"/>
  <c r="I840" i="2"/>
  <c r="H840" i="2"/>
  <c r="G840" i="2"/>
  <c r="F840" i="2"/>
  <c r="E840" i="2"/>
  <c r="D840" i="2"/>
  <c r="C840" i="2"/>
  <c r="A840" i="2"/>
  <c r="Q839" i="2"/>
  <c r="P839" i="2"/>
  <c r="O839" i="2"/>
  <c r="N839" i="2"/>
  <c r="M839" i="2"/>
  <c r="L839" i="2"/>
  <c r="K839" i="2"/>
  <c r="J839" i="2"/>
  <c r="I839" i="2"/>
  <c r="H839" i="2"/>
  <c r="G839" i="2"/>
  <c r="F839" i="2"/>
  <c r="E839" i="2"/>
  <c r="D839" i="2"/>
  <c r="C839" i="2"/>
  <c r="A839" i="2"/>
  <c r="Q838" i="2"/>
  <c r="P838" i="2"/>
  <c r="O838" i="2"/>
  <c r="N838" i="2"/>
  <c r="M838" i="2"/>
  <c r="L838" i="2"/>
  <c r="K838" i="2"/>
  <c r="J838" i="2"/>
  <c r="I838" i="2"/>
  <c r="H838" i="2"/>
  <c r="G838" i="2"/>
  <c r="F838" i="2"/>
  <c r="E838" i="2"/>
  <c r="D838" i="2"/>
  <c r="C838" i="2"/>
  <c r="A838" i="2"/>
  <c r="Q837" i="2"/>
  <c r="P837" i="2"/>
  <c r="O837" i="2"/>
  <c r="N837" i="2"/>
  <c r="M837" i="2"/>
  <c r="L837" i="2"/>
  <c r="K837" i="2"/>
  <c r="J837" i="2"/>
  <c r="I837" i="2"/>
  <c r="H837" i="2"/>
  <c r="G837" i="2"/>
  <c r="F837" i="2"/>
  <c r="E837" i="2"/>
  <c r="D837" i="2"/>
  <c r="C837" i="2"/>
  <c r="A837" i="2"/>
  <c r="Q836" i="2"/>
  <c r="P836" i="2"/>
  <c r="O836" i="2"/>
  <c r="N836" i="2"/>
  <c r="M836" i="2"/>
  <c r="L836" i="2"/>
  <c r="K836" i="2"/>
  <c r="J836" i="2"/>
  <c r="I836" i="2"/>
  <c r="H836" i="2"/>
  <c r="G836" i="2"/>
  <c r="F836" i="2"/>
  <c r="E836" i="2"/>
  <c r="D836" i="2"/>
  <c r="C836" i="2"/>
  <c r="A836" i="2"/>
  <c r="Q835" i="2"/>
  <c r="P835" i="2"/>
  <c r="O835" i="2"/>
  <c r="N835" i="2"/>
  <c r="M835" i="2"/>
  <c r="L835" i="2"/>
  <c r="K835" i="2"/>
  <c r="J835" i="2"/>
  <c r="I835" i="2"/>
  <c r="H835" i="2"/>
  <c r="G835" i="2"/>
  <c r="F835" i="2"/>
  <c r="E835" i="2"/>
  <c r="D835" i="2"/>
  <c r="C835" i="2"/>
  <c r="A835" i="2"/>
  <c r="Q834" i="2"/>
  <c r="P834" i="2"/>
  <c r="O834" i="2"/>
  <c r="N834" i="2"/>
  <c r="M834" i="2"/>
  <c r="L834" i="2"/>
  <c r="K834" i="2"/>
  <c r="J834" i="2"/>
  <c r="I834" i="2"/>
  <c r="H834" i="2"/>
  <c r="G834" i="2"/>
  <c r="F834" i="2"/>
  <c r="E834" i="2"/>
  <c r="D834" i="2"/>
  <c r="C834" i="2"/>
  <c r="A834" i="2"/>
  <c r="Q833" i="2"/>
  <c r="P833" i="2"/>
  <c r="O833" i="2"/>
  <c r="N833" i="2"/>
  <c r="M833" i="2"/>
  <c r="L833" i="2"/>
  <c r="K833" i="2"/>
  <c r="J833" i="2"/>
  <c r="I833" i="2"/>
  <c r="H833" i="2"/>
  <c r="G833" i="2"/>
  <c r="F833" i="2"/>
  <c r="E833" i="2"/>
  <c r="D833" i="2"/>
  <c r="C833" i="2"/>
  <c r="A833" i="2"/>
  <c r="Q832" i="2"/>
  <c r="P832" i="2"/>
  <c r="O832" i="2"/>
  <c r="N832" i="2"/>
  <c r="M832" i="2"/>
  <c r="L832" i="2"/>
  <c r="K832" i="2"/>
  <c r="J832" i="2"/>
  <c r="I832" i="2"/>
  <c r="H832" i="2"/>
  <c r="G832" i="2"/>
  <c r="F832" i="2"/>
  <c r="E832" i="2"/>
  <c r="D832" i="2"/>
  <c r="C832" i="2"/>
  <c r="A832" i="2"/>
  <c r="Q831" i="2"/>
  <c r="P831" i="2"/>
  <c r="O831" i="2"/>
  <c r="N831" i="2"/>
  <c r="M831" i="2"/>
  <c r="L831" i="2"/>
  <c r="K831" i="2"/>
  <c r="J831" i="2"/>
  <c r="I831" i="2"/>
  <c r="H831" i="2"/>
  <c r="G831" i="2"/>
  <c r="F831" i="2"/>
  <c r="E831" i="2"/>
  <c r="D831" i="2"/>
  <c r="C831" i="2"/>
  <c r="A831" i="2"/>
  <c r="Q830" i="2"/>
  <c r="P830" i="2"/>
  <c r="O830" i="2"/>
  <c r="N830" i="2"/>
  <c r="M830" i="2"/>
  <c r="L830" i="2"/>
  <c r="K830" i="2"/>
  <c r="J830" i="2"/>
  <c r="I830" i="2"/>
  <c r="H830" i="2"/>
  <c r="G830" i="2"/>
  <c r="F830" i="2"/>
  <c r="E830" i="2"/>
  <c r="D830" i="2"/>
  <c r="C830" i="2"/>
  <c r="A830" i="2"/>
  <c r="Q829" i="2"/>
  <c r="P829" i="2"/>
  <c r="O829" i="2"/>
  <c r="N829" i="2"/>
  <c r="M829" i="2"/>
  <c r="L829" i="2"/>
  <c r="K829" i="2"/>
  <c r="J829" i="2"/>
  <c r="I829" i="2"/>
  <c r="H829" i="2"/>
  <c r="G829" i="2"/>
  <c r="F829" i="2"/>
  <c r="E829" i="2"/>
  <c r="D829" i="2"/>
  <c r="C829" i="2"/>
  <c r="A829" i="2"/>
  <c r="Q828" i="2"/>
  <c r="P828" i="2"/>
  <c r="O828" i="2"/>
  <c r="N828" i="2"/>
  <c r="M828" i="2"/>
  <c r="L828" i="2"/>
  <c r="K828" i="2"/>
  <c r="J828" i="2"/>
  <c r="I828" i="2"/>
  <c r="H828" i="2"/>
  <c r="G828" i="2"/>
  <c r="F828" i="2"/>
  <c r="E828" i="2"/>
  <c r="D828" i="2"/>
  <c r="C828" i="2"/>
  <c r="A828" i="2"/>
  <c r="Q827" i="2"/>
  <c r="P827" i="2"/>
  <c r="O827" i="2"/>
  <c r="N827" i="2"/>
  <c r="M827" i="2"/>
  <c r="L827" i="2"/>
  <c r="K827" i="2"/>
  <c r="J827" i="2"/>
  <c r="I827" i="2"/>
  <c r="H827" i="2"/>
  <c r="G827" i="2"/>
  <c r="F827" i="2"/>
  <c r="E827" i="2"/>
  <c r="D827" i="2"/>
  <c r="C827" i="2"/>
  <c r="A827" i="2"/>
  <c r="Q826" i="2"/>
  <c r="P826" i="2"/>
  <c r="O826" i="2"/>
  <c r="N826" i="2"/>
  <c r="M826" i="2"/>
  <c r="L826" i="2"/>
  <c r="K826" i="2"/>
  <c r="J826" i="2"/>
  <c r="I826" i="2"/>
  <c r="H826" i="2"/>
  <c r="G826" i="2"/>
  <c r="F826" i="2"/>
  <c r="E826" i="2"/>
  <c r="D826" i="2"/>
  <c r="C826" i="2"/>
  <c r="A826" i="2"/>
  <c r="Q825" i="2"/>
  <c r="P825" i="2"/>
  <c r="O825" i="2"/>
  <c r="N825" i="2"/>
  <c r="M825" i="2"/>
  <c r="L825" i="2"/>
  <c r="K825" i="2"/>
  <c r="J825" i="2"/>
  <c r="I825" i="2"/>
  <c r="H825" i="2"/>
  <c r="G825" i="2"/>
  <c r="F825" i="2"/>
  <c r="E825" i="2"/>
  <c r="D825" i="2"/>
  <c r="C825" i="2"/>
  <c r="A825" i="2"/>
  <c r="Q824" i="2"/>
  <c r="P824" i="2"/>
  <c r="O824" i="2"/>
  <c r="N824" i="2"/>
  <c r="M824" i="2"/>
  <c r="L824" i="2"/>
  <c r="K824" i="2"/>
  <c r="J824" i="2"/>
  <c r="I824" i="2"/>
  <c r="H824" i="2"/>
  <c r="G824" i="2"/>
  <c r="F824" i="2"/>
  <c r="E824" i="2"/>
  <c r="D824" i="2"/>
  <c r="C824" i="2"/>
  <c r="A824" i="2"/>
  <c r="Q823" i="2"/>
  <c r="P823" i="2"/>
  <c r="O823" i="2"/>
  <c r="N823" i="2"/>
  <c r="M823" i="2"/>
  <c r="L823" i="2"/>
  <c r="K823" i="2"/>
  <c r="J823" i="2"/>
  <c r="I823" i="2"/>
  <c r="H823" i="2"/>
  <c r="G823" i="2"/>
  <c r="F823" i="2"/>
  <c r="E823" i="2"/>
  <c r="D823" i="2"/>
  <c r="C823" i="2"/>
  <c r="A823" i="2"/>
  <c r="Q822" i="2"/>
  <c r="P822" i="2"/>
  <c r="O822" i="2"/>
  <c r="N822" i="2"/>
  <c r="M822" i="2"/>
  <c r="L822" i="2"/>
  <c r="K822" i="2"/>
  <c r="J822" i="2"/>
  <c r="I822" i="2"/>
  <c r="H822" i="2"/>
  <c r="G822" i="2"/>
  <c r="F822" i="2"/>
  <c r="E822" i="2"/>
  <c r="D822" i="2"/>
  <c r="C822" i="2"/>
  <c r="A822" i="2"/>
  <c r="Q821" i="2"/>
  <c r="P821" i="2"/>
  <c r="O821" i="2"/>
  <c r="N821" i="2"/>
  <c r="M821" i="2"/>
  <c r="L821" i="2"/>
  <c r="K821" i="2"/>
  <c r="J821" i="2"/>
  <c r="I821" i="2"/>
  <c r="H821" i="2"/>
  <c r="G821" i="2"/>
  <c r="F821" i="2"/>
  <c r="E821" i="2"/>
  <c r="D821" i="2"/>
  <c r="C821" i="2"/>
  <c r="A821" i="2"/>
  <c r="Q820" i="2"/>
  <c r="P820" i="2"/>
  <c r="O820" i="2"/>
  <c r="N820" i="2"/>
  <c r="M820" i="2"/>
  <c r="L820" i="2"/>
  <c r="K820" i="2"/>
  <c r="J820" i="2"/>
  <c r="I820" i="2"/>
  <c r="H820" i="2"/>
  <c r="G820" i="2"/>
  <c r="F820" i="2"/>
  <c r="E820" i="2"/>
  <c r="D820" i="2"/>
  <c r="C820" i="2"/>
  <c r="A820" i="2"/>
  <c r="Q819" i="2"/>
  <c r="P819" i="2"/>
  <c r="O819" i="2"/>
  <c r="N819" i="2"/>
  <c r="M819" i="2"/>
  <c r="L819" i="2"/>
  <c r="K819" i="2"/>
  <c r="J819" i="2"/>
  <c r="I819" i="2"/>
  <c r="H819" i="2"/>
  <c r="G819" i="2"/>
  <c r="F819" i="2"/>
  <c r="E819" i="2"/>
  <c r="D819" i="2"/>
  <c r="C819" i="2"/>
  <c r="A819" i="2"/>
  <c r="Q818" i="2"/>
  <c r="P818" i="2"/>
  <c r="O818" i="2"/>
  <c r="N818" i="2"/>
  <c r="M818" i="2"/>
  <c r="L818" i="2"/>
  <c r="K818" i="2"/>
  <c r="J818" i="2"/>
  <c r="I818" i="2"/>
  <c r="H818" i="2"/>
  <c r="G818" i="2"/>
  <c r="F818" i="2"/>
  <c r="E818" i="2"/>
  <c r="D818" i="2"/>
  <c r="C818" i="2"/>
  <c r="A818" i="2"/>
  <c r="Q817" i="2"/>
  <c r="P817" i="2"/>
  <c r="O817" i="2"/>
  <c r="N817" i="2"/>
  <c r="M817" i="2"/>
  <c r="L817" i="2"/>
  <c r="K817" i="2"/>
  <c r="J817" i="2"/>
  <c r="I817" i="2"/>
  <c r="H817" i="2"/>
  <c r="G817" i="2"/>
  <c r="F817" i="2"/>
  <c r="E817" i="2"/>
  <c r="D817" i="2"/>
  <c r="C817" i="2"/>
  <c r="A817" i="2"/>
  <c r="Q816" i="2"/>
  <c r="P816" i="2"/>
  <c r="O816" i="2"/>
  <c r="N816" i="2"/>
  <c r="M816" i="2"/>
  <c r="L816" i="2"/>
  <c r="K816" i="2"/>
  <c r="J816" i="2"/>
  <c r="I816" i="2"/>
  <c r="H816" i="2"/>
  <c r="G816" i="2"/>
  <c r="F816" i="2"/>
  <c r="E816" i="2"/>
  <c r="D816" i="2"/>
  <c r="C816" i="2"/>
  <c r="A816" i="2"/>
  <c r="Q815" i="2"/>
  <c r="P815" i="2"/>
  <c r="O815" i="2"/>
  <c r="N815" i="2"/>
  <c r="M815" i="2"/>
  <c r="L815" i="2"/>
  <c r="K815" i="2"/>
  <c r="J815" i="2"/>
  <c r="I815" i="2"/>
  <c r="H815" i="2"/>
  <c r="G815" i="2"/>
  <c r="F815" i="2"/>
  <c r="E815" i="2"/>
  <c r="D815" i="2"/>
  <c r="C815" i="2"/>
  <c r="A815" i="2"/>
  <c r="Q814" i="2"/>
  <c r="P814" i="2"/>
  <c r="O814" i="2"/>
  <c r="N814" i="2"/>
  <c r="M814" i="2"/>
  <c r="L814" i="2"/>
  <c r="K814" i="2"/>
  <c r="J814" i="2"/>
  <c r="I814" i="2"/>
  <c r="H814" i="2"/>
  <c r="G814" i="2"/>
  <c r="F814" i="2"/>
  <c r="E814" i="2"/>
  <c r="D814" i="2"/>
  <c r="C814" i="2"/>
  <c r="A814" i="2"/>
  <c r="Q813" i="2"/>
  <c r="P813" i="2"/>
  <c r="O813" i="2"/>
  <c r="N813" i="2"/>
  <c r="M813" i="2"/>
  <c r="L813" i="2"/>
  <c r="K813" i="2"/>
  <c r="J813" i="2"/>
  <c r="I813" i="2"/>
  <c r="H813" i="2"/>
  <c r="G813" i="2"/>
  <c r="F813" i="2"/>
  <c r="E813" i="2"/>
  <c r="D813" i="2"/>
  <c r="C813" i="2"/>
  <c r="A813" i="2"/>
  <c r="Q812" i="2"/>
  <c r="P812" i="2"/>
  <c r="O812" i="2"/>
  <c r="N812" i="2"/>
  <c r="M812" i="2"/>
  <c r="L812" i="2"/>
  <c r="K812" i="2"/>
  <c r="J812" i="2"/>
  <c r="I812" i="2"/>
  <c r="H812" i="2"/>
  <c r="G812" i="2"/>
  <c r="F812" i="2"/>
  <c r="E812" i="2"/>
  <c r="D812" i="2"/>
  <c r="C812" i="2"/>
  <c r="A812" i="2"/>
  <c r="Q811" i="2"/>
  <c r="P811" i="2"/>
  <c r="O811" i="2"/>
  <c r="N811" i="2"/>
  <c r="M811" i="2"/>
  <c r="L811" i="2"/>
  <c r="K811" i="2"/>
  <c r="J811" i="2"/>
  <c r="I811" i="2"/>
  <c r="H811" i="2"/>
  <c r="G811" i="2"/>
  <c r="F811" i="2"/>
  <c r="E811" i="2"/>
  <c r="D811" i="2"/>
  <c r="C811" i="2"/>
  <c r="A811" i="2"/>
  <c r="Q810" i="2"/>
  <c r="P810" i="2"/>
  <c r="O810" i="2"/>
  <c r="N810" i="2"/>
  <c r="M810" i="2"/>
  <c r="L810" i="2"/>
  <c r="K810" i="2"/>
  <c r="J810" i="2"/>
  <c r="I810" i="2"/>
  <c r="H810" i="2"/>
  <c r="G810" i="2"/>
  <c r="F810" i="2"/>
  <c r="E810" i="2"/>
  <c r="D810" i="2"/>
  <c r="C810" i="2"/>
  <c r="A810" i="2"/>
  <c r="Q809" i="2"/>
  <c r="P809" i="2"/>
  <c r="O809" i="2"/>
  <c r="N809" i="2"/>
  <c r="M809" i="2"/>
  <c r="L809" i="2"/>
  <c r="K809" i="2"/>
  <c r="J809" i="2"/>
  <c r="I809" i="2"/>
  <c r="H809" i="2"/>
  <c r="G809" i="2"/>
  <c r="F809" i="2"/>
  <c r="E809" i="2"/>
  <c r="D809" i="2"/>
  <c r="C809" i="2"/>
  <c r="A809" i="2"/>
  <c r="Q808" i="2"/>
  <c r="P808" i="2"/>
  <c r="O808" i="2"/>
  <c r="N808" i="2"/>
  <c r="M808" i="2"/>
  <c r="L808" i="2"/>
  <c r="K808" i="2"/>
  <c r="J808" i="2"/>
  <c r="I808" i="2"/>
  <c r="H808" i="2"/>
  <c r="G808" i="2"/>
  <c r="F808" i="2"/>
  <c r="E808" i="2"/>
  <c r="D808" i="2"/>
  <c r="C808" i="2"/>
  <c r="A808" i="2"/>
  <c r="Q807" i="2"/>
  <c r="P807" i="2"/>
  <c r="O807" i="2"/>
  <c r="N807" i="2"/>
  <c r="M807" i="2"/>
  <c r="L807" i="2"/>
  <c r="K807" i="2"/>
  <c r="J807" i="2"/>
  <c r="I807" i="2"/>
  <c r="H807" i="2"/>
  <c r="G807" i="2"/>
  <c r="F807" i="2"/>
  <c r="E807" i="2"/>
  <c r="D807" i="2"/>
  <c r="C807" i="2"/>
  <c r="A807" i="2"/>
  <c r="Q806" i="2"/>
  <c r="P806" i="2"/>
  <c r="O806" i="2"/>
  <c r="N806" i="2"/>
  <c r="M806" i="2"/>
  <c r="L806" i="2"/>
  <c r="K806" i="2"/>
  <c r="J806" i="2"/>
  <c r="I806" i="2"/>
  <c r="H806" i="2"/>
  <c r="G806" i="2"/>
  <c r="F806" i="2"/>
  <c r="E806" i="2"/>
  <c r="D806" i="2"/>
  <c r="C806" i="2"/>
  <c r="A806" i="2"/>
  <c r="Q805" i="2"/>
  <c r="P805" i="2"/>
  <c r="O805" i="2"/>
  <c r="N805" i="2"/>
  <c r="M805" i="2"/>
  <c r="L805" i="2"/>
  <c r="K805" i="2"/>
  <c r="J805" i="2"/>
  <c r="I805" i="2"/>
  <c r="H805" i="2"/>
  <c r="G805" i="2"/>
  <c r="F805" i="2"/>
  <c r="E805" i="2"/>
  <c r="D805" i="2"/>
  <c r="C805" i="2"/>
  <c r="A805" i="2"/>
  <c r="Q804" i="2"/>
  <c r="P804" i="2"/>
  <c r="O804" i="2"/>
  <c r="N804" i="2"/>
  <c r="M804" i="2"/>
  <c r="L804" i="2"/>
  <c r="K804" i="2"/>
  <c r="J804" i="2"/>
  <c r="I804" i="2"/>
  <c r="H804" i="2"/>
  <c r="G804" i="2"/>
  <c r="F804" i="2"/>
  <c r="E804" i="2"/>
  <c r="D804" i="2"/>
  <c r="C804" i="2"/>
  <c r="A804" i="2"/>
  <c r="Q803" i="2"/>
  <c r="P803" i="2"/>
  <c r="O803" i="2"/>
  <c r="N803" i="2"/>
  <c r="M803" i="2"/>
  <c r="L803" i="2"/>
  <c r="K803" i="2"/>
  <c r="J803" i="2"/>
  <c r="I803" i="2"/>
  <c r="H803" i="2"/>
  <c r="G803" i="2"/>
  <c r="F803" i="2"/>
  <c r="E803" i="2"/>
  <c r="D803" i="2"/>
  <c r="C803" i="2"/>
  <c r="A803" i="2"/>
  <c r="Q802" i="2"/>
  <c r="P802" i="2"/>
  <c r="O802" i="2"/>
  <c r="N802" i="2"/>
  <c r="M802" i="2"/>
  <c r="L802" i="2"/>
  <c r="K802" i="2"/>
  <c r="J802" i="2"/>
  <c r="I802" i="2"/>
  <c r="H802" i="2"/>
  <c r="G802" i="2"/>
  <c r="F802" i="2"/>
  <c r="E802" i="2"/>
  <c r="D802" i="2"/>
  <c r="C802" i="2"/>
  <c r="A802" i="2"/>
  <c r="Q801" i="2"/>
  <c r="P801" i="2"/>
  <c r="O801" i="2"/>
  <c r="N801" i="2"/>
  <c r="M801" i="2"/>
  <c r="L801" i="2"/>
  <c r="K801" i="2"/>
  <c r="J801" i="2"/>
  <c r="I801" i="2"/>
  <c r="H801" i="2"/>
  <c r="G801" i="2"/>
  <c r="F801" i="2"/>
  <c r="E801" i="2"/>
  <c r="D801" i="2"/>
  <c r="C801" i="2"/>
  <c r="A801" i="2"/>
  <c r="Q800" i="2"/>
  <c r="P800" i="2"/>
  <c r="O800" i="2"/>
  <c r="N800" i="2"/>
  <c r="M800" i="2"/>
  <c r="L800" i="2"/>
  <c r="K800" i="2"/>
  <c r="J800" i="2"/>
  <c r="I800" i="2"/>
  <c r="H800" i="2"/>
  <c r="G800" i="2"/>
  <c r="F800" i="2"/>
  <c r="E800" i="2"/>
  <c r="D800" i="2"/>
  <c r="C800" i="2"/>
  <c r="A800" i="2"/>
  <c r="Q799" i="2"/>
  <c r="P799" i="2"/>
  <c r="O799" i="2"/>
  <c r="N799" i="2"/>
  <c r="M799" i="2"/>
  <c r="L799" i="2"/>
  <c r="K799" i="2"/>
  <c r="J799" i="2"/>
  <c r="I799" i="2"/>
  <c r="H799" i="2"/>
  <c r="G799" i="2"/>
  <c r="F799" i="2"/>
  <c r="E799" i="2"/>
  <c r="D799" i="2"/>
  <c r="C799" i="2"/>
  <c r="A799" i="2"/>
  <c r="Q798" i="2"/>
  <c r="P798" i="2"/>
  <c r="O798" i="2"/>
  <c r="N798" i="2"/>
  <c r="M798" i="2"/>
  <c r="L798" i="2"/>
  <c r="K798" i="2"/>
  <c r="J798" i="2"/>
  <c r="I798" i="2"/>
  <c r="H798" i="2"/>
  <c r="G798" i="2"/>
  <c r="F798" i="2"/>
  <c r="E798" i="2"/>
  <c r="D798" i="2"/>
  <c r="C798" i="2"/>
  <c r="A798" i="2"/>
  <c r="Q797" i="2"/>
  <c r="P797" i="2"/>
  <c r="O797" i="2"/>
  <c r="N797" i="2"/>
  <c r="M797" i="2"/>
  <c r="L797" i="2"/>
  <c r="K797" i="2"/>
  <c r="J797" i="2"/>
  <c r="I797" i="2"/>
  <c r="H797" i="2"/>
  <c r="G797" i="2"/>
  <c r="F797" i="2"/>
  <c r="E797" i="2"/>
  <c r="D797" i="2"/>
  <c r="C797" i="2"/>
  <c r="A797" i="2"/>
  <c r="Q796" i="2"/>
  <c r="P796" i="2"/>
  <c r="O796" i="2"/>
  <c r="N796" i="2"/>
  <c r="M796" i="2"/>
  <c r="L796" i="2"/>
  <c r="K796" i="2"/>
  <c r="J796" i="2"/>
  <c r="I796" i="2"/>
  <c r="H796" i="2"/>
  <c r="G796" i="2"/>
  <c r="F796" i="2"/>
  <c r="E796" i="2"/>
  <c r="D796" i="2"/>
  <c r="C796" i="2"/>
  <c r="A796" i="2"/>
  <c r="Q795" i="2"/>
  <c r="P795" i="2"/>
  <c r="O795" i="2"/>
  <c r="N795" i="2"/>
  <c r="M795" i="2"/>
  <c r="L795" i="2"/>
  <c r="K795" i="2"/>
  <c r="J795" i="2"/>
  <c r="I795" i="2"/>
  <c r="H795" i="2"/>
  <c r="G795" i="2"/>
  <c r="F795" i="2"/>
  <c r="E795" i="2"/>
  <c r="D795" i="2"/>
  <c r="C795" i="2"/>
  <c r="A795" i="2"/>
  <c r="Q794" i="2"/>
  <c r="P794" i="2"/>
  <c r="O794" i="2"/>
  <c r="N794" i="2"/>
  <c r="M794" i="2"/>
  <c r="L794" i="2"/>
  <c r="K794" i="2"/>
  <c r="J794" i="2"/>
  <c r="I794" i="2"/>
  <c r="H794" i="2"/>
  <c r="G794" i="2"/>
  <c r="F794" i="2"/>
  <c r="E794" i="2"/>
  <c r="D794" i="2"/>
  <c r="C794" i="2"/>
  <c r="A794" i="2"/>
  <c r="Q793" i="2"/>
  <c r="P793" i="2"/>
  <c r="O793" i="2"/>
  <c r="N793" i="2"/>
  <c r="M793" i="2"/>
  <c r="L793" i="2"/>
  <c r="K793" i="2"/>
  <c r="J793" i="2"/>
  <c r="I793" i="2"/>
  <c r="H793" i="2"/>
  <c r="G793" i="2"/>
  <c r="F793" i="2"/>
  <c r="E793" i="2"/>
  <c r="D793" i="2"/>
  <c r="C793" i="2"/>
  <c r="A793" i="2"/>
  <c r="Q792" i="2"/>
  <c r="P792" i="2"/>
  <c r="O792" i="2"/>
  <c r="N792" i="2"/>
  <c r="M792" i="2"/>
  <c r="L792" i="2"/>
  <c r="K792" i="2"/>
  <c r="J792" i="2"/>
  <c r="I792" i="2"/>
  <c r="H792" i="2"/>
  <c r="G792" i="2"/>
  <c r="F792" i="2"/>
  <c r="E792" i="2"/>
  <c r="D792" i="2"/>
  <c r="C792" i="2"/>
  <c r="A792" i="2"/>
  <c r="Q791" i="2"/>
  <c r="P791" i="2"/>
  <c r="O791" i="2"/>
  <c r="N791" i="2"/>
  <c r="M791" i="2"/>
  <c r="L791" i="2"/>
  <c r="K791" i="2"/>
  <c r="J791" i="2"/>
  <c r="I791" i="2"/>
  <c r="H791" i="2"/>
  <c r="G791" i="2"/>
  <c r="F791" i="2"/>
  <c r="E791" i="2"/>
  <c r="D791" i="2"/>
  <c r="C791" i="2"/>
  <c r="A791" i="2"/>
  <c r="Q790" i="2"/>
  <c r="P790" i="2"/>
  <c r="O790" i="2"/>
  <c r="N790" i="2"/>
  <c r="M790" i="2"/>
  <c r="L790" i="2"/>
  <c r="K790" i="2"/>
  <c r="J790" i="2"/>
  <c r="I790" i="2"/>
  <c r="H790" i="2"/>
  <c r="G790" i="2"/>
  <c r="F790" i="2"/>
  <c r="E790" i="2"/>
  <c r="D790" i="2"/>
  <c r="C790" i="2"/>
  <c r="A790" i="2"/>
  <c r="Q789" i="2"/>
  <c r="P789" i="2"/>
  <c r="O789" i="2"/>
  <c r="N789" i="2"/>
  <c r="M789" i="2"/>
  <c r="L789" i="2"/>
  <c r="K789" i="2"/>
  <c r="J789" i="2"/>
  <c r="I789" i="2"/>
  <c r="H789" i="2"/>
  <c r="G789" i="2"/>
  <c r="F789" i="2"/>
  <c r="E789" i="2"/>
  <c r="D789" i="2"/>
  <c r="C789" i="2"/>
  <c r="A789" i="2"/>
  <c r="Q788" i="2"/>
  <c r="P788" i="2"/>
  <c r="O788" i="2"/>
  <c r="N788" i="2"/>
  <c r="M788" i="2"/>
  <c r="L788" i="2"/>
  <c r="K788" i="2"/>
  <c r="J788" i="2"/>
  <c r="I788" i="2"/>
  <c r="H788" i="2"/>
  <c r="G788" i="2"/>
  <c r="F788" i="2"/>
  <c r="E788" i="2"/>
  <c r="D788" i="2"/>
  <c r="C788" i="2"/>
  <c r="A788" i="2"/>
  <c r="Q787" i="2"/>
  <c r="P787" i="2"/>
  <c r="O787" i="2"/>
  <c r="N787" i="2"/>
  <c r="M787" i="2"/>
  <c r="L787" i="2"/>
  <c r="K787" i="2"/>
  <c r="J787" i="2"/>
  <c r="I787" i="2"/>
  <c r="H787" i="2"/>
  <c r="G787" i="2"/>
  <c r="F787" i="2"/>
  <c r="E787" i="2"/>
  <c r="D787" i="2"/>
  <c r="C787" i="2"/>
  <c r="A787" i="2"/>
  <c r="Q786" i="2"/>
  <c r="P786" i="2"/>
  <c r="O786" i="2"/>
  <c r="N786" i="2"/>
  <c r="M786" i="2"/>
  <c r="L786" i="2"/>
  <c r="K786" i="2"/>
  <c r="J786" i="2"/>
  <c r="I786" i="2"/>
  <c r="H786" i="2"/>
  <c r="G786" i="2"/>
  <c r="F786" i="2"/>
  <c r="E786" i="2"/>
  <c r="D786" i="2"/>
  <c r="C786" i="2"/>
  <c r="A786" i="2"/>
  <c r="Q785" i="2"/>
  <c r="P785" i="2"/>
  <c r="O785" i="2"/>
  <c r="N785" i="2"/>
  <c r="M785" i="2"/>
  <c r="L785" i="2"/>
  <c r="K785" i="2"/>
  <c r="J785" i="2"/>
  <c r="I785" i="2"/>
  <c r="H785" i="2"/>
  <c r="G785" i="2"/>
  <c r="F785" i="2"/>
  <c r="E785" i="2"/>
  <c r="D785" i="2"/>
  <c r="C785" i="2"/>
  <c r="A785" i="2"/>
  <c r="Q784" i="2"/>
  <c r="P784" i="2"/>
  <c r="O784" i="2"/>
  <c r="N784" i="2"/>
  <c r="M784" i="2"/>
  <c r="L784" i="2"/>
  <c r="K784" i="2"/>
  <c r="J784" i="2"/>
  <c r="I784" i="2"/>
  <c r="H784" i="2"/>
  <c r="G784" i="2"/>
  <c r="F784" i="2"/>
  <c r="E784" i="2"/>
  <c r="D784" i="2"/>
  <c r="C784" i="2"/>
  <c r="A784" i="2"/>
  <c r="Q783" i="2"/>
  <c r="P783" i="2"/>
  <c r="O783" i="2"/>
  <c r="N783" i="2"/>
  <c r="M783" i="2"/>
  <c r="L783" i="2"/>
  <c r="K783" i="2"/>
  <c r="J783" i="2"/>
  <c r="I783" i="2"/>
  <c r="H783" i="2"/>
  <c r="G783" i="2"/>
  <c r="F783" i="2"/>
  <c r="E783" i="2"/>
  <c r="D783" i="2"/>
  <c r="C783" i="2"/>
  <c r="A783" i="2"/>
  <c r="Q782" i="2"/>
  <c r="P782" i="2"/>
  <c r="O782" i="2"/>
  <c r="N782" i="2"/>
  <c r="M782" i="2"/>
  <c r="L782" i="2"/>
  <c r="K782" i="2"/>
  <c r="J782" i="2"/>
  <c r="I782" i="2"/>
  <c r="H782" i="2"/>
  <c r="G782" i="2"/>
  <c r="F782" i="2"/>
  <c r="E782" i="2"/>
  <c r="D782" i="2"/>
  <c r="C782" i="2"/>
  <c r="A782" i="2"/>
  <c r="Q781" i="2"/>
  <c r="P781" i="2"/>
  <c r="O781" i="2"/>
  <c r="N781" i="2"/>
  <c r="M781" i="2"/>
  <c r="L781" i="2"/>
  <c r="K781" i="2"/>
  <c r="J781" i="2"/>
  <c r="I781" i="2"/>
  <c r="H781" i="2"/>
  <c r="G781" i="2"/>
  <c r="F781" i="2"/>
  <c r="E781" i="2"/>
  <c r="D781" i="2"/>
  <c r="C781" i="2"/>
  <c r="A781" i="2"/>
  <c r="Q780" i="2"/>
  <c r="P780" i="2"/>
  <c r="O780" i="2"/>
  <c r="N780" i="2"/>
  <c r="M780" i="2"/>
  <c r="L780" i="2"/>
  <c r="K780" i="2"/>
  <c r="J780" i="2"/>
  <c r="I780" i="2"/>
  <c r="H780" i="2"/>
  <c r="G780" i="2"/>
  <c r="F780" i="2"/>
  <c r="E780" i="2"/>
  <c r="D780" i="2"/>
  <c r="C780" i="2"/>
  <c r="A780" i="2"/>
  <c r="Q779" i="2"/>
  <c r="P779" i="2"/>
  <c r="O779" i="2"/>
  <c r="N779" i="2"/>
  <c r="M779" i="2"/>
  <c r="L779" i="2"/>
  <c r="K779" i="2"/>
  <c r="J779" i="2"/>
  <c r="I779" i="2"/>
  <c r="H779" i="2"/>
  <c r="G779" i="2"/>
  <c r="F779" i="2"/>
  <c r="E779" i="2"/>
  <c r="D779" i="2"/>
  <c r="C779" i="2"/>
  <c r="A779" i="2"/>
  <c r="Q778" i="2"/>
  <c r="P778" i="2"/>
  <c r="O778" i="2"/>
  <c r="N778" i="2"/>
  <c r="M778" i="2"/>
  <c r="L778" i="2"/>
  <c r="K778" i="2"/>
  <c r="J778" i="2"/>
  <c r="I778" i="2"/>
  <c r="H778" i="2"/>
  <c r="G778" i="2"/>
  <c r="F778" i="2"/>
  <c r="E778" i="2"/>
  <c r="D778" i="2"/>
  <c r="C778" i="2"/>
  <c r="A778" i="2"/>
  <c r="Q777" i="2"/>
  <c r="P777" i="2"/>
  <c r="O777" i="2"/>
  <c r="N777" i="2"/>
  <c r="M777" i="2"/>
  <c r="L777" i="2"/>
  <c r="K777" i="2"/>
  <c r="J777" i="2"/>
  <c r="I777" i="2"/>
  <c r="H777" i="2"/>
  <c r="G777" i="2"/>
  <c r="F777" i="2"/>
  <c r="E777" i="2"/>
  <c r="D777" i="2"/>
  <c r="C777" i="2"/>
  <c r="A777" i="2"/>
  <c r="Q776" i="2"/>
  <c r="P776" i="2"/>
  <c r="O776" i="2"/>
  <c r="N776" i="2"/>
  <c r="M776" i="2"/>
  <c r="L776" i="2"/>
  <c r="K776" i="2"/>
  <c r="J776" i="2"/>
  <c r="I776" i="2"/>
  <c r="H776" i="2"/>
  <c r="G776" i="2"/>
  <c r="F776" i="2"/>
  <c r="E776" i="2"/>
  <c r="D776" i="2"/>
  <c r="C776" i="2"/>
  <c r="A776" i="2"/>
  <c r="Q775" i="2"/>
  <c r="P775" i="2"/>
  <c r="O775" i="2"/>
  <c r="N775" i="2"/>
  <c r="M775" i="2"/>
  <c r="L775" i="2"/>
  <c r="K775" i="2"/>
  <c r="J775" i="2"/>
  <c r="I775" i="2"/>
  <c r="H775" i="2"/>
  <c r="G775" i="2"/>
  <c r="F775" i="2"/>
  <c r="E775" i="2"/>
  <c r="D775" i="2"/>
  <c r="C775" i="2"/>
  <c r="A775" i="2"/>
  <c r="Q774" i="2"/>
  <c r="P774" i="2"/>
  <c r="O774" i="2"/>
  <c r="N774" i="2"/>
  <c r="M774" i="2"/>
  <c r="L774" i="2"/>
  <c r="K774" i="2"/>
  <c r="J774" i="2"/>
  <c r="I774" i="2"/>
  <c r="H774" i="2"/>
  <c r="G774" i="2"/>
  <c r="F774" i="2"/>
  <c r="E774" i="2"/>
  <c r="D774" i="2"/>
  <c r="C774" i="2"/>
  <c r="A774" i="2"/>
  <c r="Q773" i="2"/>
  <c r="P773" i="2"/>
  <c r="O773" i="2"/>
  <c r="N773" i="2"/>
  <c r="M773" i="2"/>
  <c r="L773" i="2"/>
  <c r="K773" i="2"/>
  <c r="J773" i="2"/>
  <c r="I773" i="2"/>
  <c r="H773" i="2"/>
  <c r="G773" i="2"/>
  <c r="F773" i="2"/>
  <c r="E773" i="2"/>
  <c r="D773" i="2"/>
  <c r="C773" i="2"/>
  <c r="A773" i="2"/>
  <c r="Q772" i="2"/>
  <c r="P772" i="2"/>
  <c r="O772" i="2"/>
  <c r="N772" i="2"/>
  <c r="M772" i="2"/>
  <c r="L772" i="2"/>
  <c r="K772" i="2"/>
  <c r="J772" i="2"/>
  <c r="I772" i="2"/>
  <c r="H772" i="2"/>
  <c r="G772" i="2"/>
  <c r="F772" i="2"/>
  <c r="E772" i="2"/>
  <c r="D772" i="2"/>
  <c r="C772" i="2"/>
  <c r="A772" i="2"/>
  <c r="Q771" i="2"/>
  <c r="P771" i="2"/>
  <c r="O771" i="2"/>
  <c r="N771" i="2"/>
  <c r="M771" i="2"/>
  <c r="L771" i="2"/>
  <c r="K771" i="2"/>
  <c r="J771" i="2"/>
  <c r="I771" i="2"/>
  <c r="H771" i="2"/>
  <c r="G771" i="2"/>
  <c r="F771" i="2"/>
  <c r="E771" i="2"/>
  <c r="D771" i="2"/>
  <c r="C771" i="2"/>
  <c r="A771" i="2"/>
  <c r="Q770" i="2"/>
  <c r="P770" i="2"/>
  <c r="O770" i="2"/>
  <c r="N770" i="2"/>
  <c r="M770" i="2"/>
  <c r="L770" i="2"/>
  <c r="K770" i="2"/>
  <c r="J770" i="2"/>
  <c r="I770" i="2"/>
  <c r="H770" i="2"/>
  <c r="G770" i="2"/>
  <c r="F770" i="2"/>
  <c r="E770" i="2"/>
  <c r="D770" i="2"/>
  <c r="C770" i="2"/>
  <c r="A770" i="2"/>
  <c r="Q769" i="2"/>
  <c r="P769" i="2"/>
  <c r="O769" i="2"/>
  <c r="N769" i="2"/>
  <c r="M769" i="2"/>
  <c r="L769" i="2"/>
  <c r="K769" i="2"/>
  <c r="J769" i="2"/>
  <c r="I769" i="2"/>
  <c r="H769" i="2"/>
  <c r="G769" i="2"/>
  <c r="F769" i="2"/>
  <c r="E769" i="2"/>
  <c r="D769" i="2"/>
  <c r="C769" i="2"/>
  <c r="A769" i="2"/>
  <c r="Q768" i="2"/>
  <c r="P768" i="2"/>
  <c r="O768" i="2"/>
  <c r="N768" i="2"/>
  <c r="M768" i="2"/>
  <c r="L768" i="2"/>
  <c r="K768" i="2"/>
  <c r="J768" i="2"/>
  <c r="I768" i="2"/>
  <c r="H768" i="2"/>
  <c r="G768" i="2"/>
  <c r="F768" i="2"/>
  <c r="E768" i="2"/>
  <c r="D768" i="2"/>
  <c r="C768" i="2"/>
  <c r="A768" i="2"/>
  <c r="Q767" i="2"/>
  <c r="P767" i="2"/>
  <c r="O767" i="2"/>
  <c r="N767" i="2"/>
  <c r="M767" i="2"/>
  <c r="L767" i="2"/>
  <c r="K767" i="2"/>
  <c r="J767" i="2"/>
  <c r="I767" i="2"/>
  <c r="H767" i="2"/>
  <c r="G767" i="2"/>
  <c r="F767" i="2"/>
  <c r="E767" i="2"/>
  <c r="D767" i="2"/>
  <c r="C767" i="2"/>
  <c r="A767" i="2"/>
  <c r="Q766" i="2"/>
  <c r="P766" i="2"/>
  <c r="O766" i="2"/>
  <c r="N766" i="2"/>
  <c r="M766" i="2"/>
  <c r="L766" i="2"/>
  <c r="K766" i="2"/>
  <c r="J766" i="2"/>
  <c r="I766" i="2"/>
  <c r="H766" i="2"/>
  <c r="G766" i="2"/>
  <c r="F766" i="2"/>
  <c r="E766" i="2"/>
  <c r="D766" i="2"/>
  <c r="C766" i="2"/>
  <c r="A766" i="2"/>
  <c r="Q765" i="2"/>
  <c r="P765" i="2"/>
  <c r="O765" i="2"/>
  <c r="N765" i="2"/>
  <c r="M765" i="2"/>
  <c r="L765" i="2"/>
  <c r="K765" i="2"/>
  <c r="J765" i="2"/>
  <c r="I765" i="2"/>
  <c r="H765" i="2"/>
  <c r="G765" i="2"/>
  <c r="F765" i="2"/>
  <c r="E765" i="2"/>
  <c r="D765" i="2"/>
  <c r="C765" i="2"/>
  <c r="A765" i="2"/>
  <c r="Q764" i="2"/>
  <c r="P764" i="2"/>
  <c r="O764" i="2"/>
  <c r="N764" i="2"/>
  <c r="M764" i="2"/>
  <c r="L764" i="2"/>
  <c r="K764" i="2"/>
  <c r="J764" i="2"/>
  <c r="I764" i="2"/>
  <c r="H764" i="2"/>
  <c r="G764" i="2"/>
  <c r="F764" i="2"/>
  <c r="E764" i="2"/>
  <c r="D764" i="2"/>
  <c r="C764" i="2"/>
  <c r="A764" i="2"/>
  <c r="Q763" i="2"/>
  <c r="P763" i="2"/>
  <c r="O763" i="2"/>
  <c r="N763" i="2"/>
  <c r="M763" i="2"/>
  <c r="L763" i="2"/>
  <c r="K763" i="2"/>
  <c r="J763" i="2"/>
  <c r="I763" i="2"/>
  <c r="H763" i="2"/>
  <c r="G763" i="2"/>
  <c r="F763" i="2"/>
  <c r="E763" i="2"/>
  <c r="D763" i="2"/>
  <c r="C763" i="2"/>
  <c r="A763" i="2"/>
  <c r="Q762" i="2"/>
  <c r="P762" i="2"/>
  <c r="O762" i="2"/>
  <c r="N762" i="2"/>
  <c r="M762" i="2"/>
  <c r="L762" i="2"/>
  <c r="K762" i="2"/>
  <c r="J762" i="2"/>
  <c r="I762" i="2"/>
  <c r="H762" i="2"/>
  <c r="G762" i="2"/>
  <c r="F762" i="2"/>
  <c r="E762" i="2"/>
  <c r="D762" i="2"/>
  <c r="C762" i="2"/>
  <c r="A762" i="2"/>
  <c r="Q761" i="2"/>
  <c r="P761" i="2"/>
  <c r="O761" i="2"/>
  <c r="N761" i="2"/>
  <c r="M761" i="2"/>
  <c r="L761" i="2"/>
  <c r="K761" i="2"/>
  <c r="J761" i="2"/>
  <c r="I761" i="2"/>
  <c r="H761" i="2"/>
  <c r="G761" i="2"/>
  <c r="F761" i="2"/>
  <c r="E761" i="2"/>
  <c r="D761" i="2"/>
  <c r="C761" i="2"/>
  <c r="A761" i="2"/>
  <c r="Q760" i="2"/>
  <c r="P760" i="2"/>
  <c r="O760" i="2"/>
  <c r="N760" i="2"/>
  <c r="M760" i="2"/>
  <c r="L760" i="2"/>
  <c r="K760" i="2"/>
  <c r="J760" i="2"/>
  <c r="I760" i="2"/>
  <c r="H760" i="2"/>
  <c r="G760" i="2"/>
  <c r="F760" i="2"/>
  <c r="E760" i="2"/>
  <c r="D760" i="2"/>
  <c r="C760" i="2"/>
  <c r="A760" i="2"/>
  <c r="Q759" i="2"/>
  <c r="P759" i="2"/>
  <c r="O759" i="2"/>
  <c r="N759" i="2"/>
  <c r="M759" i="2"/>
  <c r="L759" i="2"/>
  <c r="K759" i="2"/>
  <c r="J759" i="2"/>
  <c r="I759" i="2"/>
  <c r="H759" i="2"/>
  <c r="G759" i="2"/>
  <c r="F759" i="2"/>
  <c r="E759" i="2"/>
  <c r="D759" i="2"/>
  <c r="C759" i="2"/>
  <c r="A759" i="2"/>
  <c r="Q758" i="2"/>
  <c r="P758" i="2"/>
  <c r="O758" i="2"/>
  <c r="N758" i="2"/>
  <c r="M758" i="2"/>
  <c r="L758" i="2"/>
  <c r="K758" i="2"/>
  <c r="J758" i="2"/>
  <c r="I758" i="2"/>
  <c r="H758" i="2"/>
  <c r="G758" i="2"/>
  <c r="F758" i="2"/>
  <c r="E758" i="2"/>
  <c r="D758" i="2"/>
  <c r="C758" i="2"/>
  <c r="A758" i="2"/>
  <c r="Q757" i="2"/>
  <c r="P757" i="2"/>
  <c r="O757" i="2"/>
  <c r="N757" i="2"/>
  <c r="M757" i="2"/>
  <c r="L757" i="2"/>
  <c r="K757" i="2"/>
  <c r="J757" i="2"/>
  <c r="I757" i="2"/>
  <c r="H757" i="2"/>
  <c r="G757" i="2"/>
  <c r="F757" i="2"/>
  <c r="E757" i="2"/>
  <c r="D757" i="2"/>
  <c r="C757" i="2"/>
  <c r="A757" i="2"/>
  <c r="Q756" i="2"/>
  <c r="P756" i="2"/>
  <c r="O756" i="2"/>
  <c r="N756" i="2"/>
  <c r="M756" i="2"/>
  <c r="L756" i="2"/>
  <c r="K756" i="2"/>
  <c r="J756" i="2"/>
  <c r="I756" i="2"/>
  <c r="H756" i="2"/>
  <c r="G756" i="2"/>
  <c r="F756" i="2"/>
  <c r="E756" i="2"/>
  <c r="D756" i="2"/>
  <c r="C756" i="2"/>
  <c r="A756" i="2"/>
  <c r="Q755" i="2"/>
  <c r="P755" i="2"/>
  <c r="O755" i="2"/>
  <c r="N755" i="2"/>
  <c r="M755" i="2"/>
  <c r="L755" i="2"/>
  <c r="K755" i="2"/>
  <c r="J755" i="2"/>
  <c r="I755" i="2"/>
  <c r="H755" i="2"/>
  <c r="G755" i="2"/>
  <c r="F755" i="2"/>
  <c r="E755" i="2"/>
  <c r="D755" i="2"/>
  <c r="C755" i="2"/>
  <c r="A755" i="2"/>
  <c r="Q754" i="2"/>
  <c r="P754" i="2"/>
  <c r="O754" i="2"/>
  <c r="N754" i="2"/>
  <c r="M754" i="2"/>
  <c r="L754" i="2"/>
  <c r="K754" i="2"/>
  <c r="J754" i="2"/>
  <c r="I754" i="2"/>
  <c r="H754" i="2"/>
  <c r="G754" i="2"/>
  <c r="F754" i="2"/>
  <c r="E754" i="2"/>
  <c r="D754" i="2"/>
  <c r="C754" i="2"/>
  <c r="A754" i="2"/>
  <c r="Q753" i="2"/>
  <c r="P753" i="2"/>
  <c r="O753" i="2"/>
  <c r="N753" i="2"/>
  <c r="M753" i="2"/>
  <c r="L753" i="2"/>
  <c r="K753" i="2"/>
  <c r="J753" i="2"/>
  <c r="I753" i="2"/>
  <c r="H753" i="2"/>
  <c r="G753" i="2"/>
  <c r="F753" i="2"/>
  <c r="E753" i="2"/>
  <c r="D753" i="2"/>
  <c r="C753" i="2"/>
  <c r="A753" i="2"/>
  <c r="Q752" i="2"/>
  <c r="P752" i="2"/>
  <c r="O752" i="2"/>
  <c r="N752" i="2"/>
  <c r="M752" i="2"/>
  <c r="L752" i="2"/>
  <c r="K752" i="2"/>
  <c r="J752" i="2"/>
  <c r="I752" i="2"/>
  <c r="H752" i="2"/>
  <c r="G752" i="2"/>
  <c r="F752" i="2"/>
  <c r="E752" i="2"/>
  <c r="D752" i="2"/>
  <c r="C752" i="2"/>
  <c r="A752" i="2"/>
  <c r="Q751" i="2"/>
  <c r="P751" i="2"/>
  <c r="O751" i="2"/>
  <c r="N751" i="2"/>
  <c r="M751" i="2"/>
  <c r="L751" i="2"/>
  <c r="K751" i="2"/>
  <c r="J751" i="2"/>
  <c r="I751" i="2"/>
  <c r="H751" i="2"/>
  <c r="G751" i="2"/>
  <c r="F751" i="2"/>
  <c r="E751" i="2"/>
  <c r="D751" i="2"/>
  <c r="C751" i="2"/>
  <c r="A751" i="2"/>
  <c r="Q750" i="2"/>
  <c r="P750" i="2"/>
  <c r="O750" i="2"/>
  <c r="N750" i="2"/>
  <c r="M750" i="2"/>
  <c r="L750" i="2"/>
  <c r="K750" i="2"/>
  <c r="J750" i="2"/>
  <c r="I750" i="2"/>
  <c r="H750" i="2"/>
  <c r="G750" i="2"/>
  <c r="F750" i="2"/>
  <c r="E750" i="2"/>
  <c r="D750" i="2"/>
  <c r="C750" i="2"/>
  <c r="A750" i="2"/>
  <c r="Q749" i="2"/>
  <c r="P749" i="2"/>
  <c r="O749" i="2"/>
  <c r="N749" i="2"/>
  <c r="M749" i="2"/>
  <c r="L749" i="2"/>
  <c r="K749" i="2"/>
  <c r="J749" i="2"/>
  <c r="I749" i="2"/>
  <c r="H749" i="2"/>
  <c r="G749" i="2"/>
  <c r="F749" i="2"/>
  <c r="E749" i="2"/>
  <c r="D749" i="2"/>
  <c r="C749" i="2"/>
  <c r="A749" i="2"/>
  <c r="Q748" i="2"/>
  <c r="P748" i="2"/>
  <c r="O748" i="2"/>
  <c r="N748" i="2"/>
  <c r="M748" i="2"/>
  <c r="L748" i="2"/>
  <c r="K748" i="2"/>
  <c r="J748" i="2"/>
  <c r="I748" i="2"/>
  <c r="H748" i="2"/>
  <c r="G748" i="2"/>
  <c r="F748" i="2"/>
  <c r="E748" i="2"/>
  <c r="D748" i="2"/>
  <c r="C748" i="2"/>
  <c r="A748" i="2"/>
  <c r="Q747" i="2"/>
  <c r="P747" i="2"/>
  <c r="O747" i="2"/>
  <c r="N747" i="2"/>
  <c r="M747" i="2"/>
  <c r="L747" i="2"/>
  <c r="K747" i="2"/>
  <c r="J747" i="2"/>
  <c r="I747" i="2"/>
  <c r="H747" i="2"/>
  <c r="G747" i="2"/>
  <c r="F747" i="2"/>
  <c r="E747" i="2"/>
  <c r="D747" i="2"/>
  <c r="C747" i="2"/>
  <c r="A747" i="2"/>
  <c r="Q746" i="2"/>
  <c r="P746" i="2"/>
  <c r="O746" i="2"/>
  <c r="N746" i="2"/>
  <c r="M746" i="2"/>
  <c r="L746" i="2"/>
  <c r="K746" i="2"/>
  <c r="J746" i="2"/>
  <c r="I746" i="2"/>
  <c r="H746" i="2"/>
  <c r="G746" i="2"/>
  <c r="F746" i="2"/>
  <c r="E746" i="2"/>
  <c r="D746" i="2"/>
  <c r="C746" i="2"/>
  <c r="A746" i="2"/>
  <c r="Q745" i="2"/>
  <c r="P745" i="2"/>
  <c r="O745" i="2"/>
  <c r="N745" i="2"/>
  <c r="M745" i="2"/>
  <c r="L745" i="2"/>
  <c r="K745" i="2"/>
  <c r="J745" i="2"/>
  <c r="I745" i="2"/>
  <c r="H745" i="2"/>
  <c r="G745" i="2"/>
  <c r="F745" i="2"/>
  <c r="E745" i="2"/>
  <c r="D745" i="2"/>
  <c r="C745" i="2"/>
  <c r="A745" i="2"/>
  <c r="Q744" i="2"/>
  <c r="P744" i="2"/>
  <c r="O744" i="2"/>
  <c r="N744" i="2"/>
  <c r="M744" i="2"/>
  <c r="L744" i="2"/>
  <c r="K744" i="2"/>
  <c r="J744" i="2"/>
  <c r="I744" i="2"/>
  <c r="H744" i="2"/>
  <c r="G744" i="2"/>
  <c r="F744" i="2"/>
  <c r="E744" i="2"/>
  <c r="D744" i="2"/>
  <c r="C744" i="2"/>
  <c r="A744" i="2"/>
  <c r="Q743" i="2"/>
  <c r="P743" i="2"/>
  <c r="O743" i="2"/>
  <c r="N743" i="2"/>
  <c r="M743" i="2"/>
  <c r="L743" i="2"/>
  <c r="K743" i="2"/>
  <c r="J743" i="2"/>
  <c r="I743" i="2"/>
  <c r="H743" i="2"/>
  <c r="G743" i="2"/>
  <c r="F743" i="2"/>
  <c r="E743" i="2"/>
  <c r="D743" i="2"/>
  <c r="C743" i="2"/>
  <c r="A743" i="2"/>
  <c r="Q742" i="2"/>
  <c r="P742" i="2"/>
  <c r="O742" i="2"/>
  <c r="N742" i="2"/>
  <c r="M742" i="2"/>
  <c r="L742" i="2"/>
  <c r="K742" i="2"/>
  <c r="J742" i="2"/>
  <c r="I742" i="2"/>
  <c r="H742" i="2"/>
  <c r="G742" i="2"/>
  <c r="F742" i="2"/>
  <c r="E742" i="2"/>
  <c r="D742" i="2"/>
  <c r="C742" i="2"/>
  <c r="A742" i="2"/>
  <c r="Q741" i="2"/>
  <c r="P741" i="2"/>
  <c r="O741" i="2"/>
  <c r="N741" i="2"/>
  <c r="M741" i="2"/>
  <c r="L741" i="2"/>
  <c r="K741" i="2"/>
  <c r="J741" i="2"/>
  <c r="I741" i="2"/>
  <c r="H741" i="2"/>
  <c r="G741" i="2"/>
  <c r="F741" i="2"/>
  <c r="E741" i="2"/>
  <c r="D741" i="2"/>
  <c r="C741" i="2"/>
  <c r="A741" i="2"/>
  <c r="Q740" i="2"/>
  <c r="P740" i="2"/>
  <c r="O740" i="2"/>
  <c r="N740" i="2"/>
  <c r="M740" i="2"/>
  <c r="L740" i="2"/>
  <c r="K740" i="2"/>
  <c r="J740" i="2"/>
  <c r="I740" i="2"/>
  <c r="H740" i="2"/>
  <c r="G740" i="2"/>
  <c r="F740" i="2"/>
  <c r="E740" i="2"/>
  <c r="D740" i="2"/>
  <c r="C740" i="2"/>
  <c r="A740" i="2"/>
  <c r="Q739" i="2"/>
  <c r="P739" i="2"/>
  <c r="O739" i="2"/>
  <c r="N739" i="2"/>
  <c r="M739" i="2"/>
  <c r="L739" i="2"/>
  <c r="K739" i="2"/>
  <c r="J739" i="2"/>
  <c r="I739" i="2"/>
  <c r="H739" i="2"/>
  <c r="G739" i="2"/>
  <c r="F739" i="2"/>
  <c r="E739" i="2"/>
  <c r="D739" i="2"/>
  <c r="C739" i="2"/>
  <c r="A739" i="2"/>
  <c r="Q738" i="2"/>
  <c r="P738" i="2"/>
  <c r="O738" i="2"/>
  <c r="N738" i="2"/>
  <c r="M738" i="2"/>
  <c r="L738" i="2"/>
  <c r="K738" i="2"/>
  <c r="J738" i="2"/>
  <c r="I738" i="2"/>
  <c r="H738" i="2"/>
  <c r="G738" i="2"/>
  <c r="F738" i="2"/>
  <c r="E738" i="2"/>
  <c r="D738" i="2"/>
  <c r="C738" i="2"/>
  <c r="A738" i="2"/>
  <c r="Q737" i="2"/>
  <c r="P737" i="2"/>
  <c r="O737" i="2"/>
  <c r="N737" i="2"/>
  <c r="M737" i="2"/>
  <c r="L737" i="2"/>
  <c r="K737" i="2"/>
  <c r="J737" i="2"/>
  <c r="I737" i="2"/>
  <c r="H737" i="2"/>
  <c r="G737" i="2"/>
  <c r="F737" i="2"/>
  <c r="E737" i="2"/>
  <c r="D737" i="2"/>
  <c r="C737" i="2"/>
  <c r="A737" i="2"/>
  <c r="Q736" i="2"/>
  <c r="P736" i="2"/>
  <c r="O736" i="2"/>
  <c r="N736" i="2"/>
  <c r="M736" i="2"/>
  <c r="L736" i="2"/>
  <c r="K736" i="2"/>
  <c r="J736" i="2"/>
  <c r="I736" i="2"/>
  <c r="H736" i="2"/>
  <c r="G736" i="2"/>
  <c r="F736" i="2"/>
  <c r="E736" i="2"/>
  <c r="D736" i="2"/>
  <c r="C736" i="2"/>
  <c r="A736" i="2"/>
  <c r="Q735" i="2"/>
  <c r="P735" i="2"/>
  <c r="O735" i="2"/>
  <c r="N735" i="2"/>
  <c r="M735" i="2"/>
  <c r="L735" i="2"/>
  <c r="K735" i="2"/>
  <c r="J735" i="2"/>
  <c r="I735" i="2"/>
  <c r="H735" i="2"/>
  <c r="G735" i="2"/>
  <c r="F735" i="2"/>
  <c r="E735" i="2"/>
  <c r="D735" i="2"/>
  <c r="C735" i="2"/>
  <c r="A735" i="2"/>
  <c r="Q734" i="2"/>
  <c r="P734" i="2"/>
  <c r="O734" i="2"/>
  <c r="N734" i="2"/>
  <c r="M734" i="2"/>
  <c r="L734" i="2"/>
  <c r="K734" i="2"/>
  <c r="J734" i="2"/>
  <c r="I734" i="2"/>
  <c r="H734" i="2"/>
  <c r="G734" i="2"/>
  <c r="F734" i="2"/>
  <c r="E734" i="2"/>
  <c r="D734" i="2"/>
  <c r="C734" i="2"/>
  <c r="A734" i="2"/>
  <c r="Q733" i="2"/>
  <c r="P733" i="2"/>
  <c r="O733" i="2"/>
  <c r="N733" i="2"/>
  <c r="M733" i="2"/>
  <c r="L733" i="2"/>
  <c r="K733" i="2"/>
  <c r="J733" i="2"/>
  <c r="I733" i="2"/>
  <c r="H733" i="2"/>
  <c r="G733" i="2"/>
  <c r="F733" i="2"/>
  <c r="E733" i="2"/>
  <c r="D733" i="2"/>
  <c r="C733" i="2"/>
  <c r="A733" i="2"/>
  <c r="Q732" i="2"/>
  <c r="P732" i="2"/>
  <c r="O732" i="2"/>
  <c r="N732" i="2"/>
  <c r="M732" i="2"/>
  <c r="L732" i="2"/>
  <c r="K732" i="2"/>
  <c r="J732" i="2"/>
  <c r="I732" i="2"/>
  <c r="H732" i="2"/>
  <c r="G732" i="2"/>
  <c r="F732" i="2"/>
  <c r="E732" i="2"/>
  <c r="D732" i="2"/>
  <c r="C732" i="2"/>
  <c r="A732" i="2"/>
  <c r="Q731" i="2"/>
  <c r="P731" i="2"/>
  <c r="O731" i="2"/>
  <c r="N731" i="2"/>
  <c r="M731" i="2"/>
  <c r="L731" i="2"/>
  <c r="K731" i="2"/>
  <c r="J731" i="2"/>
  <c r="I731" i="2"/>
  <c r="H731" i="2"/>
  <c r="G731" i="2"/>
  <c r="F731" i="2"/>
  <c r="E731" i="2"/>
  <c r="D731" i="2"/>
  <c r="C731" i="2"/>
  <c r="A731" i="2"/>
  <c r="Q730" i="2"/>
  <c r="P730" i="2"/>
  <c r="O730" i="2"/>
  <c r="N730" i="2"/>
  <c r="M730" i="2"/>
  <c r="L730" i="2"/>
  <c r="K730" i="2"/>
  <c r="J730" i="2"/>
  <c r="I730" i="2"/>
  <c r="H730" i="2"/>
  <c r="G730" i="2"/>
  <c r="F730" i="2"/>
  <c r="E730" i="2"/>
  <c r="D730" i="2"/>
  <c r="C730" i="2"/>
  <c r="A730" i="2"/>
  <c r="Q729" i="2"/>
  <c r="P729" i="2"/>
  <c r="O729" i="2"/>
  <c r="N729" i="2"/>
  <c r="M729" i="2"/>
  <c r="L729" i="2"/>
  <c r="K729" i="2"/>
  <c r="J729" i="2"/>
  <c r="I729" i="2"/>
  <c r="H729" i="2"/>
  <c r="G729" i="2"/>
  <c r="F729" i="2"/>
  <c r="E729" i="2"/>
  <c r="D729" i="2"/>
  <c r="C729" i="2"/>
  <c r="A729" i="2"/>
  <c r="Q728" i="2"/>
  <c r="P728" i="2"/>
  <c r="O728" i="2"/>
  <c r="N728" i="2"/>
  <c r="M728" i="2"/>
  <c r="L728" i="2"/>
  <c r="K728" i="2"/>
  <c r="J728" i="2"/>
  <c r="I728" i="2"/>
  <c r="H728" i="2"/>
  <c r="G728" i="2"/>
  <c r="F728" i="2"/>
  <c r="E728" i="2"/>
  <c r="D728" i="2"/>
  <c r="C728" i="2"/>
  <c r="A728" i="2"/>
  <c r="Q727" i="2"/>
  <c r="P727" i="2"/>
  <c r="O727" i="2"/>
  <c r="N727" i="2"/>
  <c r="M727" i="2"/>
  <c r="L727" i="2"/>
  <c r="K727" i="2"/>
  <c r="J727" i="2"/>
  <c r="I727" i="2"/>
  <c r="H727" i="2"/>
  <c r="G727" i="2"/>
  <c r="F727" i="2"/>
  <c r="E727" i="2"/>
  <c r="D727" i="2"/>
  <c r="C727" i="2"/>
  <c r="A727" i="2"/>
  <c r="Q726" i="2"/>
  <c r="P726" i="2"/>
  <c r="O726" i="2"/>
  <c r="N726" i="2"/>
  <c r="M726" i="2"/>
  <c r="L726" i="2"/>
  <c r="K726" i="2"/>
  <c r="J726" i="2"/>
  <c r="I726" i="2"/>
  <c r="H726" i="2"/>
  <c r="G726" i="2"/>
  <c r="F726" i="2"/>
  <c r="E726" i="2"/>
  <c r="D726" i="2"/>
  <c r="C726" i="2"/>
  <c r="A726" i="2"/>
  <c r="Q725" i="2"/>
  <c r="P725" i="2"/>
  <c r="O725" i="2"/>
  <c r="N725" i="2"/>
  <c r="M725" i="2"/>
  <c r="L725" i="2"/>
  <c r="K725" i="2"/>
  <c r="J725" i="2"/>
  <c r="I725" i="2"/>
  <c r="H725" i="2"/>
  <c r="G725" i="2"/>
  <c r="F725" i="2"/>
  <c r="E725" i="2"/>
  <c r="D725" i="2"/>
  <c r="C725" i="2"/>
  <c r="A725" i="2"/>
  <c r="Q724" i="2"/>
  <c r="P724" i="2"/>
  <c r="O724" i="2"/>
  <c r="N724" i="2"/>
  <c r="M724" i="2"/>
  <c r="L724" i="2"/>
  <c r="K724" i="2"/>
  <c r="J724" i="2"/>
  <c r="I724" i="2"/>
  <c r="H724" i="2"/>
  <c r="G724" i="2"/>
  <c r="F724" i="2"/>
  <c r="E724" i="2"/>
  <c r="D724" i="2"/>
  <c r="C724" i="2"/>
  <c r="A724" i="2"/>
  <c r="Q723" i="2"/>
  <c r="P723" i="2"/>
  <c r="O723" i="2"/>
  <c r="N723" i="2"/>
  <c r="M723" i="2"/>
  <c r="L723" i="2"/>
  <c r="K723" i="2"/>
  <c r="J723" i="2"/>
  <c r="I723" i="2"/>
  <c r="H723" i="2"/>
  <c r="G723" i="2"/>
  <c r="F723" i="2"/>
  <c r="E723" i="2"/>
  <c r="D723" i="2"/>
  <c r="C723" i="2"/>
  <c r="A723" i="2"/>
  <c r="Q722" i="2"/>
  <c r="P722" i="2"/>
  <c r="O722" i="2"/>
  <c r="N722" i="2"/>
  <c r="M722" i="2"/>
  <c r="L722" i="2"/>
  <c r="K722" i="2"/>
  <c r="J722" i="2"/>
  <c r="I722" i="2"/>
  <c r="H722" i="2"/>
  <c r="G722" i="2"/>
  <c r="F722" i="2"/>
  <c r="E722" i="2"/>
  <c r="D722" i="2"/>
  <c r="C722" i="2"/>
  <c r="A722" i="2"/>
  <c r="Q721" i="2"/>
  <c r="P721" i="2"/>
  <c r="O721" i="2"/>
  <c r="N721" i="2"/>
  <c r="M721" i="2"/>
  <c r="L721" i="2"/>
  <c r="K721" i="2"/>
  <c r="J721" i="2"/>
  <c r="I721" i="2"/>
  <c r="H721" i="2"/>
  <c r="G721" i="2"/>
  <c r="F721" i="2"/>
  <c r="E721" i="2"/>
  <c r="D721" i="2"/>
  <c r="C721" i="2"/>
  <c r="A721" i="2"/>
  <c r="Q720" i="2"/>
  <c r="P720" i="2"/>
  <c r="O720" i="2"/>
  <c r="N720" i="2"/>
  <c r="M720" i="2"/>
  <c r="L720" i="2"/>
  <c r="K720" i="2"/>
  <c r="J720" i="2"/>
  <c r="I720" i="2"/>
  <c r="H720" i="2"/>
  <c r="G720" i="2"/>
  <c r="F720" i="2"/>
  <c r="E720" i="2"/>
  <c r="D720" i="2"/>
  <c r="C720" i="2"/>
  <c r="A720" i="2"/>
  <c r="Q719" i="2"/>
  <c r="P719" i="2"/>
  <c r="O719" i="2"/>
  <c r="N719" i="2"/>
  <c r="M719" i="2"/>
  <c r="L719" i="2"/>
  <c r="K719" i="2"/>
  <c r="J719" i="2"/>
  <c r="I719" i="2"/>
  <c r="H719" i="2"/>
  <c r="G719" i="2"/>
  <c r="F719" i="2"/>
  <c r="E719" i="2"/>
  <c r="D719" i="2"/>
  <c r="C719" i="2"/>
  <c r="A719" i="2"/>
  <c r="Q718" i="2"/>
  <c r="P718" i="2"/>
  <c r="O718" i="2"/>
  <c r="N718" i="2"/>
  <c r="M718" i="2"/>
  <c r="L718" i="2"/>
  <c r="K718" i="2"/>
  <c r="J718" i="2"/>
  <c r="I718" i="2"/>
  <c r="H718" i="2"/>
  <c r="G718" i="2"/>
  <c r="F718" i="2"/>
  <c r="E718" i="2"/>
  <c r="D718" i="2"/>
  <c r="C718" i="2"/>
  <c r="A718" i="2"/>
  <c r="Q717" i="2"/>
  <c r="P717" i="2"/>
  <c r="O717" i="2"/>
  <c r="N717" i="2"/>
  <c r="M717" i="2"/>
  <c r="L717" i="2"/>
  <c r="K717" i="2"/>
  <c r="J717" i="2"/>
  <c r="I717" i="2"/>
  <c r="H717" i="2"/>
  <c r="G717" i="2"/>
  <c r="F717" i="2"/>
  <c r="E717" i="2"/>
  <c r="D717" i="2"/>
  <c r="C717" i="2"/>
  <c r="A717" i="2"/>
  <c r="Q716" i="2"/>
  <c r="P716" i="2"/>
  <c r="O716" i="2"/>
  <c r="N716" i="2"/>
  <c r="M716" i="2"/>
  <c r="L716" i="2"/>
  <c r="K716" i="2"/>
  <c r="J716" i="2"/>
  <c r="I716" i="2"/>
  <c r="H716" i="2"/>
  <c r="G716" i="2"/>
  <c r="F716" i="2"/>
  <c r="E716" i="2"/>
  <c r="D716" i="2"/>
  <c r="C716" i="2"/>
  <c r="A716" i="2"/>
  <c r="Q715" i="2"/>
  <c r="P715" i="2"/>
  <c r="O715" i="2"/>
  <c r="N715" i="2"/>
  <c r="M715" i="2"/>
  <c r="L715" i="2"/>
  <c r="K715" i="2"/>
  <c r="J715" i="2"/>
  <c r="I715" i="2"/>
  <c r="H715" i="2"/>
  <c r="G715" i="2"/>
  <c r="F715" i="2"/>
  <c r="E715" i="2"/>
  <c r="D715" i="2"/>
  <c r="C715" i="2"/>
  <c r="A715" i="2"/>
  <c r="Q714" i="2"/>
  <c r="P714" i="2"/>
  <c r="O714" i="2"/>
  <c r="N714" i="2"/>
  <c r="M714" i="2"/>
  <c r="L714" i="2"/>
  <c r="K714" i="2"/>
  <c r="J714" i="2"/>
  <c r="I714" i="2"/>
  <c r="H714" i="2"/>
  <c r="G714" i="2"/>
  <c r="F714" i="2"/>
  <c r="E714" i="2"/>
  <c r="D714" i="2"/>
  <c r="C714" i="2"/>
  <c r="A714" i="2"/>
  <c r="Q713" i="2"/>
  <c r="P713" i="2"/>
  <c r="O713" i="2"/>
  <c r="N713" i="2"/>
  <c r="M713" i="2"/>
  <c r="L713" i="2"/>
  <c r="K713" i="2"/>
  <c r="J713" i="2"/>
  <c r="I713" i="2"/>
  <c r="H713" i="2"/>
  <c r="G713" i="2"/>
  <c r="F713" i="2"/>
  <c r="E713" i="2"/>
  <c r="D713" i="2"/>
  <c r="C713" i="2"/>
  <c r="A713" i="2"/>
  <c r="Q712" i="2"/>
  <c r="P712" i="2"/>
  <c r="O712" i="2"/>
  <c r="N712" i="2"/>
  <c r="M712" i="2"/>
  <c r="L712" i="2"/>
  <c r="K712" i="2"/>
  <c r="J712" i="2"/>
  <c r="I712" i="2"/>
  <c r="H712" i="2"/>
  <c r="G712" i="2"/>
  <c r="F712" i="2"/>
  <c r="E712" i="2"/>
  <c r="D712" i="2"/>
  <c r="C712" i="2"/>
  <c r="A712" i="2"/>
  <c r="Q711" i="2"/>
  <c r="P711" i="2"/>
  <c r="O711" i="2"/>
  <c r="N711" i="2"/>
  <c r="M711" i="2"/>
  <c r="L711" i="2"/>
  <c r="K711" i="2"/>
  <c r="J711" i="2"/>
  <c r="I711" i="2"/>
  <c r="H711" i="2"/>
  <c r="G711" i="2"/>
  <c r="F711" i="2"/>
  <c r="E711" i="2"/>
  <c r="D711" i="2"/>
  <c r="C711" i="2"/>
  <c r="A711" i="2"/>
  <c r="Q710" i="2"/>
  <c r="P710" i="2"/>
  <c r="O710" i="2"/>
  <c r="N710" i="2"/>
  <c r="M710" i="2"/>
  <c r="L710" i="2"/>
  <c r="K710" i="2"/>
  <c r="J710" i="2"/>
  <c r="I710" i="2"/>
  <c r="H710" i="2"/>
  <c r="G710" i="2"/>
  <c r="F710" i="2"/>
  <c r="E710" i="2"/>
  <c r="D710" i="2"/>
  <c r="C710" i="2"/>
  <c r="A710" i="2"/>
  <c r="Q709" i="2"/>
  <c r="P709" i="2"/>
  <c r="O709" i="2"/>
  <c r="N709" i="2"/>
  <c r="M709" i="2"/>
  <c r="L709" i="2"/>
  <c r="K709" i="2"/>
  <c r="J709" i="2"/>
  <c r="I709" i="2"/>
  <c r="H709" i="2"/>
  <c r="G709" i="2"/>
  <c r="F709" i="2"/>
  <c r="E709" i="2"/>
  <c r="D709" i="2"/>
  <c r="C709" i="2"/>
  <c r="A709" i="2"/>
  <c r="Q708" i="2"/>
  <c r="P708" i="2"/>
  <c r="O708" i="2"/>
  <c r="N708" i="2"/>
  <c r="M708" i="2"/>
  <c r="L708" i="2"/>
  <c r="K708" i="2"/>
  <c r="J708" i="2"/>
  <c r="I708" i="2"/>
  <c r="H708" i="2"/>
  <c r="G708" i="2"/>
  <c r="F708" i="2"/>
  <c r="E708" i="2"/>
  <c r="D708" i="2"/>
  <c r="C708" i="2"/>
  <c r="A708" i="2"/>
  <c r="Q707" i="2"/>
  <c r="P707" i="2"/>
  <c r="O707" i="2"/>
  <c r="N707" i="2"/>
  <c r="M707" i="2"/>
  <c r="L707" i="2"/>
  <c r="K707" i="2"/>
  <c r="J707" i="2"/>
  <c r="I707" i="2"/>
  <c r="H707" i="2"/>
  <c r="G707" i="2"/>
  <c r="F707" i="2"/>
  <c r="E707" i="2"/>
  <c r="D707" i="2"/>
  <c r="C707" i="2"/>
  <c r="A707" i="2"/>
  <c r="Q706" i="2"/>
  <c r="P706" i="2"/>
  <c r="O706" i="2"/>
  <c r="N706" i="2"/>
  <c r="M706" i="2"/>
  <c r="L706" i="2"/>
  <c r="K706" i="2"/>
  <c r="J706" i="2"/>
  <c r="I706" i="2"/>
  <c r="H706" i="2"/>
  <c r="G706" i="2"/>
  <c r="F706" i="2"/>
  <c r="E706" i="2"/>
  <c r="D706" i="2"/>
  <c r="C706" i="2"/>
  <c r="A706" i="2"/>
  <c r="Q705" i="2"/>
  <c r="P705" i="2"/>
  <c r="O705" i="2"/>
  <c r="N705" i="2"/>
  <c r="M705" i="2"/>
  <c r="L705" i="2"/>
  <c r="K705" i="2"/>
  <c r="J705" i="2"/>
  <c r="I705" i="2"/>
  <c r="H705" i="2"/>
  <c r="G705" i="2"/>
  <c r="F705" i="2"/>
  <c r="E705" i="2"/>
  <c r="D705" i="2"/>
  <c r="C705" i="2"/>
  <c r="A705" i="2"/>
  <c r="Q704" i="2"/>
  <c r="P704" i="2"/>
  <c r="O704" i="2"/>
  <c r="N704" i="2"/>
  <c r="M704" i="2"/>
  <c r="L704" i="2"/>
  <c r="K704" i="2"/>
  <c r="J704" i="2"/>
  <c r="I704" i="2"/>
  <c r="H704" i="2"/>
  <c r="G704" i="2"/>
  <c r="F704" i="2"/>
  <c r="E704" i="2"/>
  <c r="D704" i="2"/>
  <c r="C704" i="2"/>
  <c r="A704" i="2"/>
  <c r="Q703" i="2"/>
  <c r="P703" i="2"/>
  <c r="O703" i="2"/>
  <c r="N703" i="2"/>
  <c r="M703" i="2"/>
  <c r="L703" i="2"/>
  <c r="K703" i="2"/>
  <c r="J703" i="2"/>
  <c r="I703" i="2"/>
  <c r="H703" i="2"/>
  <c r="G703" i="2"/>
  <c r="F703" i="2"/>
  <c r="E703" i="2"/>
  <c r="D703" i="2"/>
  <c r="C703" i="2"/>
  <c r="A703" i="2"/>
  <c r="Q702" i="2"/>
  <c r="P702" i="2"/>
  <c r="O702" i="2"/>
  <c r="N702" i="2"/>
  <c r="M702" i="2"/>
  <c r="L702" i="2"/>
  <c r="K702" i="2"/>
  <c r="J702" i="2"/>
  <c r="I702" i="2"/>
  <c r="H702" i="2"/>
  <c r="G702" i="2"/>
  <c r="F702" i="2"/>
  <c r="E702" i="2"/>
  <c r="D702" i="2"/>
  <c r="C702" i="2"/>
  <c r="A702" i="2"/>
  <c r="Q701" i="2"/>
  <c r="P701" i="2"/>
  <c r="O701" i="2"/>
  <c r="N701" i="2"/>
  <c r="M701" i="2"/>
  <c r="L701" i="2"/>
  <c r="K701" i="2"/>
  <c r="J701" i="2"/>
  <c r="I701" i="2"/>
  <c r="H701" i="2"/>
  <c r="G701" i="2"/>
  <c r="F701" i="2"/>
  <c r="E701" i="2"/>
  <c r="D701" i="2"/>
  <c r="C701" i="2"/>
  <c r="A701" i="2"/>
  <c r="Q700" i="2"/>
  <c r="P700" i="2"/>
  <c r="O700" i="2"/>
  <c r="N700" i="2"/>
  <c r="M700" i="2"/>
  <c r="L700" i="2"/>
  <c r="K700" i="2"/>
  <c r="J700" i="2"/>
  <c r="I700" i="2"/>
  <c r="H700" i="2"/>
  <c r="G700" i="2"/>
  <c r="F700" i="2"/>
  <c r="E700" i="2"/>
  <c r="D700" i="2"/>
  <c r="C700" i="2"/>
  <c r="A700" i="2"/>
  <c r="Q699" i="2"/>
  <c r="P699" i="2"/>
  <c r="O699" i="2"/>
  <c r="N699" i="2"/>
  <c r="M699" i="2"/>
  <c r="L699" i="2"/>
  <c r="K699" i="2"/>
  <c r="J699" i="2"/>
  <c r="I699" i="2"/>
  <c r="H699" i="2"/>
  <c r="G699" i="2"/>
  <c r="F699" i="2"/>
  <c r="E699" i="2"/>
  <c r="D699" i="2"/>
  <c r="C699" i="2"/>
  <c r="A699" i="2"/>
  <c r="Q698" i="2"/>
  <c r="P698" i="2"/>
  <c r="O698" i="2"/>
  <c r="N698" i="2"/>
  <c r="M698" i="2"/>
  <c r="L698" i="2"/>
  <c r="K698" i="2"/>
  <c r="J698" i="2"/>
  <c r="I698" i="2"/>
  <c r="H698" i="2"/>
  <c r="G698" i="2"/>
  <c r="F698" i="2"/>
  <c r="E698" i="2"/>
  <c r="D698" i="2"/>
  <c r="C698" i="2"/>
  <c r="A698" i="2"/>
  <c r="Q697" i="2"/>
  <c r="P697" i="2"/>
  <c r="O697" i="2"/>
  <c r="N697" i="2"/>
  <c r="M697" i="2"/>
  <c r="L697" i="2"/>
  <c r="K697" i="2"/>
  <c r="J697" i="2"/>
  <c r="I697" i="2"/>
  <c r="H697" i="2"/>
  <c r="G697" i="2"/>
  <c r="F697" i="2"/>
  <c r="E697" i="2"/>
  <c r="D697" i="2"/>
  <c r="C697" i="2"/>
  <c r="A697" i="2"/>
  <c r="Q696" i="2"/>
  <c r="P696" i="2"/>
  <c r="O696" i="2"/>
  <c r="N696" i="2"/>
  <c r="M696" i="2"/>
  <c r="L696" i="2"/>
  <c r="K696" i="2"/>
  <c r="J696" i="2"/>
  <c r="I696" i="2"/>
  <c r="H696" i="2"/>
  <c r="G696" i="2"/>
  <c r="F696" i="2"/>
  <c r="E696" i="2"/>
  <c r="D696" i="2"/>
  <c r="C696" i="2"/>
  <c r="A696" i="2"/>
  <c r="Q695" i="2"/>
  <c r="P695" i="2"/>
  <c r="O695" i="2"/>
  <c r="N695" i="2"/>
  <c r="M695" i="2"/>
  <c r="L695" i="2"/>
  <c r="K695" i="2"/>
  <c r="J695" i="2"/>
  <c r="I695" i="2"/>
  <c r="H695" i="2"/>
  <c r="G695" i="2"/>
  <c r="F695" i="2"/>
  <c r="E695" i="2"/>
  <c r="D695" i="2"/>
  <c r="C695" i="2"/>
  <c r="A695" i="2"/>
  <c r="Q694" i="2"/>
  <c r="P694" i="2"/>
  <c r="O694" i="2"/>
  <c r="N694" i="2"/>
  <c r="M694" i="2"/>
  <c r="L694" i="2"/>
  <c r="K694" i="2"/>
  <c r="J694" i="2"/>
  <c r="I694" i="2"/>
  <c r="H694" i="2"/>
  <c r="G694" i="2"/>
  <c r="F694" i="2"/>
  <c r="E694" i="2"/>
  <c r="D694" i="2"/>
  <c r="C694" i="2"/>
  <c r="A694" i="2"/>
  <c r="Q693" i="2"/>
  <c r="P693" i="2"/>
  <c r="O693" i="2"/>
  <c r="N693" i="2"/>
  <c r="M693" i="2"/>
  <c r="L693" i="2"/>
  <c r="K693" i="2"/>
  <c r="J693" i="2"/>
  <c r="I693" i="2"/>
  <c r="H693" i="2"/>
  <c r="G693" i="2"/>
  <c r="F693" i="2"/>
  <c r="E693" i="2"/>
  <c r="D693" i="2"/>
  <c r="C693" i="2"/>
  <c r="A693" i="2"/>
  <c r="Q692" i="2"/>
  <c r="P692" i="2"/>
  <c r="O692" i="2"/>
  <c r="N692" i="2"/>
  <c r="M692" i="2"/>
  <c r="L692" i="2"/>
  <c r="K692" i="2"/>
  <c r="J692" i="2"/>
  <c r="I692" i="2"/>
  <c r="H692" i="2"/>
  <c r="G692" i="2"/>
  <c r="F692" i="2"/>
  <c r="E692" i="2"/>
  <c r="D692" i="2"/>
  <c r="C692" i="2"/>
  <c r="A692" i="2"/>
  <c r="Q691" i="2"/>
  <c r="P691" i="2"/>
  <c r="O691" i="2"/>
  <c r="N691" i="2"/>
  <c r="M691" i="2"/>
  <c r="L691" i="2"/>
  <c r="K691" i="2"/>
  <c r="J691" i="2"/>
  <c r="I691" i="2"/>
  <c r="H691" i="2"/>
  <c r="G691" i="2"/>
  <c r="F691" i="2"/>
  <c r="E691" i="2"/>
  <c r="D691" i="2"/>
  <c r="C691" i="2"/>
  <c r="A691" i="2"/>
  <c r="Q690" i="2"/>
  <c r="P690" i="2"/>
  <c r="O690" i="2"/>
  <c r="N690" i="2"/>
  <c r="M690" i="2"/>
  <c r="L690" i="2"/>
  <c r="K690" i="2"/>
  <c r="J690" i="2"/>
  <c r="I690" i="2"/>
  <c r="H690" i="2"/>
  <c r="G690" i="2"/>
  <c r="F690" i="2"/>
  <c r="E690" i="2"/>
  <c r="D690" i="2"/>
  <c r="C690" i="2"/>
  <c r="A690" i="2"/>
  <c r="Q689" i="2"/>
  <c r="P689" i="2"/>
  <c r="O689" i="2"/>
  <c r="N689" i="2"/>
  <c r="M689" i="2"/>
  <c r="L689" i="2"/>
  <c r="K689" i="2"/>
  <c r="J689" i="2"/>
  <c r="I689" i="2"/>
  <c r="H689" i="2"/>
  <c r="G689" i="2"/>
  <c r="F689" i="2"/>
  <c r="E689" i="2"/>
  <c r="D689" i="2"/>
  <c r="C689" i="2"/>
  <c r="A689" i="2"/>
  <c r="Q688" i="2"/>
  <c r="P688" i="2"/>
  <c r="O688" i="2"/>
  <c r="N688" i="2"/>
  <c r="M688" i="2"/>
  <c r="L688" i="2"/>
  <c r="K688" i="2"/>
  <c r="J688" i="2"/>
  <c r="I688" i="2"/>
  <c r="H688" i="2"/>
  <c r="G688" i="2"/>
  <c r="F688" i="2"/>
  <c r="E688" i="2"/>
  <c r="D688" i="2"/>
  <c r="C688" i="2"/>
  <c r="A688" i="2"/>
  <c r="Q687" i="2"/>
  <c r="P687" i="2"/>
  <c r="O687" i="2"/>
  <c r="N687" i="2"/>
  <c r="M687" i="2"/>
  <c r="L687" i="2"/>
  <c r="K687" i="2"/>
  <c r="J687" i="2"/>
  <c r="I687" i="2"/>
  <c r="H687" i="2"/>
  <c r="G687" i="2"/>
  <c r="F687" i="2"/>
  <c r="E687" i="2"/>
  <c r="D687" i="2"/>
  <c r="C687" i="2"/>
  <c r="A687" i="2"/>
  <c r="Q686" i="2"/>
  <c r="P686" i="2"/>
  <c r="O686" i="2"/>
  <c r="N686" i="2"/>
  <c r="M686" i="2"/>
  <c r="L686" i="2"/>
  <c r="K686" i="2"/>
  <c r="J686" i="2"/>
  <c r="I686" i="2"/>
  <c r="H686" i="2"/>
  <c r="G686" i="2"/>
  <c r="F686" i="2"/>
  <c r="E686" i="2"/>
  <c r="D686" i="2"/>
  <c r="C686" i="2"/>
  <c r="A686" i="2"/>
  <c r="Q685" i="2"/>
  <c r="P685" i="2"/>
  <c r="O685" i="2"/>
  <c r="N685" i="2"/>
  <c r="M685" i="2"/>
  <c r="L685" i="2"/>
  <c r="K685" i="2"/>
  <c r="J685" i="2"/>
  <c r="I685" i="2"/>
  <c r="H685" i="2"/>
  <c r="G685" i="2"/>
  <c r="F685" i="2"/>
  <c r="E685" i="2"/>
  <c r="D685" i="2"/>
  <c r="C685" i="2"/>
  <c r="A685" i="2"/>
  <c r="Q684" i="2"/>
  <c r="P684" i="2"/>
  <c r="O684" i="2"/>
  <c r="N684" i="2"/>
  <c r="M684" i="2"/>
  <c r="L684" i="2"/>
  <c r="K684" i="2"/>
  <c r="J684" i="2"/>
  <c r="I684" i="2"/>
  <c r="H684" i="2"/>
  <c r="G684" i="2"/>
  <c r="F684" i="2"/>
  <c r="E684" i="2"/>
  <c r="D684" i="2"/>
  <c r="C684" i="2"/>
  <c r="A684" i="2"/>
  <c r="Q683" i="2"/>
  <c r="P683" i="2"/>
  <c r="O683" i="2"/>
  <c r="N683" i="2"/>
  <c r="M683" i="2"/>
  <c r="L683" i="2"/>
  <c r="K683" i="2"/>
  <c r="J683" i="2"/>
  <c r="I683" i="2"/>
  <c r="H683" i="2"/>
  <c r="G683" i="2"/>
  <c r="F683" i="2"/>
  <c r="E683" i="2"/>
  <c r="D683" i="2"/>
  <c r="C683" i="2"/>
  <c r="A683" i="2"/>
  <c r="Q682" i="2"/>
  <c r="P682" i="2"/>
  <c r="O682" i="2"/>
  <c r="N682" i="2"/>
  <c r="M682" i="2"/>
  <c r="L682" i="2"/>
  <c r="K682" i="2"/>
  <c r="J682" i="2"/>
  <c r="I682" i="2"/>
  <c r="H682" i="2"/>
  <c r="G682" i="2"/>
  <c r="F682" i="2"/>
  <c r="E682" i="2"/>
  <c r="D682" i="2"/>
  <c r="C682" i="2"/>
  <c r="A682" i="2"/>
  <c r="Q681" i="2"/>
  <c r="P681" i="2"/>
  <c r="O681" i="2"/>
  <c r="N681" i="2"/>
  <c r="M681" i="2"/>
  <c r="L681" i="2"/>
  <c r="K681" i="2"/>
  <c r="J681" i="2"/>
  <c r="I681" i="2"/>
  <c r="H681" i="2"/>
  <c r="G681" i="2"/>
  <c r="F681" i="2"/>
  <c r="E681" i="2"/>
  <c r="D681" i="2"/>
  <c r="C681" i="2"/>
  <c r="A681" i="2"/>
  <c r="Q680" i="2"/>
  <c r="P680" i="2"/>
  <c r="O680" i="2"/>
  <c r="N680" i="2"/>
  <c r="M680" i="2"/>
  <c r="L680" i="2"/>
  <c r="K680" i="2"/>
  <c r="J680" i="2"/>
  <c r="I680" i="2"/>
  <c r="H680" i="2"/>
  <c r="G680" i="2"/>
  <c r="F680" i="2"/>
  <c r="E680" i="2"/>
  <c r="D680" i="2"/>
  <c r="C680" i="2"/>
  <c r="A680" i="2"/>
  <c r="Q679" i="2"/>
  <c r="P679" i="2"/>
  <c r="O679" i="2"/>
  <c r="N679" i="2"/>
  <c r="M679" i="2"/>
  <c r="L679" i="2"/>
  <c r="K679" i="2"/>
  <c r="J679" i="2"/>
  <c r="I679" i="2"/>
  <c r="H679" i="2"/>
  <c r="G679" i="2"/>
  <c r="F679" i="2"/>
  <c r="E679" i="2"/>
  <c r="D679" i="2"/>
  <c r="C679" i="2"/>
  <c r="A679" i="2"/>
  <c r="Q678" i="2"/>
  <c r="P678" i="2"/>
  <c r="O678" i="2"/>
  <c r="N678" i="2"/>
  <c r="M678" i="2"/>
  <c r="L678" i="2"/>
  <c r="K678" i="2"/>
  <c r="J678" i="2"/>
  <c r="I678" i="2"/>
  <c r="H678" i="2"/>
  <c r="G678" i="2"/>
  <c r="F678" i="2"/>
  <c r="E678" i="2"/>
  <c r="D678" i="2"/>
  <c r="C678" i="2"/>
  <c r="A678" i="2"/>
  <c r="Q677" i="2"/>
  <c r="P677" i="2"/>
  <c r="O677" i="2"/>
  <c r="N677" i="2"/>
  <c r="M677" i="2"/>
  <c r="L677" i="2"/>
  <c r="K677" i="2"/>
  <c r="J677" i="2"/>
  <c r="I677" i="2"/>
  <c r="H677" i="2"/>
  <c r="G677" i="2"/>
  <c r="F677" i="2"/>
  <c r="E677" i="2"/>
  <c r="D677" i="2"/>
  <c r="C677" i="2"/>
  <c r="A677" i="2"/>
  <c r="Q676" i="2"/>
  <c r="P676" i="2"/>
  <c r="O676" i="2"/>
  <c r="N676" i="2"/>
  <c r="M676" i="2"/>
  <c r="L676" i="2"/>
  <c r="K676" i="2"/>
  <c r="J676" i="2"/>
  <c r="I676" i="2"/>
  <c r="H676" i="2"/>
  <c r="G676" i="2"/>
  <c r="F676" i="2"/>
  <c r="E676" i="2"/>
  <c r="D676" i="2"/>
  <c r="C676" i="2"/>
  <c r="A676" i="2"/>
  <c r="Q675" i="2"/>
  <c r="P675" i="2"/>
  <c r="O675" i="2"/>
  <c r="N675" i="2"/>
  <c r="M675" i="2"/>
  <c r="L675" i="2"/>
  <c r="K675" i="2"/>
  <c r="J675" i="2"/>
  <c r="I675" i="2"/>
  <c r="H675" i="2"/>
  <c r="G675" i="2"/>
  <c r="F675" i="2"/>
  <c r="E675" i="2"/>
  <c r="D675" i="2"/>
  <c r="C675" i="2"/>
  <c r="A675" i="2"/>
  <c r="Q674" i="2"/>
  <c r="P674" i="2"/>
  <c r="O674" i="2"/>
  <c r="N674" i="2"/>
  <c r="M674" i="2"/>
  <c r="L674" i="2"/>
  <c r="K674" i="2"/>
  <c r="J674" i="2"/>
  <c r="I674" i="2"/>
  <c r="H674" i="2"/>
  <c r="G674" i="2"/>
  <c r="F674" i="2"/>
  <c r="E674" i="2"/>
  <c r="D674" i="2"/>
  <c r="C674" i="2"/>
  <c r="A674" i="2"/>
  <c r="Q673" i="2"/>
  <c r="P673" i="2"/>
  <c r="O673" i="2"/>
  <c r="N673" i="2"/>
  <c r="M673" i="2"/>
  <c r="L673" i="2"/>
  <c r="K673" i="2"/>
  <c r="J673" i="2"/>
  <c r="I673" i="2"/>
  <c r="H673" i="2"/>
  <c r="G673" i="2"/>
  <c r="F673" i="2"/>
  <c r="E673" i="2"/>
  <c r="D673" i="2"/>
  <c r="C673" i="2"/>
  <c r="A673" i="2"/>
  <c r="Q672" i="2"/>
  <c r="P672" i="2"/>
  <c r="O672" i="2"/>
  <c r="N672" i="2"/>
  <c r="M672" i="2"/>
  <c r="L672" i="2"/>
  <c r="K672" i="2"/>
  <c r="J672" i="2"/>
  <c r="I672" i="2"/>
  <c r="H672" i="2"/>
  <c r="G672" i="2"/>
  <c r="F672" i="2"/>
  <c r="E672" i="2"/>
  <c r="D672" i="2"/>
  <c r="C672" i="2"/>
  <c r="A672" i="2"/>
  <c r="Q671" i="2"/>
  <c r="P671" i="2"/>
  <c r="O671" i="2"/>
  <c r="N671" i="2"/>
  <c r="M671" i="2"/>
  <c r="L671" i="2"/>
  <c r="K671" i="2"/>
  <c r="J671" i="2"/>
  <c r="I671" i="2"/>
  <c r="H671" i="2"/>
  <c r="G671" i="2"/>
  <c r="F671" i="2"/>
  <c r="E671" i="2"/>
  <c r="D671" i="2"/>
  <c r="C671" i="2"/>
  <c r="A671" i="2"/>
  <c r="Q670" i="2"/>
  <c r="P670" i="2"/>
  <c r="O670" i="2"/>
  <c r="N670" i="2"/>
  <c r="M670" i="2"/>
  <c r="L670" i="2"/>
  <c r="K670" i="2"/>
  <c r="J670" i="2"/>
  <c r="I670" i="2"/>
  <c r="H670" i="2"/>
  <c r="G670" i="2"/>
  <c r="F670" i="2"/>
  <c r="E670" i="2"/>
  <c r="D670" i="2"/>
  <c r="C670" i="2"/>
  <c r="A670" i="2"/>
  <c r="Q669" i="2"/>
  <c r="P669" i="2"/>
  <c r="O669" i="2"/>
  <c r="N669" i="2"/>
  <c r="M669" i="2"/>
  <c r="L669" i="2"/>
  <c r="K669" i="2"/>
  <c r="J669" i="2"/>
  <c r="I669" i="2"/>
  <c r="H669" i="2"/>
  <c r="G669" i="2"/>
  <c r="F669" i="2"/>
  <c r="E669" i="2"/>
  <c r="D669" i="2"/>
  <c r="C669" i="2"/>
  <c r="A669" i="2"/>
  <c r="Q668" i="2"/>
  <c r="P668" i="2"/>
  <c r="O668" i="2"/>
  <c r="N668" i="2"/>
  <c r="M668" i="2"/>
  <c r="L668" i="2"/>
  <c r="K668" i="2"/>
  <c r="J668" i="2"/>
  <c r="I668" i="2"/>
  <c r="H668" i="2"/>
  <c r="G668" i="2"/>
  <c r="F668" i="2"/>
  <c r="E668" i="2"/>
  <c r="D668" i="2"/>
  <c r="C668" i="2"/>
  <c r="A668" i="2"/>
  <c r="Q667" i="2"/>
  <c r="P667" i="2"/>
  <c r="O667" i="2"/>
  <c r="N667" i="2"/>
  <c r="M667" i="2"/>
  <c r="L667" i="2"/>
  <c r="K667" i="2"/>
  <c r="J667" i="2"/>
  <c r="I667" i="2"/>
  <c r="H667" i="2"/>
  <c r="G667" i="2"/>
  <c r="F667" i="2"/>
  <c r="E667" i="2"/>
  <c r="D667" i="2"/>
  <c r="C667" i="2"/>
  <c r="A667" i="2"/>
  <c r="Q666" i="2"/>
  <c r="P666" i="2"/>
  <c r="O666" i="2"/>
  <c r="N666" i="2"/>
  <c r="M666" i="2"/>
  <c r="L666" i="2"/>
  <c r="K666" i="2"/>
  <c r="J666" i="2"/>
  <c r="I666" i="2"/>
  <c r="H666" i="2"/>
  <c r="G666" i="2"/>
  <c r="F666" i="2"/>
  <c r="E666" i="2"/>
  <c r="D666" i="2"/>
  <c r="C666" i="2"/>
  <c r="A666" i="2"/>
  <c r="Q665" i="2"/>
  <c r="P665" i="2"/>
  <c r="O665" i="2"/>
  <c r="N665" i="2"/>
  <c r="M665" i="2"/>
  <c r="L665" i="2"/>
  <c r="K665" i="2"/>
  <c r="J665" i="2"/>
  <c r="I665" i="2"/>
  <c r="H665" i="2"/>
  <c r="G665" i="2"/>
  <c r="F665" i="2"/>
  <c r="E665" i="2"/>
  <c r="D665" i="2"/>
  <c r="C665" i="2"/>
  <c r="A665" i="2"/>
  <c r="Q664" i="2"/>
  <c r="P664" i="2"/>
  <c r="O664" i="2"/>
  <c r="N664" i="2"/>
  <c r="M664" i="2"/>
  <c r="L664" i="2"/>
  <c r="K664" i="2"/>
  <c r="J664" i="2"/>
  <c r="I664" i="2"/>
  <c r="H664" i="2"/>
  <c r="G664" i="2"/>
  <c r="F664" i="2"/>
  <c r="E664" i="2"/>
  <c r="D664" i="2"/>
  <c r="C664" i="2"/>
  <c r="A664" i="2"/>
  <c r="Q663" i="2"/>
  <c r="P663" i="2"/>
  <c r="O663" i="2"/>
  <c r="N663" i="2"/>
  <c r="M663" i="2"/>
  <c r="L663" i="2"/>
  <c r="K663" i="2"/>
  <c r="J663" i="2"/>
  <c r="I663" i="2"/>
  <c r="H663" i="2"/>
  <c r="G663" i="2"/>
  <c r="F663" i="2"/>
  <c r="E663" i="2"/>
  <c r="D663" i="2"/>
  <c r="C663" i="2"/>
  <c r="A663" i="2"/>
  <c r="Q662" i="2"/>
  <c r="P662" i="2"/>
  <c r="O662" i="2"/>
  <c r="N662" i="2"/>
  <c r="M662" i="2"/>
  <c r="L662" i="2"/>
  <c r="K662" i="2"/>
  <c r="J662" i="2"/>
  <c r="I662" i="2"/>
  <c r="H662" i="2"/>
  <c r="G662" i="2"/>
  <c r="F662" i="2"/>
  <c r="E662" i="2"/>
  <c r="D662" i="2"/>
  <c r="C662" i="2"/>
  <c r="A662" i="2"/>
  <c r="Q661" i="2"/>
  <c r="P661" i="2"/>
  <c r="O661" i="2"/>
  <c r="N661" i="2"/>
  <c r="M661" i="2"/>
  <c r="L661" i="2"/>
  <c r="K661" i="2"/>
  <c r="J661" i="2"/>
  <c r="I661" i="2"/>
  <c r="H661" i="2"/>
  <c r="G661" i="2"/>
  <c r="F661" i="2"/>
  <c r="E661" i="2"/>
  <c r="D661" i="2"/>
  <c r="C661" i="2"/>
  <c r="A661" i="2"/>
  <c r="Q660" i="2"/>
  <c r="P660" i="2"/>
  <c r="O660" i="2"/>
  <c r="N660" i="2"/>
  <c r="M660" i="2"/>
  <c r="L660" i="2"/>
  <c r="K660" i="2"/>
  <c r="J660" i="2"/>
  <c r="I660" i="2"/>
  <c r="H660" i="2"/>
  <c r="G660" i="2"/>
  <c r="F660" i="2"/>
  <c r="E660" i="2"/>
  <c r="D660" i="2"/>
  <c r="C660" i="2"/>
  <c r="A660" i="2"/>
  <c r="Q659" i="2"/>
  <c r="P659" i="2"/>
  <c r="O659" i="2"/>
  <c r="N659" i="2"/>
  <c r="M659" i="2"/>
  <c r="L659" i="2"/>
  <c r="K659" i="2"/>
  <c r="J659" i="2"/>
  <c r="I659" i="2"/>
  <c r="H659" i="2"/>
  <c r="G659" i="2"/>
  <c r="F659" i="2"/>
  <c r="E659" i="2"/>
  <c r="D659" i="2"/>
  <c r="C659" i="2"/>
  <c r="A659" i="2"/>
  <c r="Q658" i="2"/>
  <c r="P658" i="2"/>
  <c r="O658" i="2"/>
  <c r="N658" i="2"/>
  <c r="M658" i="2"/>
  <c r="L658" i="2"/>
  <c r="K658" i="2"/>
  <c r="J658" i="2"/>
  <c r="I658" i="2"/>
  <c r="H658" i="2"/>
  <c r="G658" i="2"/>
  <c r="F658" i="2"/>
  <c r="E658" i="2"/>
  <c r="D658" i="2"/>
  <c r="C658" i="2"/>
  <c r="A658" i="2"/>
  <c r="Q657" i="2"/>
  <c r="P657" i="2"/>
  <c r="O657" i="2"/>
  <c r="N657" i="2"/>
  <c r="M657" i="2"/>
  <c r="L657" i="2"/>
  <c r="K657" i="2"/>
  <c r="J657" i="2"/>
  <c r="I657" i="2"/>
  <c r="H657" i="2"/>
  <c r="G657" i="2"/>
  <c r="F657" i="2"/>
  <c r="E657" i="2"/>
  <c r="D657" i="2"/>
  <c r="C657" i="2"/>
  <c r="A657" i="2"/>
  <c r="Q656" i="2"/>
  <c r="P656" i="2"/>
  <c r="O656" i="2"/>
  <c r="N656" i="2"/>
  <c r="M656" i="2"/>
  <c r="L656" i="2"/>
  <c r="K656" i="2"/>
  <c r="J656" i="2"/>
  <c r="I656" i="2"/>
  <c r="H656" i="2"/>
  <c r="G656" i="2"/>
  <c r="F656" i="2"/>
  <c r="E656" i="2"/>
  <c r="D656" i="2"/>
  <c r="C656" i="2"/>
  <c r="A656" i="2"/>
  <c r="Q655" i="2"/>
  <c r="P655" i="2"/>
  <c r="O655" i="2"/>
  <c r="N655" i="2"/>
  <c r="M655" i="2"/>
  <c r="L655" i="2"/>
  <c r="K655" i="2"/>
  <c r="J655" i="2"/>
  <c r="I655" i="2"/>
  <c r="H655" i="2"/>
  <c r="G655" i="2"/>
  <c r="F655" i="2"/>
  <c r="E655" i="2"/>
  <c r="D655" i="2"/>
  <c r="C655" i="2"/>
  <c r="A655" i="2"/>
  <c r="Q654" i="2"/>
  <c r="P654" i="2"/>
  <c r="O654" i="2"/>
  <c r="N654" i="2"/>
  <c r="M654" i="2"/>
  <c r="L654" i="2"/>
  <c r="K654" i="2"/>
  <c r="J654" i="2"/>
  <c r="I654" i="2"/>
  <c r="H654" i="2"/>
  <c r="G654" i="2"/>
  <c r="F654" i="2"/>
  <c r="E654" i="2"/>
  <c r="D654" i="2"/>
  <c r="C654" i="2"/>
  <c r="A654" i="2"/>
  <c r="Q653" i="2"/>
  <c r="P653" i="2"/>
  <c r="O653" i="2"/>
  <c r="N653" i="2"/>
  <c r="M653" i="2"/>
  <c r="L653" i="2"/>
  <c r="K653" i="2"/>
  <c r="J653" i="2"/>
  <c r="I653" i="2"/>
  <c r="H653" i="2"/>
  <c r="G653" i="2"/>
  <c r="F653" i="2"/>
  <c r="E653" i="2"/>
  <c r="D653" i="2"/>
  <c r="C653" i="2"/>
  <c r="A653" i="2"/>
  <c r="Q652" i="2"/>
  <c r="P652" i="2"/>
  <c r="O652" i="2"/>
  <c r="N652" i="2"/>
  <c r="M652" i="2"/>
  <c r="L652" i="2"/>
  <c r="K652" i="2"/>
  <c r="J652" i="2"/>
  <c r="I652" i="2"/>
  <c r="H652" i="2"/>
  <c r="G652" i="2"/>
  <c r="F652" i="2"/>
  <c r="E652" i="2"/>
  <c r="D652" i="2"/>
  <c r="C652" i="2"/>
  <c r="A652" i="2"/>
  <c r="Q651" i="2"/>
  <c r="P651" i="2"/>
  <c r="O651" i="2"/>
  <c r="N651" i="2"/>
  <c r="M651" i="2"/>
  <c r="L651" i="2"/>
  <c r="K651" i="2"/>
  <c r="J651" i="2"/>
  <c r="I651" i="2"/>
  <c r="H651" i="2"/>
  <c r="G651" i="2"/>
  <c r="F651" i="2"/>
  <c r="E651" i="2"/>
  <c r="D651" i="2"/>
  <c r="C651" i="2"/>
  <c r="A651" i="2"/>
  <c r="Q650" i="2"/>
  <c r="P650" i="2"/>
  <c r="O650" i="2"/>
  <c r="N650" i="2"/>
  <c r="M650" i="2"/>
  <c r="L650" i="2"/>
  <c r="K650" i="2"/>
  <c r="J650" i="2"/>
  <c r="I650" i="2"/>
  <c r="H650" i="2"/>
  <c r="G650" i="2"/>
  <c r="F650" i="2"/>
  <c r="E650" i="2"/>
  <c r="D650" i="2"/>
  <c r="C650" i="2"/>
  <c r="A650" i="2"/>
  <c r="Q649" i="2"/>
  <c r="P649" i="2"/>
  <c r="O649" i="2"/>
  <c r="N649" i="2"/>
  <c r="M649" i="2"/>
  <c r="L649" i="2"/>
  <c r="K649" i="2"/>
  <c r="J649" i="2"/>
  <c r="I649" i="2"/>
  <c r="H649" i="2"/>
  <c r="G649" i="2"/>
  <c r="F649" i="2"/>
  <c r="E649" i="2"/>
  <c r="D649" i="2"/>
  <c r="C649" i="2"/>
  <c r="A649" i="2"/>
  <c r="Q648" i="2"/>
  <c r="P648" i="2"/>
  <c r="O648" i="2"/>
  <c r="N648" i="2"/>
  <c r="M648" i="2"/>
  <c r="L648" i="2"/>
  <c r="K648" i="2"/>
  <c r="J648" i="2"/>
  <c r="I648" i="2"/>
  <c r="H648" i="2"/>
  <c r="G648" i="2"/>
  <c r="F648" i="2"/>
  <c r="E648" i="2"/>
  <c r="D648" i="2"/>
  <c r="C648" i="2"/>
  <c r="A648" i="2"/>
  <c r="Q647" i="2"/>
  <c r="P647" i="2"/>
  <c r="O647" i="2"/>
  <c r="N647" i="2"/>
  <c r="M647" i="2"/>
  <c r="L647" i="2"/>
  <c r="K647" i="2"/>
  <c r="J647" i="2"/>
  <c r="I647" i="2"/>
  <c r="H647" i="2"/>
  <c r="G647" i="2"/>
  <c r="F647" i="2"/>
  <c r="E647" i="2"/>
  <c r="D647" i="2"/>
  <c r="C647" i="2"/>
  <c r="A647" i="2"/>
  <c r="Q646" i="2"/>
  <c r="P646" i="2"/>
  <c r="O646" i="2"/>
  <c r="N646" i="2"/>
  <c r="M646" i="2"/>
  <c r="L646" i="2"/>
  <c r="K646" i="2"/>
  <c r="J646" i="2"/>
  <c r="I646" i="2"/>
  <c r="H646" i="2"/>
  <c r="G646" i="2"/>
  <c r="F646" i="2"/>
  <c r="E646" i="2"/>
  <c r="D646" i="2"/>
  <c r="C646" i="2"/>
  <c r="A646" i="2"/>
  <c r="Q645" i="2"/>
  <c r="P645" i="2"/>
  <c r="O645" i="2"/>
  <c r="N645" i="2"/>
  <c r="M645" i="2"/>
  <c r="L645" i="2"/>
  <c r="K645" i="2"/>
  <c r="J645" i="2"/>
  <c r="I645" i="2"/>
  <c r="H645" i="2"/>
  <c r="G645" i="2"/>
  <c r="F645" i="2"/>
  <c r="E645" i="2"/>
  <c r="D645" i="2"/>
  <c r="C645" i="2"/>
  <c r="A645" i="2"/>
  <c r="Q644" i="2"/>
  <c r="P644" i="2"/>
  <c r="O644" i="2"/>
  <c r="N644" i="2"/>
  <c r="M644" i="2"/>
  <c r="L644" i="2"/>
  <c r="K644" i="2"/>
  <c r="J644" i="2"/>
  <c r="I644" i="2"/>
  <c r="H644" i="2"/>
  <c r="G644" i="2"/>
  <c r="F644" i="2"/>
  <c r="E644" i="2"/>
  <c r="D644" i="2"/>
  <c r="C644" i="2"/>
  <c r="A644" i="2"/>
  <c r="Q643" i="2"/>
  <c r="P643" i="2"/>
  <c r="O643" i="2"/>
  <c r="N643" i="2"/>
  <c r="M643" i="2"/>
  <c r="L643" i="2"/>
  <c r="K643" i="2"/>
  <c r="J643" i="2"/>
  <c r="I643" i="2"/>
  <c r="H643" i="2"/>
  <c r="G643" i="2"/>
  <c r="F643" i="2"/>
  <c r="E643" i="2"/>
  <c r="D643" i="2"/>
  <c r="C643" i="2"/>
  <c r="A643" i="2"/>
  <c r="Q642" i="2"/>
  <c r="P642" i="2"/>
  <c r="O642" i="2"/>
  <c r="N642" i="2"/>
  <c r="M642" i="2"/>
  <c r="L642" i="2"/>
  <c r="K642" i="2"/>
  <c r="J642" i="2"/>
  <c r="I642" i="2"/>
  <c r="H642" i="2"/>
  <c r="G642" i="2"/>
  <c r="F642" i="2"/>
  <c r="E642" i="2"/>
  <c r="D642" i="2"/>
  <c r="C642" i="2"/>
  <c r="A642" i="2"/>
  <c r="Q641" i="2"/>
  <c r="P641" i="2"/>
  <c r="O641" i="2"/>
  <c r="N641" i="2"/>
  <c r="M641" i="2"/>
  <c r="L641" i="2"/>
  <c r="K641" i="2"/>
  <c r="J641" i="2"/>
  <c r="I641" i="2"/>
  <c r="H641" i="2"/>
  <c r="G641" i="2"/>
  <c r="F641" i="2"/>
  <c r="E641" i="2"/>
  <c r="D641" i="2"/>
  <c r="C641" i="2"/>
  <c r="A641" i="2"/>
  <c r="Q640" i="2"/>
  <c r="P640" i="2"/>
  <c r="O640" i="2"/>
  <c r="N640" i="2"/>
  <c r="M640" i="2"/>
  <c r="L640" i="2"/>
  <c r="K640" i="2"/>
  <c r="J640" i="2"/>
  <c r="I640" i="2"/>
  <c r="H640" i="2"/>
  <c r="G640" i="2"/>
  <c r="F640" i="2"/>
  <c r="E640" i="2"/>
  <c r="D640" i="2"/>
  <c r="C640" i="2"/>
  <c r="A640" i="2"/>
  <c r="Q639" i="2"/>
  <c r="P639" i="2"/>
  <c r="O639" i="2"/>
  <c r="N639" i="2"/>
  <c r="M639" i="2"/>
  <c r="L639" i="2"/>
  <c r="K639" i="2"/>
  <c r="J639" i="2"/>
  <c r="I639" i="2"/>
  <c r="H639" i="2"/>
  <c r="G639" i="2"/>
  <c r="F639" i="2"/>
  <c r="E639" i="2"/>
  <c r="D639" i="2"/>
  <c r="C639" i="2"/>
  <c r="A639" i="2"/>
  <c r="Q638" i="2"/>
  <c r="P638" i="2"/>
  <c r="O638" i="2"/>
  <c r="N638" i="2"/>
  <c r="M638" i="2"/>
  <c r="L638" i="2"/>
  <c r="K638" i="2"/>
  <c r="J638" i="2"/>
  <c r="I638" i="2"/>
  <c r="H638" i="2"/>
  <c r="G638" i="2"/>
  <c r="F638" i="2"/>
  <c r="E638" i="2"/>
  <c r="D638" i="2"/>
  <c r="C638" i="2"/>
  <c r="A638" i="2"/>
  <c r="Q637" i="2"/>
  <c r="P637" i="2"/>
  <c r="O637" i="2"/>
  <c r="N637" i="2"/>
  <c r="M637" i="2"/>
  <c r="L637" i="2"/>
  <c r="K637" i="2"/>
  <c r="J637" i="2"/>
  <c r="I637" i="2"/>
  <c r="H637" i="2"/>
  <c r="G637" i="2"/>
  <c r="F637" i="2"/>
  <c r="E637" i="2"/>
  <c r="D637" i="2"/>
  <c r="C637" i="2"/>
  <c r="A637" i="2"/>
  <c r="Q636" i="2"/>
  <c r="P636" i="2"/>
  <c r="O636" i="2"/>
  <c r="N636" i="2"/>
  <c r="M636" i="2"/>
  <c r="L636" i="2"/>
  <c r="K636" i="2"/>
  <c r="J636" i="2"/>
  <c r="I636" i="2"/>
  <c r="H636" i="2"/>
  <c r="G636" i="2"/>
  <c r="F636" i="2"/>
  <c r="E636" i="2"/>
  <c r="D636" i="2"/>
  <c r="C636" i="2"/>
  <c r="A636" i="2"/>
  <c r="Q635" i="2"/>
  <c r="P635" i="2"/>
  <c r="O635" i="2"/>
  <c r="N635" i="2"/>
  <c r="M635" i="2"/>
  <c r="L635" i="2"/>
  <c r="K635" i="2"/>
  <c r="J635" i="2"/>
  <c r="I635" i="2"/>
  <c r="H635" i="2"/>
  <c r="G635" i="2"/>
  <c r="F635" i="2"/>
  <c r="E635" i="2"/>
  <c r="D635" i="2"/>
  <c r="C635" i="2"/>
  <c r="A635" i="2"/>
  <c r="Q634" i="2"/>
  <c r="P634" i="2"/>
  <c r="O634" i="2"/>
  <c r="N634" i="2"/>
  <c r="M634" i="2"/>
  <c r="L634" i="2"/>
  <c r="K634" i="2"/>
  <c r="J634" i="2"/>
  <c r="I634" i="2"/>
  <c r="H634" i="2"/>
  <c r="G634" i="2"/>
  <c r="F634" i="2"/>
  <c r="E634" i="2"/>
  <c r="D634" i="2"/>
  <c r="C634" i="2"/>
  <c r="A634" i="2"/>
  <c r="Q633" i="2"/>
  <c r="P633" i="2"/>
  <c r="O633" i="2"/>
  <c r="N633" i="2"/>
  <c r="M633" i="2"/>
  <c r="L633" i="2"/>
  <c r="K633" i="2"/>
  <c r="J633" i="2"/>
  <c r="I633" i="2"/>
  <c r="H633" i="2"/>
  <c r="G633" i="2"/>
  <c r="F633" i="2"/>
  <c r="E633" i="2"/>
  <c r="D633" i="2"/>
  <c r="C633" i="2"/>
  <c r="A633" i="2"/>
  <c r="Q632" i="2"/>
  <c r="P632" i="2"/>
  <c r="O632" i="2"/>
  <c r="N632" i="2"/>
  <c r="M632" i="2"/>
  <c r="L632" i="2"/>
  <c r="K632" i="2"/>
  <c r="J632" i="2"/>
  <c r="I632" i="2"/>
  <c r="H632" i="2"/>
  <c r="G632" i="2"/>
  <c r="F632" i="2"/>
  <c r="E632" i="2"/>
  <c r="D632" i="2"/>
  <c r="C632" i="2"/>
  <c r="A632" i="2"/>
  <c r="Q631" i="2"/>
  <c r="P631" i="2"/>
  <c r="O631" i="2"/>
  <c r="N631" i="2"/>
  <c r="M631" i="2"/>
  <c r="L631" i="2"/>
  <c r="K631" i="2"/>
  <c r="J631" i="2"/>
  <c r="I631" i="2"/>
  <c r="H631" i="2"/>
  <c r="G631" i="2"/>
  <c r="F631" i="2"/>
  <c r="E631" i="2"/>
  <c r="D631" i="2"/>
  <c r="C631" i="2"/>
  <c r="A631" i="2"/>
  <c r="Q630" i="2"/>
  <c r="P630" i="2"/>
  <c r="O630" i="2"/>
  <c r="N630" i="2"/>
  <c r="M630" i="2"/>
  <c r="L630" i="2"/>
  <c r="K630" i="2"/>
  <c r="J630" i="2"/>
  <c r="I630" i="2"/>
  <c r="H630" i="2"/>
  <c r="G630" i="2"/>
  <c r="F630" i="2"/>
  <c r="E630" i="2"/>
  <c r="D630" i="2"/>
  <c r="C630" i="2"/>
  <c r="A630" i="2"/>
  <c r="Q629" i="2"/>
  <c r="P629" i="2"/>
  <c r="O629" i="2"/>
  <c r="N629" i="2"/>
  <c r="M629" i="2"/>
  <c r="L629" i="2"/>
  <c r="K629" i="2"/>
  <c r="J629" i="2"/>
  <c r="I629" i="2"/>
  <c r="H629" i="2"/>
  <c r="G629" i="2"/>
  <c r="F629" i="2"/>
  <c r="E629" i="2"/>
  <c r="D629" i="2"/>
  <c r="C629" i="2"/>
  <c r="A629" i="2"/>
  <c r="Q628" i="2"/>
  <c r="P628" i="2"/>
  <c r="O628" i="2"/>
  <c r="N628" i="2"/>
  <c r="M628" i="2"/>
  <c r="L628" i="2"/>
  <c r="K628" i="2"/>
  <c r="J628" i="2"/>
  <c r="I628" i="2"/>
  <c r="H628" i="2"/>
  <c r="G628" i="2"/>
  <c r="F628" i="2"/>
  <c r="E628" i="2"/>
  <c r="D628" i="2"/>
  <c r="C628" i="2"/>
  <c r="A628" i="2"/>
  <c r="Q627" i="2"/>
  <c r="P627" i="2"/>
  <c r="O627" i="2"/>
  <c r="N627" i="2"/>
  <c r="M627" i="2"/>
  <c r="L627" i="2"/>
  <c r="K627" i="2"/>
  <c r="J627" i="2"/>
  <c r="I627" i="2"/>
  <c r="H627" i="2"/>
  <c r="G627" i="2"/>
  <c r="F627" i="2"/>
  <c r="E627" i="2"/>
  <c r="D627" i="2"/>
  <c r="C627" i="2"/>
  <c r="A627" i="2"/>
  <c r="Q626" i="2"/>
  <c r="P626" i="2"/>
  <c r="O626" i="2"/>
  <c r="N626" i="2"/>
  <c r="M626" i="2"/>
  <c r="L626" i="2"/>
  <c r="K626" i="2"/>
  <c r="J626" i="2"/>
  <c r="I626" i="2"/>
  <c r="H626" i="2"/>
  <c r="G626" i="2"/>
  <c r="F626" i="2"/>
  <c r="E626" i="2"/>
  <c r="D626" i="2"/>
  <c r="C626" i="2"/>
  <c r="A626" i="2"/>
  <c r="Q625" i="2"/>
  <c r="P625" i="2"/>
  <c r="O625" i="2"/>
  <c r="N625" i="2"/>
  <c r="M625" i="2"/>
  <c r="L625" i="2"/>
  <c r="K625" i="2"/>
  <c r="J625" i="2"/>
  <c r="I625" i="2"/>
  <c r="H625" i="2"/>
  <c r="G625" i="2"/>
  <c r="F625" i="2"/>
  <c r="E625" i="2"/>
  <c r="D625" i="2"/>
  <c r="C625" i="2"/>
  <c r="A625" i="2"/>
  <c r="Q624" i="2"/>
  <c r="P624" i="2"/>
  <c r="O624" i="2"/>
  <c r="N624" i="2"/>
  <c r="M624" i="2"/>
  <c r="L624" i="2"/>
  <c r="K624" i="2"/>
  <c r="J624" i="2"/>
  <c r="I624" i="2"/>
  <c r="H624" i="2"/>
  <c r="G624" i="2"/>
  <c r="F624" i="2"/>
  <c r="E624" i="2"/>
  <c r="D624" i="2"/>
  <c r="C624" i="2"/>
  <c r="A624" i="2"/>
  <c r="Q623" i="2"/>
  <c r="P623" i="2"/>
  <c r="O623" i="2"/>
  <c r="N623" i="2"/>
  <c r="M623" i="2"/>
  <c r="L623" i="2"/>
  <c r="K623" i="2"/>
  <c r="J623" i="2"/>
  <c r="I623" i="2"/>
  <c r="H623" i="2"/>
  <c r="G623" i="2"/>
  <c r="F623" i="2"/>
  <c r="E623" i="2"/>
  <c r="D623" i="2"/>
  <c r="C623" i="2"/>
  <c r="A623" i="2"/>
  <c r="Q622" i="2"/>
  <c r="P622" i="2"/>
  <c r="O622" i="2"/>
  <c r="N622" i="2"/>
  <c r="M622" i="2"/>
  <c r="L622" i="2"/>
  <c r="K622" i="2"/>
  <c r="J622" i="2"/>
  <c r="I622" i="2"/>
  <c r="H622" i="2"/>
  <c r="G622" i="2"/>
  <c r="F622" i="2"/>
  <c r="E622" i="2"/>
  <c r="D622" i="2"/>
  <c r="C622" i="2"/>
  <c r="A622" i="2"/>
  <c r="Q621" i="2"/>
  <c r="P621" i="2"/>
  <c r="O621" i="2"/>
  <c r="N621" i="2"/>
  <c r="M621" i="2"/>
  <c r="L621" i="2"/>
  <c r="K621" i="2"/>
  <c r="J621" i="2"/>
  <c r="I621" i="2"/>
  <c r="H621" i="2"/>
  <c r="G621" i="2"/>
  <c r="F621" i="2"/>
  <c r="E621" i="2"/>
  <c r="D621" i="2"/>
  <c r="C621" i="2"/>
  <c r="A621" i="2"/>
  <c r="Q620" i="2"/>
  <c r="P620" i="2"/>
  <c r="O620" i="2"/>
  <c r="N620" i="2"/>
  <c r="M620" i="2"/>
  <c r="L620" i="2"/>
  <c r="K620" i="2"/>
  <c r="J620" i="2"/>
  <c r="I620" i="2"/>
  <c r="H620" i="2"/>
  <c r="G620" i="2"/>
  <c r="F620" i="2"/>
  <c r="E620" i="2"/>
  <c r="D620" i="2"/>
  <c r="C620" i="2"/>
  <c r="A620" i="2"/>
  <c r="Q619" i="2"/>
  <c r="P619" i="2"/>
  <c r="O619" i="2"/>
  <c r="N619" i="2"/>
  <c r="M619" i="2"/>
  <c r="L619" i="2"/>
  <c r="K619" i="2"/>
  <c r="J619" i="2"/>
  <c r="I619" i="2"/>
  <c r="H619" i="2"/>
  <c r="G619" i="2"/>
  <c r="F619" i="2"/>
  <c r="E619" i="2"/>
  <c r="D619" i="2"/>
  <c r="C619" i="2"/>
  <c r="A619" i="2"/>
  <c r="Q618" i="2"/>
  <c r="P618" i="2"/>
  <c r="O618" i="2"/>
  <c r="N618" i="2"/>
  <c r="M618" i="2"/>
  <c r="L618" i="2"/>
  <c r="K618" i="2"/>
  <c r="J618" i="2"/>
  <c r="I618" i="2"/>
  <c r="H618" i="2"/>
  <c r="G618" i="2"/>
  <c r="F618" i="2"/>
  <c r="E618" i="2"/>
  <c r="D618" i="2"/>
  <c r="C618" i="2"/>
  <c r="A618" i="2"/>
  <c r="Q617" i="2"/>
  <c r="P617" i="2"/>
  <c r="O617" i="2"/>
  <c r="N617" i="2"/>
  <c r="M617" i="2"/>
  <c r="L617" i="2"/>
  <c r="K617" i="2"/>
  <c r="J617" i="2"/>
  <c r="I617" i="2"/>
  <c r="H617" i="2"/>
  <c r="G617" i="2"/>
  <c r="F617" i="2"/>
  <c r="E617" i="2"/>
  <c r="D617" i="2"/>
  <c r="C617" i="2"/>
  <c r="A617" i="2"/>
  <c r="Q616" i="2"/>
  <c r="P616" i="2"/>
  <c r="O616" i="2"/>
  <c r="N616" i="2"/>
  <c r="M616" i="2"/>
  <c r="L616" i="2"/>
  <c r="K616" i="2"/>
  <c r="J616" i="2"/>
  <c r="I616" i="2"/>
  <c r="H616" i="2"/>
  <c r="G616" i="2"/>
  <c r="F616" i="2"/>
  <c r="E616" i="2"/>
  <c r="D616" i="2"/>
  <c r="C616" i="2"/>
  <c r="A616" i="2"/>
  <c r="Q615" i="2"/>
  <c r="P615" i="2"/>
  <c r="O615" i="2"/>
  <c r="N615" i="2"/>
  <c r="M615" i="2"/>
  <c r="L615" i="2"/>
  <c r="K615" i="2"/>
  <c r="J615" i="2"/>
  <c r="I615" i="2"/>
  <c r="H615" i="2"/>
  <c r="G615" i="2"/>
  <c r="F615" i="2"/>
  <c r="E615" i="2"/>
  <c r="D615" i="2"/>
  <c r="C615" i="2"/>
  <c r="A615" i="2"/>
  <c r="Q614" i="2"/>
  <c r="P614" i="2"/>
  <c r="O614" i="2"/>
  <c r="N614" i="2"/>
  <c r="M614" i="2"/>
  <c r="L614" i="2"/>
  <c r="K614" i="2"/>
  <c r="J614" i="2"/>
  <c r="I614" i="2"/>
  <c r="H614" i="2"/>
  <c r="G614" i="2"/>
  <c r="F614" i="2"/>
  <c r="E614" i="2"/>
  <c r="D614" i="2"/>
  <c r="C614" i="2"/>
  <c r="A614" i="2"/>
  <c r="Q613" i="2"/>
  <c r="P613" i="2"/>
  <c r="O613" i="2"/>
  <c r="N613" i="2"/>
  <c r="M613" i="2"/>
  <c r="L613" i="2"/>
  <c r="K613" i="2"/>
  <c r="J613" i="2"/>
  <c r="I613" i="2"/>
  <c r="H613" i="2"/>
  <c r="G613" i="2"/>
  <c r="F613" i="2"/>
  <c r="E613" i="2"/>
  <c r="D613" i="2"/>
  <c r="C613" i="2"/>
  <c r="A613" i="2"/>
  <c r="Q612" i="2"/>
  <c r="P612" i="2"/>
  <c r="O612" i="2"/>
  <c r="N612" i="2"/>
  <c r="M612" i="2"/>
  <c r="L612" i="2"/>
  <c r="K612" i="2"/>
  <c r="J612" i="2"/>
  <c r="I612" i="2"/>
  <c r="H612" i="2"/>
  <c r="G612" i="2"/>
  <c r="F612" i="2"/>
  <c r="E612" i="2"/>
  <c r="D612" i="2"/>
  <c r="C612" i="2"/>
  <c r="A612" i="2"/>
  <c r="Q611" i="2"/>
  <c r="P611" i="2"/>
  <c r="O611" i="2"/>
  <c r="N611" i="2"/>
  <c r="M611" i="2"/>
  <c r="L611" i="2"/>
  <c r="K611" i="2"/>
  <c r="J611" i="2"/>
  <c r="I611" i="2"/>
  <c r="H611" i="2"/>
  <c r="G611" i="2"/>
  <c r="F611" i="2"/>
  <c r="E611" i="2"/>
  <c r="D611" i="2"/>
  <c r="C611" i="2"/>
  <c r="A611" i="2"/>
  <c r="Q610" i="2"/>
  <c r="P610" i="2"/>
  <c r="O610" i="2"/>
  <c r="N610" i="2"/>
  <c r="M610" i="2"/>
  <c r="L610" i="2"/>
  <c r="K610" i="2"/>
  <c r="J610" i="2"/>
  <c r="I610" i="2"/>
  <c r="H610" i="2"/>
  <c r="G610" i="2"/>
  <c r="F610" i="2"/>
  <c r="E610" i="2"/>
  <c r="D610" i="2"/>
  <c r="C610" i="2"/>
  <c r="A610" i="2"/>
  <c r="Q609" i="2"/>
  <c r="P609" i="2"/>
  <c r="O609" i="2"/>
  <c r="N609" i="2"/>
  <c r="M609" i="2"/>
  <c r="L609" i="2"/>
  <c r="K609" i="2"/>
  <c r="J609" i="2"/>
  <c r="I609" i="2"/>
  <c r="H609" i="2"/>
  <c r="G609" i="2"/>
  <c r="F609" i="2"/>
  <c r="E609" i="2"/>
  <c r="D609" i="2"/>
  <c r="C609" i="2"/>
  <c r="A609" i="2"/>
  <c r="Q608" i="2"/>
  <c r="P608" i="2"/>
  <c r="O608" i="2"/>
  <c r="N608" i="2"/>
  <c r="M608" i="2"/>
  <c r="L608" i="2"/>
  <c r="K608" i="2"/>
  <c r="J608" i="2"/>
  <c r="I608" i="2"/>
  <c r="H608" i="2"/>
  <c r="G608" i="2"/>
  <c r="F608" i="2"/>
  <c r="E608" i="2"/>
  <c r="D608" i="2"/>
  <c r="C608" i="2"/>
  <c r="A608" i="2"/>
  <c r="Q607" i="2"/>
  <c r="P607" i="2"/>
  <c r="O607" i="2"/>
  <c r="N607" i="2"/>
  <c r="M607" i="2"/>
  <c r="L607" i="2"/>
  <c r="K607" i="2"/>
  <c r="J607" i="2"/>
  <c r="I607" i="2"/>
  <c r="H607" i="2"/>
  <c r="G607" i="2"/>
  <c r="F607" i="2"/>
  <c r="E607" i="2"/>
  <c r="D607" i="2"/>
  <c r="C607" i="2"/>
  <c r="A607" i="2"/>
  <c r="Q606" i="2"/>
  <c r="P606" i="2"/>
  <c r="O606" i="2"/>
  <c r="N606" i="2"/>
  <c r="M606" i="2"/>
  <c r="L606" i="2"/>
  <c r="K606" i="2"/>
  <c r="J606" i="2"/>
  <c r="I606" i="2"/>
  <c r="H606" i="2"/>
  <c r="G606" i="2"/>
  <c r="F606" i="2"/>
  <c r="E606" i="2"/>
  <c r="D606" i="2"/>
  <c r="C606" i="2"/>
  <c r="A606" i="2"/>
  <c r="Q605" i="2"/>
  <c r="P605" i="2"/>
  <c r="O605" i="2"/>
  <c r="N605" i="2"/>
  <c r="M605" i="2"/>
  <c r="L605" i="2"/>
  <c r="K605" i="2"/>
  <c r="J605" i="2"/>
  <c r="I605" i="2"/>
  <c r="H605" i="2"/>
  <c r="G605" i="2"/>
  <c r="F605" i="2"/>
  <c r="E605" i="2"/>
  <c r="D605" i="2"/>
  <c r="C605" i="2"/>
  <c r="A605" i="2"/>
  <c r="Q604" i="2"/>
  <c r="P604" i="2"/>
  <c r="O604" i="2"/>
  <c r="N604" i="2"/>
  <c r="M604" i="2"/>
  <c r="L604" i="2"/>
  <c r="K604" i="2"/>
  <c r="J604" i="2"/>
  <c r="I604" i="2"/>
  <c r="H604" i="2"/>
  <c r="G604" i="2"/>
  <c r="F604" i="2"/>
  <c r="E604" i="2"/>
  <c r="D604" i="2"/>
  <c r="C604" i="2"/>
  <c r="A604" i="2"/>
  <c r="Q603" i="2"/>
  <c r="P603" i="2"/>
  <c r="O603" i="2"/>
  <c r="N603" i="2"/>
  <c r="M603" i="2"/>
  <c r="L603" i="2"/>
  <c r="K603" i="2"/>
  <c r="J603" i="2"/>
  <c r="I603" i="2"/>
  <c r="H603" i="2"/>
  <c r="G603" i="2"/>
  <c r="F603" i="2"/>
  <c r="E603" i="2"/>
  <c r="D603" i="2"/>
  <c r="C603" i="2"/>
  <c r="A603" i="2"/>
  <c r="Q602" i="2"/>
  <c r="P602" i="2"/>
  <c r="O602" i="2"/>
  <c r="N602" i="2"/>
  <c r="M602" i="2"/>
  <c r="L602" i="2"/>
  <c r="K602" i="2"/>
  <c r="J602" i="2"/>
  <c r="I602" i="2"/>
  <c r="H602" i="2"/>
  <c r="G602" i="2"/>
  <c r="F602" i="2"/>
  <c r="E602" i="2"/>
  <c r="D602" i="2"/>
  <c r="C602" i="2"/>
  <c r="A602" i="2"/>
  <c r="Q601" i="2"/>
  <c r="P601" i="2"/>
  <c r="O601" i="2"/>
  <c r="N601" i="2"/>
  <c r="M601" i="2"/>
  <c r="L601" i="2"/>
  <c r="K601" i="2"/>
  <c r="J601" i="2"/>
  <c r="I601" i="2"/>
  <c r="H601" i="2"/>
  <c r="G601" i="2"/>
  <c r="F601" i="2"/>
  <c r="E601" i="2"/>
  <c r="D601" i="2"/>
  <c r="C601" i="2"/>
  <c r="A601" i="2"/>
  <c r="Q600" i="2"/>
  <c r="P600" i="2"/>
  <c r="O600" i="2"/>
  <c r="N600" i="2"/>
  <c r="M600" i="2"/>
  <c r="L600" i="2"/>
  <c r="K600" i="2"/>
  <c r="J600" i="2"/>
  <c r="I600" i="2"/>
  <c r="H600" i="2"/>
  <c r="G600" i="2"/>
  <c r="F600" i="2"/>
  <c r="E600" i="2"/>
  <c r="D600" i="2"/>
  <c r="C600" i="2"/>
  <c r="A600" i="2"/>
  <c r="Q599" i="2"/>
  <c r="P599" i="2"/>
  <c r="O599" i="2"/>
  <c r="N599" i="2"/>
  <c r="M599" i="2"/>
  <c r="L599" i="2"/>
  <c r="K599" i="2"/>
  <c r="J599" i="2"/>
  <c r="I599" i="2"/>
  <c r="H599" i="2"/>
  <c r="G599" i="2"/>
  <c r="F599" i="2"/>
  <c r="E599" i="2"/>
  <c r="D599" i="2"/>
  <c r="C599" i="2"/>
  <c r="A599" i="2"/>
  <c r="Q598" i="2"/>
  <c r="P598" i="2"/>
  <c r="O598" i="2"/>
  <c r="N598" i="2"/>
  <c r="M598" i="2"/>
  <c r="L598" i="2"/>
  <c r="K598" i="2"/>
  <c r="J598" i="2"/>
  <c r="I598" i="2"/>
  <c r="H598" i="2"/>
  <c r="G598" i="2"/>
  <c r="F598" i="2"/>
  <c r="E598" i="2"/>
  <c r="D598" i="2"/>
  <c r="C598" i="2"/>
  <c r="A598" i="2"/>
  <c r="Q597" i="2"/>
  <c r="P597" i="2"/>
  <c r="O597" i="2"/>
  <c r="N597" i="2"/>
  <c r="M597" i="2"/>
  <c r="L597" i="2"/>
  <c r="K597" i="2"/>
  <c r="J597" i="2"/>
  <c r="I597" i="2"/>
  <c r="H597" i="2"/>
  <c r="G597" i="2"/>
  <c r="F597" i="2"/>
  <c r="E597" i="2"/>
  <c r="D597" i="2"/>
  <c r="C597" i="2"/>
  <c r="A597" i="2"/>
  <c r="Q596" i="2"/>
  <c r="P596" i="2"/>
  <c r="O596" i="2"/>
  <c r="N596" i="2"/>
  <c r="M596" i="2"/>
  <c r="L596" i="2"/>
  <c r="K596" i="2"/>
  <c r="J596" i="2"/>
  <c r="I596" i="2"/>
  <c r="H596" i="2"/>
  <c r="G596" i="2"/>
  <c r="F596" i="2"/>
  <c r="E596" i="2"/>
  <c r="D596" i="2"/>
  <c r="C596" i="2"/>
  <c r="A596" i="2"/>
  <c r="Q595" i="2"/>
  <c r="P595" i="2"/>
  <c r="O595" i="2"/>
  <c r="N595" i="2"/>
  <c r="M595" i="2"/>
  <c r="L595" i="2"/>
  <c r="K595" i="2"/>
  <c r="J595" i="2"/>
  <c r="I595" i="2"/>
  <c r="H595" i="2"/>
  <c r="G595" i="2"/>
  <c r="F595" i="2"/>
  <c r="E595" i="2"/>
  <c r="D595" i="2"/>
  <c r="C595" i="2"/>
  <c r="A595" i="2"/>
  <c r="Q594" i="2"/>
  <c r="P594" i="2"/>
  <c r="O594" i="2"/>
  <c r="N594" i="2"/>
  <c r="M594" i="2"/>
  <c r="L594" i="2"/>
  <c r="K594" i="2"/>
  <c r="J594" i="2"/>
  <c r="I594" i="2"/>
  <c r="H594" i="2"/>
  <c r="G594" i="2"/>
  <c r="F594" i="2"/>
  <c r="E594" i="2"/>
  <c r="D594" i="2"/>
  <c r="C594" i="2"/>
  <c r="A594" i="2"/>
  <c r="Q593" i="2"/>
  <c r="P593" i="2"/>
  <c r="O593" i="2"/>
  <c r="N593" i="2"/>
  <c r="M593" i="2"/>
  <c r="L593" i="2"/>
  <c r="K593" i="2"/>
  <c r="J593" i="2"/>
  <c r="I593" i="2"/>
  <c r="H593" i="2"/>
  <c r="G593" i="2"/>
  <c r="F593" i="2"/>
  <c r="E593" i="2"/>
  <c r="D593" i="2"/>
  <c r="C593" i="2"/>
  <c r="A593" i="2"/>
  <c r="Q592" i="2"/>
  <c r="P592" i="2"/>
  <c r="O592" i="2"/>
  <c r="N592" i="2"/>
  <c r="M592" i="2"/>
  <c r="L592" i="2"/>
  <c r="K592" i="2"/>
  <c r="J592" i="2"/>
  <c r="I592" i="2"/>
  <c r="H592" i="2"/>
  <c r="G592" i="2"/>
  <c r="F592" i="2"/>
  <c r="E592" i="2"/>
  <c r="D592" i="2"/>
  <c r="C592" i="2"/>
  <c r="A592" i="2"/>
  <c r="Q591" i="2"/>
  <c r="P591" i="2"/>
  <c r="O591" i="2"/>
  <c r="N591" i="2"/>
  <c r="M591" i="2"/>
  <c r="L591" i="2"/>
  <c r="K591" i="2"/>
  <c r="J591" i="2"/>
  <c r="I591" i="2"/>
  <c r="H591" i="2"/>
  <c r="G591" i="2"/>
  <c r="F591" i="2"/>
  <c r="E591" i="2"/>
  <c r="D591" i="2"/>
  <c r="C591" i="2"/>
  <c r="A591" i="2"/>
  <c r="Q590" i="2"/>
  <c r="P590" i="2"/>
  <c r="O590" i="2"/>
  <c r="N590" i="2"/>
  <c r="M590" i="2"/>
  <c r="L590" i="2"/>
  <c r="K590" i="2"/>
  <c r="J590" i="2"/>
  <c r="I590" i="2"/>
  <c r="H590" i="2"/>
  <c r="G590" i="2"/>
  <c r="F590" i="2"/>
  <c r="E590" i="2"/>
  <c r="D590" i="2"/>
  <c r="C590" i="2"/>
  <c r="A590" i="2"/>
  <c r="Q589" i="2"/>
  <c r="P589" i="2"/>
  <c r="O589" i="2"/>
  <c r="N589" i="2"/>
  <c r="M589" i="2"/>
  <c r="L589" i="2"/>
  <c r="K589" i="2"/>
  <c r="J589" i="2"/>
  <c r="I589" i="2"/>
  <c r="H589" i="2"/>
  <c r="G589" i="2"/>
  <c r="F589" i="2"/>
  <c r="E589" i="2"/>
  <c r="D589" i="2"/>
  <c r="C589" i="2"/>
  <c r="A589" i="2"/>
  <c r="Q588" i="2"/>
  <c r="P588" i="2"/>
  <c r="O588" i="2"/>
  <c r="N588" i="2"/>
  <c r="M588" i="2"/>
  <c r="L588" i="2"/>
  <c r="K588" i="2"/>
  <c r="J588" i="2"/>
  <c r="I588" i="2"/>
  <c r="H588" i="2"/>
  <c r="G588" i="2"/>
  <c r="F588" i="2"/>
  <c r="E588" i="2"/>
  <c r="D588" i="2"/>
  <c r="C588" i="2"/>
  <c r="A588" i="2"/>
  <c r="Q587" i="2"/>
  <c r="P587" i="2"/>
  <c r="O587" i="2"/>
  <c r="N587" i="2"/>
  <c r="M587" i="2"/>
  <c r="L587" i="2"/>
  <c r="K587" i="2"/>
  <c r="J587" i="2"/>
  <c r="I587" i="2"/>
  <c r="H587" i="2"/>
  <c r="G587" i="2"/>
  <c r="F587" i="2"/>
  <c r="E587" i="2"/>
  <c r="D587" i="2"/>
  <c r="C587" i="2"/>
  <c r="A587" i="2"/>
  <c r="Q586" i="2"/>
  <c r="P586" i="2"/>
  <c r="O586" i="2"/>
  <c r="N586" i="2"/>
  <c r="M586" i="2"/>
  <c r="L586" i="2"/>
  <c r="K586" i="2"/>
  <c r="J586" i="2"/>
  <c r="I586" i="2"/>
  <c r="H586" i="2"/>
  <c r="G586" i="2"/>
  <c r="F586" i="2"/>
  <c r="E586" i="2"/>
  <c r="D586" i="2"/>
  <c r="C586" i="2"/>
  <c r="A586" i="2"/>
  <c r="Q585" i="2"/>
  <c r="P585" i="2"/>
  <c r="O585" i="2"/>
  <c r="N585" i="2"/>
  <c r="M585" i="2"/>
  <c r="L585" i="2"/>
  <c r="K585" i="2"/>
  <c r="J585" i="2"/>
  <c r="I585" i="2"/>
  <c r="H585" i="2"/>
  <c r="G585" i="2"/>
  <c r="F585" i="2"/>
  <c r="E585" i="2"/>
  <c r="D585" i="2"/>
  <c r="C585" i="2"/>
  <c r="A585" i="2"/>
  <c r="Q584" i="2"/>
  <c r="P584" i="2"/>
  <c r="O584" i="2"/>
  <c r="N584" i="2"/>
  <c r="M584" i="2"/>
  <c r="L584" i="2"/>
  <c r="K584" i="2"/>
  <c r="J584" i="2"/>
  <c r="I584" i="2"/>
  <c r="H584" i="2"/>
  <c r="G584" i="2"/>
  <c r="F584" i="2"/>
  <c r="E584" i="2"/>
  <c r="D584" i="2"/>
  <c r="C584" i="2"/>
  <c r="A584" i="2"/>
  <c r="Q583" i="2"/>
  <c r="P583" i="2"/>
  <c r="O583" i="2"/>
  <c r="N583" i="2"/>
  <c r="M583" i="2"/>
  <c r="L583" i="2"/>
  <c r="K583" i="2"/>
  <c r="J583" i="2"/>
  <c r="I583" i="2"/>
  <c r="H583" i="2"/>
  <c r="G583" i="2"/>
  <c r="F583" i="2"/>
  <c r="E583" i="2"/>
  <c r="D583" i="2"/>
  <c r="C583" i="2"/>
  <c r="A583" i="2"/>
  <c r="Q582" i="2"/>
  <c r="P582" i="2"/>
  <c r="O582" i="2"/>
  <c r="N582" i="2"/>
  <c r="M582" i="2"/>
  <c r="L582" i="2"/>
  <c r="K582" i="2"/>
  <c r="J582" i="2"/>
  <c r="I582" i="2"/>
  <c r="H582" i="2"/>
  <c r="G582" i="2"/>
  <c r="F582" i="2"/>
  <c r="E582" i="2"/>
  <c r="D582" i="2"/>
  <c r="C582" i="2"/>
  <c r="A582" i="2"/>
  <c r="Q581" i="2"/>
  <c r="P581" i="2"/>
  <c r="O581" i="2"/>
  <c r="N581" i="2"/>
  <c r="M581" i="2"/>
  <c r="L581" i="2"/>
  <c r="K581" i="2"/>
  <c r="J581" i="2"/>
  <c r="I581" i="2"/>
  <c r="H581" i="2"/>
  <c r="G581" i="2"/>
  <c r="F581" i="2"/>
  <c r="E581" i="2"/>
  <c r="D581" i="2"/>
  <c r="C581" i="2"/>
  <c r="A581" i="2"/>
  <c r="Q580" i="2"/>
  <c r="P580" i="2"/>
  <c r="O580" i="2"/>
  <c r="N580" i="2"/>
  <c r="M580" i="2"/>
  <c r="L580" i="2"/>
  <c r="K580" i="2"/>
  <c r="J580" i="2"/>
  <c r="I580" i="2"/>
  <c r="H580" i="2"/>
  <c r="G580" i="2"/>
  <c r="F580" i="2"/>
  <c r="E580" i="2"/>
  <c r="D580" i="2"/>
  <c r="C580" i="2"/>
  <c r="A580" i="2"/>
  <c r="Q579" i="2"/>
  <c r="P579" i="2"/>
  <c r="O579" i="2"/>
  <c r="N579" i="2"/>
  <c r="M579" i="2"/>
  <c r="L579" i="2"/>
  <c r="K579" i="2"/>
  <c r="J579" i="2"/>
  <c r="I579" i="2"/>
  <c r="H579" i="2"/>
  <c r="G579" i="2"/>
  <c r="F579" i="2"/>
  <c r="E579" i="2"/>
  <c r="D579" i="2"/>
  <c r="C579" i="2"/>
  <c r="A579" i="2"/>
  <c r="Q578" i="2"/>
  <c r="P578" i="2"/>
  <c r="O578" i="2"/>
  <c r="N578" i="2"/>
  <c r="M578" i="2"/>
  <c r="L578" i="2"/>
  <c r="K578" i="2"/>
  <c r="J578" i="2"/>
  <c r="I578" i="2"/>
  <c r="H578" i="2"/>
  <c r="G578" i="2"/>
  <c r="F578" i="2"/>
  <c r="E578" i="2"/>
  <c r="D578" i="2"/>
  <c r="C578" i="2"/>
  <c r="A578" i="2"/>
  <c r="Q577" i="2"/>
  <c r="P577" i="2"/>
  <c r="O577" i="2"/>
  <c r="N577" i="2"/>
  <c r="M577" i="2"/>
  <c r="L577" i="2"/>
  <c r="K577" i="2"/>
  <c r="J577" i="2"/>
  <c r="I577" i="2"/>
  <c r="H577" i="2"/>
  <c r="G577" i="2"/>
  <c r="F577" i="2"/>
  <c r="E577" i="2"/>
  <c r="D577" i="2"/>
  <c r="C577" i="2"/>
  <c r="A577" i="2"/>
  <c r="Q576" i="2"/>
  <c r="P576" i="2"/>
  <c r="O576" i="2"/>
  <c r="N576" i="2"/>
  <c r="M576" i="2"/>
  <c r="L576" i="2"/>
  <c r="K576" i="2"/>
  <c r="J576" i="2"/>
  <c r="I576" i="2"/>
  <c r="H576" i="2"/>
  <c r="G576" i="2"/>
  <c r="F576" i="2"/>
  <c r="E576" i="2"/>
  <c r="D576" i="2"/>
  <c r="C576" i="2"/>
  <c r="A576" i="2"/>
  <c r="Q575" i="2"/>
  <c r="P575" i="2"/>
  <c r="O575" i="2"/>
  <c r="N575" i="2"/>
  <c r="M575" i="2"/>
  <c r="L575" i="2"/>
  <c r="K575" i="2"/>
  <c r="J575" i="2"/>
  <c r="I575" i="2"/>
  <c r="H575" i="2"/>
  <c r="G575" i="2"/>
  <c r="F575" i="2"/>
  <c r="E575" i="2"/>
  <c r="D575" i="2"/>
  <c r="C575" i="2"/>
  <c r="A575" i="2"/>
  <c r="Q574" i="2"/>
  <c r="P574" i="2"/>
  <c r="O574" i="2"/>
  <c r="N574" i="2"/>
  <c r="M574" i="2"/>
  <c r="L574" i="2"/>
  <c r="K574" i="2"/>
  <c r="J574" i="2"/>
  <c r="I574" i="2"/>
  <c r="H574" i="2"/>
  <c r="G574" i="2"/>
  <c r="F574" i="2"/>
  <c r="E574" i="2"/>
  <c r="D574" i="2"/>
  <c r="C574" i="2"/>
  <c r="A574" i="2"/>
  <c r="Q573" i="2"/>
  <c r="P573" i="2"/>
  <c r="O573" i="2"/>
  <c r="N573" i="2"/>
  <c r="M573" i="2"/>
  <c r="L573" i="2"/>
  <c r="K573" i="2"/>
  <c r="J573" i="2"/>
  <c r="I573" i="2"/>
  <c r="H573" i="2"/>
  <c r="G573" i="2"/>
  <c r="F573" i="2"/>
  <c r="E573" i="2"/>
  <c r="D573" i="2"/>
  <c r="C573" i="2"/>
  <c r="A573" i="2"/>
  <c r="Q572" i="2"/>
  <c r="P572" i="2"/>
  <c r="O572" i="2"/>
  <c r="N572" i="2"/>
  <c r="M572" i="2"/>
  <c r="L572" i="2"/>
  <c r="K572" i="2"/>
  <c r="J572" i="2"/>
  <c r="I572" i="2"/>
  <c r="H572" i="2"/>
  <c r="G572" i="2"/>
  <c r="F572" i="2"/>
  <c r="E572" i="2"/>
  <c r="D572" i="2"/>
  <c r="C572" i="2"/>
  <c r="A572" i="2"/>
  <c r="Q571" i="2"/>
  <c r="P571" i="2"/>
  <c r="O571" i="2"/>
  <c r="N571" i="2"/>
  <c r="M571" i="2"/>
  <c r="L571" i="2"/>
  <c r="K571" i="2"/>
  <c r="J571" i="2"/>
  <c r="I571" i="2"/>
  <c r="H571" i="2"/>
  <c r="G571" i="2"/>
  <c r="F571" i="2"/>
  <c r="E571" i="2"/>
  <c r="D571" i="2"/>
  <c r="C571" i="2"/>
  <c r="A571" i="2"/>
  <c r="Q570" i="2"/>
  <c r="P570" i="2"/>
  <c r="O570" i="2"/>
  <c r="N570" i="2"/>
  <c r="M570" i="2"/>
  <c r="L570" i="2"/>
  <c r="K570" i="2"/>
  <c r="J570" i="2"/>
  <c r="I570" i="2"/>
  <c r="H570" i="2"/>
  <c r="G570" i="2"/>
  <c r="F570" i="2"/>
  <c r="E570" i="2"/>
  <c r="D570" i="2"/>
  <c r="C570" i="2"/>
  <c r="A570" i="2"/>
  <c r="Q569" i="2"/>
  <c r="P569" i="2"/>
  <c r="O569" i="2"/>
  <c r="N569" i="2"/>
  <c r="M569" i="2"/>
  <c r="L569" i="2"/>
  <c r="K569" i="2"/>
  <c r="J569" i="2"/>
  <c r="I569" i="2"/>
  <c r="H569" i="2"/>
  <c r="G569" i="2"/>
  <c r="F569" i="2"/>
  <c r="E569" i="2"/>
  <c r="D569" i="2"/>
  <c r="C569" i="2"/>
  <c r="A569" i="2"/>
  <c r="Q568" i="2"/>
  <c r="P568" i="2"/>
  <c r="O568" i="2"/>
  <c r="N568" i="2"/>
  <c r="M568" i="2"/>
  <c r="L568" i="2"/>
  <c r="K568" i="2"/>
  <c r="J568" i="2"/>
  <c r="I568" i="2"/>
  <c r="H568" i="2"/>
  <c r="G568" i="2"/>
  <c r="F568" i="2"/>
  <c r="E568" i="2"/>
  <c r="D568" i="2"/>
  <c r="C568" i="2"/>
  <c r="A568" i="2"/>
  <c r="Q567" i="2"/>
  <c r="P567" i="2"/>
  <c r="O567" i="2"/>
  <c r="N567" i="2"/>
  <c r="M567" i="2"/>
  <c r="L567" i="2"/>
  <c r="K567" i="2"/>
  <c r="J567" i="2"/>
  <c r="I567" i="2"/>
  <c r="H567" i="2"/>
  <c r="G567" i="2"/>
  <c r="F567" i="2"/>
  <c r="E567" i="2"/>
  <c r="D567" i="2"/>
  <c r="C567" i="2"/>
  <c r="A567" i="2"/>
  <c r="Q566" i="2"/>
  <c r="P566" i="2"/>
  <c r="O566" i="2"/>
  <c r="N566" i="2"/>
  <c r="M566" i="2"/>
  <c r="L566" i="2"/>
  <c r="K566" i="2"/>
  <c r="J566" i="2"/>
  <c r="I566" i="2"/>
  <c r="H566" i="2"/>
  <c r="G566" i="2"/>
  <c r="F566" i="2"/>
  <c r="E566" i="2"/>
  <c r="D566" i="2"/>
  <c r="C566" i="2"/>
  <c r="A566" i="2"/>
  <c r="Q565" i="2"/>
  <c r="P565" i="2"/>
  <c r="O565" i="2"/>
  <c r="N565" i="2"/>
  <c r="M565" i="2"/>
  <c r="L565" i="2"/>
  <c r="K565" i="2"/>
  <c r="J565" i="2"/>
  <c r="I565" i="2"/>
  <c r="H565" i="2"/>
  <c r="G565" i="2"/>
  <c r="F565" i="2"/>
  <c r="E565" i="2"/>
  <c r="D565" i="2"/>
  <c r="C565" i="2"/>
  <c r="A565" i="2"/>
  <c r="Q564" i="2"/>
  <c r="P564" i="2"/>
  <c r="O564" i="2"/>
  <c r="N564" i="2"/>
  <c r="M564" i="2"/>
  <c r="L564" i="2"/>
  <c r="K564" i="2"/>
  <c r="J564" i="2"/>
  <c r="I564" i="2"/>
  <c r="H564" i="2"/>
  <c r="G564" i="2"/>
  <c r="F564" i="2"/>
  <c r="E564" i="2"/>
  <c r="D564" i="2"/>
  <c r="C564" i="2"/>
  <c r="A564" i="2"/>
  <c r="Q563" i="2"/>
  <c r="P563" i="2"/>
  <c r="O563" i="2"/>
  <c r="N563" i="2"/>
  <c r="M563" i="2"/>
  <c r="L563" i="2"/>
  <c r="K563" i="2"/>
  <c r="J563" i="2"/>
  <c r="I563" i="2"/>
  <c r="H563" i="2"/>
  <c r="G563" i="2"/>
  <c r="F563" i="2"/>
  <c r="E563" i="2"/>
  <c r="D563" i="2"/>
  <c r="C563" i="2"/>
  <c r="A563" i="2"/>
  <c r="Q562" i="2"/>
  <c r="P562" i="2"/>
  <c r="O562" i="2"/>
  <c r="N562" i="2"/>
  <c r="M562" i="2"/>
  <c r="L562" i="2"/>
  <c r="K562" i="2"/>
  <c r="J562" i="2"/>
  <c r="I562" i="2"/>
  <c r="H562" i="2"/>
  <c r="G562" i="2"/>
  <c r="F562" i="2"/>
  <c r="E562" i="2"/>
  <c r="D562" i="2"/>
  <c r="C562" i="2"/>
  <c r="A562" i="2"/>
  <c r="Q561" i="2"/>
  <c r="P561" i="2"/>
  <c r="O561" i="2"/>
  <c r="N561" i="2"/>
  <c r="M561" i="2"/>
  <c r="L561" i="2"/>
  <c r="K561" i="2"/>
  <c r="J561" i="2"/>
  <c r="I561" i="2"/>
  <c r="H561" i="2"/>
  <c r="G561" i="2"/>
  <c r="F561" i="2"/>
  <c r="E561" i="2"/>
  <c r="D561" i="2"/>
  <c r="C561" i="2"/>
  <c r="A561" i="2"/>
  <c r="Q560" i="2"/>
  <c r="P560" i="2"/>
  <c r="O560" i="2"/>
  <c r="N560" i="2"/>
  <c r="M560" i="2"/>
  <c r="L560" i="2"/>
  <c r="K560" i="2"/>
  <c r="J560" i="2"/>
  <c r="I560" i="2"/>
  <c r="H560" i="2"/>
  <c r="G560" i="2"/>
  <c r="F560" i="2"/>
  <c r="E560" i="2"/>
  <c r="D560" i="2"/>
  <c r="C560" i="2"/>
  <c r="A560" i="2"/>
  <c r="Q559" i="2"/>
  <c r="P559" i="2"/>
  <c r="O559" i="2"/>
  <c r="N559" i="2"/>
  <c r="M559" i="2"/>
  <c r="L559" i="2"/>
  <c r="K559" i="2"/>
  <c r="J559" i="2"/>
  <c r="I559" i="2"/>
  <c r="H559" i="2"/>
  <c r="G559" i="2"/>
  <c r="F559" i="2"/>
  <c r="E559" i="2"/>
  <c r="D559" i="2"/>
  <c r="C559" i="2"/>
  <c r="A559" i="2"/>
  <c r="Q558" i="2"/>
  <c r="P558" i="2"/>
  <c r="O558" i="2"/>
  <c r="N558" i="2"/>
  <c r="M558" i="2"/>
  <c r="L558" i="2"/>
  <c r="K558" i="2"/>
  <c r="J558" i="2"/>
  <c r="I558" i="2"/>
  <c r="H558" i="2"/>
  <c r="G558" i="2"/>
  <c r="F558" i="2"/>
  <c r="E558" i="2"/>
  <c r="D558" i="2"/>
  <c r="C558" i="2"/>
  <c r="A558" i="2"/>
  <c r="Q557" i="2"/>
  <c r="P557" i="2"/>
  <c r="O557" i="2"/>
  <c r="N557" i="2"/>
  <c r="M557" i="2"/>
  <c r="L557" i="2"/>
  <c r="K557" i="2"/>
  <c r="J557" i="2"/>
  <c r="I557" i="2"/>
  <c r="H557" i="2"/>
  <c r="G557" i="2"/>
  <c r="F557" i="2"/>
  <c r="E557" i="2"/>
  <c r="D557" i="2"/>
  <c r="C557" i="2"/>
  <c r="A557" i="2"/>
  <c r="Q556" i="2"/>
  <c r="P556" i="2"/>
  <c r="O556" i="2"/>
  <c r="N556" i="2"/>
  <c r="M556" i="2"/>
  <c r="L556" i="2"/>
  <c r="K556" i="2"/>
  <c r="J556" i="2"/>
  <c r="I556" i="2"/>
  <c r="H556" i="2"/>
  <c r="G556" i="2"/>
  <c r="F556" i="2"/>
  <c r="E556" i="2"/>
  <c r="D556" i="2"/>
  <c r="C556" i="2"/>
  <c r="A556" i="2"/>
  <c r="Q555" i="2"/>
  <c r="P555" i="2"/>
  <c r="O555" i="2"/>
  <c r="N555" i="2"/>
  <c r="M555" i="2"/>
  <c r="L555" i="2"/>
  <c r="K555" i="2"/>
  <c r="J555" i="2"/>
  <c r="I555" i="2"/>
  <c r="H555" i="2"/>
  <c r="G555" i="2"/>
  <c r="F555" i="2"/>
  <c r="E555" i="2"/>
  <c r="D555" i="2"/>
  <c r="C555" i="2"/>
  <c r="A555" i="2"/>
  <c r="Q554" i="2"/>
  <c r="P554" i="2"/>
  <c r="O554" i="2"/>
  <c r="N554" i="2"/>
  <c r="M554" i="2"/>
  <c r="L554" i="2"/>
  <c r="K554" i="2"/>
  <c r="J554" i="2"/>
  <c r="I554" i="2"/>
  <c r="H554" i="2"/>
  <c r="G554" i="2"/>
  <c r="F554" i="2"/>
  <c r="E554" i="2"/>
  <c r="D554" i="2"/>
  <c r="C554" i="2"/>
  <c r="A554" i="2"/>
  <c r="Q553" i="2"/>
  <c r="P553" i="2"/>
  <c r="O553" i="2"/>
  <c r="N553" i="2"/>
  <c r="M553" i="2"/>
  <c r="L553" i="2"/>
  <c r="K553" i="2"/>
  <c r="J553" i="2"/>
  <c r="I553" i="2"/>
  <c r="H553" i="2"/>
  <c r="G553" i="2"/>
  <c r="F553" i="2"/>
  <c r="E553" i="2"/>
  <c r="D553" i="2"/>
  <c r="C553" i="2"/>
  <c r="A553" i="2"/>
  <c r="Q552" i="2"/>
  <c r="P552" i="2"/>
  <c r="O552" i="2"/>
  <c r="N552" i="2"/>
  <c r="M552" i="2"/>
  <c r="L552" i="2"/>
  <c r="K552" i="2"/>
  <c r="J552" i="2"/>
  <c r="I552" i="2"/>
  <c r="H552" i="2"/>
  <c r="G552" i="2"/>
  <c r="F552" i="2"/>
  <c r="E552" i="2"/>
  <c r="D552" i="2"/>
  <c r="C552" i="2"/>
  <c r="A552" i="2"/>
  <c r="Q551" i="2"/>
  <c r="P551" i="2"/>
  <c r="O551" i="2"/>
  <c r="N551" i="2"/>
  <c r="M551" i="2"/>
  <c r="L551" i="2"/>
  <c r="K551" i="2"/>
  <c r="J551" i="2"/>
  <c r="I551" i="2"/>
  <c r="H551" i="2"/>
  <c r="G551" i="2"/>
  <c r="F551" i="2"/>
  <c r="E551" i="2"/>
  <c r="D551" i="2"/>
  <c r="C551" i="2"/>
  <c r="A551" i="2"/>
  <c r="Q550" i="2"/>
  <c r="P550" i="2"/>
  <c r="O550" i="2"/>
  <c r="N550" i="2"/>
  <c r="M550" i="2"/>
  <c r="L550" i="2"/>
  <c r="K550" i="2"/>
  <c r="J550" i="2"/>
  <c r="I550" i="2"/>
  <c r="H550" i="2"/>
  <c r="G550" i="2"/>
  <c r="F550" i="2"/>
  <c r="E550" i="2"/>
  <c r="D550" i="2"/>
  <c r="C550" i="2"/>
  <c r="A550" i="2"/>
  <c r="Q549" i="2"/>
  <c r="P549" i="2"/>
  <c r="O549" i="2"/>
  <c r="N549" i="2"/>
  <c r="M549" i="2"/>
  <c r="L549" i="2"/>
  <c r="K549" i="2"/>
  <c r="J549" i="2"/>
  <c r="I549" i="2"/>
  <c r="H549" i="2"/>
  <c r="G549" i="2"/>
  <c r="F549" i="2"/>
  <c r="E549" i="2"/>
  <c r="D549" i="2"/>
  <c r="C549" i="2"/>
  <c r="A549" i="2"/>
  <c r="Q548" i="2"/>
  <c r="P548" i="2"/>
  <c r="O548" i="2"/>
  <c r="N548" i="2"/>
  <c r="M548" i="2"/>
  <c r="L548" i="2"/>
  <c r="K548" i="2"/>
  <c r="J548" i="2"/>
  <c r="I548" i="2"/>
  <c r="H548" i="2"/>
  <c r="G548" i="2"/>
  <c r="F548" i="2"/>
  <c r="E548" i="2"/>
  <c r="D548" i="2"/>
  <c r="C548" i="2"/>
  <c r="A548" i="2"/>
  <c r="Q547" i="2"/>
  <c r="P547" i="2"/>
  <c r="O547" i="2"/>
  <c r="N547" i="2"/>
  <c r="M547" i="2"/>
  <c r="L547" i="2"/>
  <c r="K547" i="2"/>
  <c r="J547" i="2"/>
  <c r="I547" i="2"/>
  <c r="H547" i="2"/>
  <c r="G547" i="2"/>
  <c r="F547" i="2"/>
  <c r="E547" i="2"/>
  <c r="D547" i="2"/>
  <c r="C547" i="2"/>
  <c r="A547" i="2"/>
  <c r="Q546" i="2"/>
  <c r="P546" i="2"/>
  <c r="O546" i="2"/>
  <c r="N546" i="2"/>
  <c r="M546" i="2"/>
  <c r="L546" i="2"/>
  <c r="K546" i="2"/>
  <c r="J546" i="2"/>
  <c r="I546" i="2"/>
  <c r="H546" i="2"/>
  <c r="G546" i="2"/>
  <c r="F546" i="2"/>
  <c r="E546" i="2"/>
  <c r="D546" i="2"/>
  <c r="C546" i="2"/>
  <c r="A546" i="2"/>
  <c r="Q545" i="2"/>
  <c r="P545" i="2"/>
  <c r="O545" i="2"/>
  <c r="N545" i="2"/>
  <c r="M545" i="2"/>
  <c r="L545" i="2"/>
  <c r="K545" i="2"/>
  <c r="J545" i="2"/>
  <c r="I545" i="2"/>
  <c r="H545" i="2"/>
  <c r="G545" i="2"/>
  <c r="F545" i="2"/>
  <c r="E545" i="2"/>
  <c r="D545" i="2"/>
  <c r="C545" i="2"/>
  <c r="A545" i="2"/>
  <c r="Q544" i="2"/>
  <c r="P544" i="2"/>
  <c r="O544" i="2"/>
  <c r="N544" i="2"/>
  <c r="M544" i="2"/>
  <c r="L544" i="2"/>
  <c r="K544" i="2"/>
  <c r="J544" i="2"/>
  <c r="I544" i="2"/>
  <c r="H544" i="2"/>
  <c r="G544" i="2"/>
  <c r="F544" i="2"/>
  <c r="E544" i="2"/>
  <c r="D544" i="2"/>
  <c r="C544" i="2"/>
  <c r="A544" i="2"/>
  <c r="Q543" i="2"/>
  <c r="P543" i="2"/>
  <c r="O543" i="2"/>
  <c r="N543" i="2"/>
  <c r="M543" i="2"/>
  <c r="L543" i="2"/>
  <c r="K543" i="2"/>
  <c r="J543" i="2"/>
  <c r="I543" i="2"/>
  <c r="H543" i="2"/>
  <c r="G543" i="2"/>
  <c r="F543" i="2"/>
  <c r="E543" i="2"/>
  <c r="D543" i="2"/>
  <c r="C543" i="2"/>
  <c r="A543" i="2"/>
  <c r="Q542" i="2"/>
  <c r="P542" i="2"/>
  <c r="O542" i="2"/>
  <c r="N542" i="2"/>
  <c r="M542" i="2"/>
  <c r="L542" i="2"/>
  <c r="K542" i="2"/>
  <c r="J542" i="2"/>
  <c r="I542" i="2"/>
  <c r="H542" i="2"/>
  <c r="G542" i="2"/>
  <c r="F542" i="2"/>
  <c r="E542" i="2"/>
  <c r="D542" i="2"/>
  <c r="C542" i="2"/>
  <c r="A542" i="2"/>
  <c r="Q541" i="2"/>
  <c r="P541" i="2"/>
  <c r="O541" i="2"/>
  <c r="N541" i="2"/>
  <c r="M541" i="2"/>
  <c r="L541" i="2"/>
  <c r="K541" i="2"/>
  <c r="J541" i="2"/>
  <c r="I541" i="2"/>
  <c r="H541" i="2"/>
  <c r="G541" i="2"/>
  <c r="F541" i="2"/>
  <c r="E541" i="2"/>
  <c r="D541" i="2"/>
  <c r="C541" i="2"/>
  <c r="A541" i="2"/>
  <c r="Q540" i="2"/>
  <c r="P540" i="2"/>
  <c r="O540" i="2"/>
  <c r="N540" i="2"/>
  <c r="M540" i="2"/>
  <c r="L540" i="2"/>
  <c r="K540" i="2"/>
  <c r="J540" i="2"/>
  <c r="I540" i="2"/>
  <c r="H540" i="2"/>
  <c r="G540" i="2"/>
  <c r="F540" i="2"/>
  <c r="E540" i="2"/>
  <c r="D540" i="2"/>
  <c r="C540" i="2"/>
  <c r="A540" i="2"/>
  <c r="Q539" i="2"/>
  <c r="P539" i="2"/>
  <c r="O539" i="2"/>
  <c r="N539" i="2"/>
  <c r="M539" i="2"/>
  <c r="L539" i="2"/>
  <c r="K539" i="2"/>
  <c r="J539" i="2"/>
  <c r="I539" i="2"/>
  <c r="H539" i="2"/>
  <c r="G539" i="2"/>
  <c r="F539" i="2"/>
  <c r="E539" i="2"/>
  <c r="D539" i="2"/>
  <c r="C539" i="2"/>
  <c r="A539" i="2"/>
  <c r="Q538" i="2"/>
  <c r="P538" i="2"/>
  <c r="O538" i="2"/>
  <c r="N538" i="2"/>
  <c r="M538" i="2"/>
  <c r="L538" i="2"/>
  <c r="K538" i="2"/>
  <c r="J538" i="2"/>
  <c r="I538" i="2"/>
  <c r="H538" i="2"/>
  <c r="G538" i="2"/>
  <c r="F538" i="2"/>
  <c r="E538" i="2"/>
  <c r="D538" i="2"/>
  <c r="C538" i="2"/>
  <c r="A538" i="2"/>
  <c r="Q537" i="2"/>
  <c r="P537" i="2"/>
  <c r="O537" i="2"/>
  <c r="N537" i="2"/>
  <c r="M537" i="2"/>
  <c r="L537" i="2"/>
  <c r="K537" i="2"/>
  <c r="J537" i="2"/>
  <c r="I537" i="2"/>
  <c r="H537" i="2"/>
  <c r="G537" i="2"/>
  <c r="F537" i="2"/>
  <c r="E537" i="2"/>
  <c r="D537" i="2"/>
  <c r="C537" i="2"/>
  <c r="A537" i="2"/>
  <c r="Q536" i="2"/>
  <c r="P536" i="2"/>
  <c r="O536" i="2"/>
  <c r="N536" i="2"/>
  <c r="M536" i="2"/>
  <c r="L536" i="2"/>
  <c r="K536" i="2"/>
  <c r="J536" i="2"/>
  <c r="I536" i="2"/>
  <c r="H536" i="2"/>
  <c r="G536" i="2"/>
  <c r="F536" i="2"/>
  <c r="E536" i="2"/>
  <c r="D536" i="2"/>
  <c r="C536" i="2"/>
  <c r="A536" i="2"/>
  <c r="Q535" i="2"/>
  <c r="P535" i="2"/>
  <c r="O535" i="2"/>
  <c r="N535" i="2"/>
  <c r="M535" i="2"/>
  <c r="L535" i="2"/>
  <c r="K535" i="2"/>
  <c r="J535" i="2"/>
  <c r="I535" i="2"/>
  <c r="H535" i="2"/>
  <c r="G535" i="2"/>
  <c r="F535" i="2"/>
  <c r="E535" i="2"/>
  <c r="D535" i="2"/>
  <c r="C535" i="2"/>
  <c r="A535" i="2"/>
  <c r="Q534" i="2"/>
  <c r="P534" i="2"/>
  <c r="O534" i="2"/>
  <c r="N534" i="2"/>
  <c r="M534" i="2"/>
  <c r="L534" i="2"/>
  <c r="K534" i="2"/>
  <c r="J534" i="2"/>
  <c r="I534" i="2"/>
  <c r="H534" i="2"/>
  <c r="G534" i="2"/>
  <c r="F534" i="2"/>
  <c r="E534" i="2"/>
  <c r="D534" i="2"/>
  <c r="C534" i="2"/>
  <c r="A534" i="2"/>
  <c r="Q533" i="2"/>
  <c r="P533" i="2"/>
  <c r="O533" i="2"/>
  <c r="N533" i="2"/>
  <c r="M533" i="2"/>
  <c r="L533" i="2"/>
  <c r="K533" i="2"/>
  <c r="J533" i="2"/>
  <c r="I533" i="2"/>
  <c r="H533" i="2"/>
  <c r="G533" i="2"/>
  <c r="F533" i="2"/>
  <c r="E533" i="2"/>
  <c r="D533" i="2"/>
  <c r="C533" i="2"/>
  <c r="A533" i="2"/>
  <c r="Q532" i="2"/>
  <c r="P532" i="2"/>
  <c r="O532" i="2"/>
  <c r="N532" i="2"/>
  <c r="M532" i="2"/>
  <c r="L532" i="2"/>
  <c r="K532" i="2"/>
  <c r="J532" i="2"/>
  <c r="I532" i="2"/>
  <c r="H532" i="2"/>
  <c r="G532" i="2"/>
  <c r="F532" i="2"/>
  <c r="E532" i="2"/>
  <c r="D532" i="2"/>
  <c r="C532" i="2"/>
  <c r="A532" i="2"/>
  <c r="Q531" i="2"/>
  <c r="P531" i="2"/>
  <c r="O531" i="2"/>
  <c r="N531" i="2"/>
  <c r="M531" i="2"/>
  <c r="L531" i="2"/>
  <c r="K531" i="2"/>
  <c r="J531" i="2"/>
  <c r="I531" i="2"/>
  <c r="H531" i="2"/>
  <c r="G531" i="2"/>
  <c r="F531" i="2"/>
  <c r="E531" i="2"/>
  <c r="D531" i="2"/>
  <c r="C531" i="2"/>
  <c r="A531" i="2"/>
  <c r="Q530" i="2"/>
  <c r="P530" i="2"/>
  <c r="O530" i="2"/>
  <c r="N530" i="2"/>
  <c r="M530" i="2"/>
  <c r="L530" i="2"/>
  <c r="K530" i="2"/>
  <c r="J530" i="2"/>
  <c r="I530" i="2"/>
  <c r="H530" i="2"/>
  <c r="G530" i="2"/>
  <c r="F530" i="2"/>
  <c r="E530" i="2"/>
  <c r="D530" i="2"/>
  <c r="C530" i="2"/>
  <c r="A530" i="2"/>
  <c r="Q529" i="2"/>
  <c r="P529" i="2"/>
  <c r="O529" i="2"/>
  <c r="N529" i="2"/>
  <c r="M529" i="2"/>
  <c r="L529" i="2"/>
  <c r="K529" i="2"/>
  <c r="J529" i="2"/>
  <c r="I529" i="2"/>
  <c r="H529" i="2"/>
  <c r="G529" i="2"/>
  <c r="F529" i="2"/>
  <c r="E529" i="2"/>
  <c r="D529" i="2"/>
  <c r="C529" i="2"/>
  <c r="A529" i="2"/>
  <c r="Q528" i="2"/>
  <c r="P528" i="2"/>
  <c r="O528" i="2"/>
  <c r="N528" i="2"/>
  <c r="M528" i="2"/>
  <c r="L528" i="2"/>
  <c r="K528" i="2"/>
  <c r="J528" i="2"/>
  <c r="I528" i="2"/>
  <c r="H528" i="2"/>
  <c r="G528" i="2"/>
  <c r="F528" i="2"/>
  <c r="E528" i="2"/>
  <c r="D528" i="2"/>
  <c r="C528" i="2"/>
  <c r="A528" i="2"/>
  <c r="Q527" i="2"/>
  <c r="P527" i="2"/>
  <c r="O527" i="2"/>
  <c r="N527" i="2"/>
  <c r="M527" i="2"/>
  <c r="L527" i="2"/>
  <c r="K527" i="2"/>
  <c r="J527" i="2"/>
  <c r="I527" i="2"/>
  <c r="H527" i="2"/>
  <c r="G527" i="2"/>
  <c r="F527" i="2"/>
  <c r="E527" i="2"/>
  <c r="D527" i="2"/>
  <c r="C527" i="2"/>
  <c r="A527" i="2"/>
  <c r="Q526" i="2"/>
  <c r="P526" i="2"/>
  <c r="O526" i="2"/>
  <c r="N526" i="2"/>
  <c r="M526" i="2"/>
  <c r="L526" i="2"/>
  <c r="K526" i="2"/>
  <c r="J526" i="2"/>
  <c r="I526" i="2"/>
  <c r="H526" i="2"/>
  <c r="G526" i="2"/>
  <c r="F526" i="2"/>
  <c r="E526" i="2"/>
  <c r="D526" i="2"/>
  <c r="C526" i="2"/>
  <c r="A526" i="2"/>
  <c r="Q525" i="2"/>
  <c r="P525" i="2"/>
  <c r="O525" i="2"/>
  <c r="N525" i="2"/>
  <c r="M525" i="2"/>
  <c r="L525" i="2"/>
  <c r="K525" i="2"/>
  <c r="J525" i="2"/>
  <c r="I525" i="2"/>
  <c r="H525" i="2"/>
  <c r="G525" i="2"/>
  <c r="F525" i="2"/>
  <c r="E525" i="2"/>
  <c r="D525" i="2"/>
  <c r="C525" i="2"/>
  <c r="A525" i="2"/>
  <c r="Q524" i="2"/>
  <c r="P524" i="2"/>
  <c r="O524" i="2"/>
  <c r="N524" i="2"/>
  <c r="M524" i="2"/>
  <c r="L524" i="2"/>
  <c r="K524" i="2"/>
  <c r="J524" i="2"/>
  <c r="I524" i="2"/>
  <c r="H524" i="2"/>
  <c r="G524" i="2"/>
  <c r="F524" i="2"/>
  <c r="E524" i="2"/>
  <c r="D524" i="2"/>
  <c r="C524" i="2"/>
  <c r="A524" i="2"/>
  <c r="Q523" i="2"/>
  <c r="P523" i="2"/>
  <c r="O523" i="2"/>
  <c r="N523" i="2"/>
  <c r="M523" i="2"/>
  <c r="L523" i="2"/>
  <c r="K523" i="2"/>
  <c r="J523" i="2"/>
  <c r="I523" i="2"/>
  <c r="H523" i="2"/>
  <c r="G523" i="2"/>
  <c r="F523" i="2"/>
  <c r="E523" i="2"/>
  <c r="D523" i="2"/>
  <c r="C523" i="2"/>
  <c r="A523" i="2"/>
  <c r="Q522" i="2"/>
  <c r="P522" i="2"/>
  <c r="O522" i="2"/>
  <c r="N522" i="2"/>
  <c r="M522" i="2"/>
  <c r="L522" i="2"/>
  <c r="K522" i="2"/>
  <c r="J522" i="2"/>
  <c r="I522" i="2"/>
  <c r="H522" i="2"/>
  <c r="G522" i="2"/>
  <c r="F522" i="2"/>
  <c r="E522" i="2"/>
  <c r="D522" i="2"/>
  <c r="C522" i="2"/>
  <c r="A522" i="2"/>
  <c r="Q521" i="2"/>
  <c r="P521" i="2"/>
  <c r="O521" i="2"/>
  <c r="N521" i="2"/>
  <c r="M521" i="2"/>
  <c r="L521" i="2"/>
  <c r="K521" i="2"/>
  <c r="J521" i="2"/>
  <c r="I521" i="2"/>
  <c r="H521" i="2"/>
  <c r="G521" i="2"/>
  <c r="F521" i="2"/>
  <c r="E521" i="2"/>
  <c r="D521" i="2"/>
  <c r="C521" i="2"/>
  <c r="A521" i="2"/>
  <c r="Q520" i="2"/>
  <c r="P520" i="2"/>
  <c r="O520" i="2"/>
  <c r="N520" i="2"/>
  <c r="M520" i="2"/>
  <c r="L520" i="2"/>
  <c r="K520" i="2"/>
  <c r="J520" i="2"/>
  <c r="I520" i="2"/>
  <c r="H520" i="2"/>
  <c r="G520" i="2"/>
  <c r="F520" i="2"/>
  <c r="E520" i="2"/>
  <c r="D520" i="2"/>
  <c r="C520" i="2"/>
  <c r="A520" i="2"/>
  <c r="Q519" i="2"/>
  <c r="P519" i="2"/>
  <c r="O519" i="2"/>
  <c r="N519" i="2"/>
  <c r="M519" i="2"/>
  <c r="L519" i="2"/>
  <c r="K519" i="2"/>
  <c r="J519" i="2"/>
  <c r="I519" i="2"/>
  <c r="H519" i="2"/>
  <c r="G519" i="2"/>
  <c r="F519" i="2"/>
  <c r="E519" i="2"/>
  <c r="D519" i="2"/>
  <c r="C519" i="2"/>
  <c r="A519" i="2"/>
  <c r="Q518" i="2"/>
  <c r="P518" i="2"/>
  <c r="O518" i="2"/>
  <c r="N518" i="2"/>
  <c r="M518" i="2"/>
  <c r="L518" i="2"/>
  <c r="K518" i="2"/>
  <c r="J518" i="2"/>
  <c r="I518" i="2"/>
  <c r="H518" i="2"/>
  <c r="G518" i="2"/>
  <c r="F518" i="2"/>
  <c r="E518" i="2"/>
  <c r="D518" i="2"/>
  <c r="C518" i="2"/>
  <c r="A518" i="2"/>
  <c r="Q517" i="2"/>
  <c r="P517" i="2"/>
  <c r="O517" i="2"/>
  <c r="N517" i="2"/>
  <c r="M517" i="2"/>
  <c r="L517" i="2"/>
  <c r="K517" i="2"/>
  <c r="J517" i="2"/>
  <c r="I517" i="2"/>
  <c r="H517" i="2"/>
  <c r="G517" i="2"/>
  <c r="F517" i="2"/>
  <c r="E517" i="2"/>
  <c r="D517" i="2"/>
  <c r="C517" i="2"/>
  <c r="A517" i="2"/>
  <c r="Q516" i="2"/>
  <c r="P516" i="2"/>
  <c r="O516" i="2"/>
  <c r="N516" i="2"/>
  <c r="M516" i="2"/>
  <c r="L516" i="2"/>
  <c r="K516" i="2"/>
  <c r="J516" i="2"/>
  <c r="I516" i="2"/>
  <c r="H516" i="2"/>
  <c r="G516" i="2"/>
  <c r="F516" i="2"/>
  <c r="E516" i="2"/>
  <c r="D516" i="2"/>
  <c r="C516" i="2"/>
  <c r="A516" i="2"/>
  <c r="Q515" i="2"/>
  <c r="P515" i="2"/>
  <c r="O515" i="2"/>
  <c r="N515" i="2"/>
  <c r="M515" i="2"/>
  <c r="L515" i="2"/>
  <c r="K515" i="2"/>
  <c r="J515" i="2"/>
  <c r="I515" i="2"/>
  <c r="H515" i="2"/>
  <c r="G515" i="2"/>
  <c r="F515" i="2"/>
  <c r="E515" i="2"/>
  <c r="D515" i="2"/>
  <c r="C515" i="2"/>
  <c r="A515" i="2"/>
  <c r="Q514" i="2"/>
  <c r="P514" i="2"/>
  <c r="O514" i="2"/>
  <c r="N514" i="2"/>
  <c r="M514" i="2"/>
  <c r="L514" i="2"/>
  <c r="K514" i="2"/>
  <c r="J514" i="2"/>
  <c r="I514" i="2"/>
  <c r="H514" i="2"/>
  <c r="G514" i="2"/>
  <c r="F514" i="2"/>
  <c r="E514" i="2"/>
  <c r="D514" i="2"/>
  <c r="C514" i="2"/>
  <c r="A514" i="2"/>
  <c r="Q513" i="2"/>
  <c r="P513" i="2"/>
  <c r="O513" i="2"/>
  <c r="N513" i="2"/>
  <c r="M513" i="2"/>
  <c r="L513" i="2"/>
  <c r="K513" i="2"/>
  <c r="J513" i="2"/>
  <c r="I513" i="2"/>
  <c r="H513" i="2"/>
  <c r="G513" i="2"/>
  <c r="F513" i="2"/>
  <c r="E513" i="2"/>
  <c r="D513" i="2"/>
  <c r="C513" i="2"/>
  <c r="A513" i="2"/>
  <c r="Q512" i="2"/>
  <c r="P512" i="2"/>
  <c r="O512" i="2"/>
  <c r="N512" i="2"/>
  <c r="M512" i="2"/>
  <c r="L512" i="2"/>
  <c r="K512" i="2"/>
  <c r="J512" i="2"/>
  <c r="I512" i="2"/>
  <c r="H512" i="2"/>
  <c r="G512" i="2"/>
  <c r="F512" i="2"/>
  <c r="E512" i="2"/>
  <c r="D512" i="2"/>
  <c r="C512" i="2"/>
  <c r="A512" i="2"/>
  <c r="Q511" i="2"/>
  <c r="P511" i="2"/>
  <c r="O511" i="2"/>
  <c r="N511" i="2"/>
  <c r="M511" i="2"/>
  <c r="L511" i="2"/>
  <c r="K511" i="2"/>
  <c r="J511" i="2"/>
  <c r="I511" i="2"/>
  <c r="H511" i="2"/>
  <c r="G511" i="2"/>
  <c r="F511" i="2"/>
  <c r="E511" i="2"/>
  <c r="D511" i="2"/>
  <c r="C511" i="2"/>
  <c r="A511" i="2"/>
  <c r="Q510" i="2"/>
  <c r="P510" i="2"/>
  <c r="O510" i="2"/>
  <c r="N510" i="2"/>
  <c r="M510" i="2"/>
  <c r="L510" i="2"/>
  <c r="K510" i="2"/>
  <c r="J510" i="2"/>
  <c r="I510" i="2"/>
  <c r="H510" i="2"/>
  <c r="G510" i="2"/>
  <c r="F510" i="2"/>
  <c r="E510" i="2"/>
  <c r="D510" i="2"/>
  <c r="C510" i="2"/>
  <c r="A510" i="2"/>
  <c r="Q509" i="2"/>
  <c r="P509" i="2"/>
  <c r="O509" i="2"/>
  <c r="N509" i="2"/>
  <c r="M509" i="2"/>
  <c r="L509" i="2"/>
  <c r="K509" i="2"/>
  <c r="J509" i="2"/>
  <c r="I509" i="2"/>
  <c r="H509" i="2"/>
  <c r="G509" i="2"/>
  <c r="F509" i="2"/>
  <c r="E509" i="2"/>
  <c r="D509" i="2"/>
  <c r="C509" i="2"/>
  <c r="A509" i="2"/>
  <c r="Q508" i="2"/>
  <c r="P508" i="2"/>
  <c r="O508" i="2"/>
  <c r="N508" i="2"/>
  <c r="M508" i="2"/>
  <c r="L508" i="2"/>
  <c r="K508" i="2"/>
  <c r="J508" i="2"/>
  <c r="I508" i="2"/>
  <c r="H508" i="2"/>
  <c r="G508" i="2"/>
  <c r="F508" i="2"/>
  <c r="E508" i="2"/>
  <c r="D508" i="2"/>
  <c r="C508" i="2"/>
  <c r="A508" i="2"/>
  <c r="Q507" i="2"/>
  <c r="P507" i="2"/>
  <c r="O507" i="2"/>
  <c r="N507" i="2"/>
  <c r="M507" i="2"/>
  <c r="L507" i="2"/>
  <c r="K507" i="2"/>
  <c r="J507" i="2"/>
  <c r="I507" i="2"/>
  <c r="H507" i="2"/>
  <c r="G507" i="2"/>
  <c r="F507" i="2"/>
  <c r="E507" i="2"/>
  <c r="D507" i="2"/>
  <c r="C507" i="2"/>
  <c r="A507" i="2"/>
  <c r="Q506" i="2"/>
  <c r="P506" i="2"/>
  <c r="O506" i="2"/>
  <c r="N506" i="2"/>
  <c r="M506" i="2"/>
  <c r="L506" i="2"/>
  <c r="K506" i="2"/>
  <c r="J506" i="2"/>
  <c r="I506" i="2"/>
  <c r="H506" i="2"/>
  <c r="G506" i="2"/>
  <c r="F506" i="2"/>
  <c r="E506" i="2"/>
  <c r="D506" i="2"/>
  <c r="C506" i="2"/>
  <c r="A506" i="2"/>
  <c r="Q505" i="2"/>
  <c r="P505" i="2"/>
  <c r="O505" i="2"/>
  <c r="N505" i="2"/>
  <c r="M505" i="2"/>
  <c r="L505" i="2"/>
  <c r="K505" i="2"/>
  <c r="J505" i="2"/>
  <c r="I505" i="2"/>
  <c r="H505" i="2"/>
  <c r="G505" i="2"/>
  <c r="F505" i="2"/>
  <c r="E505" i="2"/>
  <c r="D505" i="2"/>
  <c r="C505" i="2"/>
  <c r="A505" i="2"/>
  <c r="Q504" i="2"/>
  <c r="P504" i="2"/>
  <c r="O504" i="2"/>
  <c r="N504" i="2"/>
  <c r="M504" i="2"/>
  <c r="L504" i="2"/>
  <c r="K504" i="2"/>
  <c r="J504" i="2"/>
  <c r="I504" i="2"/>
  <c r="H504" i="2"/>
  <c r="G504" i="2"/>
  <c r="F504" i="2"/>
  <c r="E504" i="2"/>
  <c r="D504" i="2"/>
  <c r="C504" i="2"/>
  <c r="A504" i="2"/>
  <c r="Q503" i="2"/>
  <c r="P503" i="2"/>
  <c r="O503" i="2"/>
  <c r="N503" i="2"/>
  <c r="M503" i="2"/>
  <c r="L503" i="2"/>
  <c r="K503" i="2"/>
  <c r="J503" i="2"/>
  <c r="I503" i="2"/>
  <c r="H503" i="2"/>
  <c r="G503" i="2"/>
  <c r="F503" i="2"/>
  <c r="E503" i="2"/>
  <c r="D503" i="2"/>
  <c r="C503" i="2"/>
  <c r="A503" i="2"/>
  <c r="Q502" i="2"/>
  <c r="P502" i="2"/>
  <c r="O502" i="2"/>
  <c r="N502" i="2"/>
  <c r="M502" i="2"/>
  <c r="L502" i="2"/>
  <c r="K502" i="2"/>
  <c r="J502" i="2"/>
  <c r="I502" i="2"/>
  <c r="H502" i="2"/>
  <c r="G502" i="2"/>
  <c r="F502" i="2"/>
  <c r="E502" i="2"/>
  <c r="D502" i="2"/>
  <c r="C502" i="2"/>
  <c r="A502" i="2"/>
  <c r="Q501" i="2"/>
  <c r="P501" i="2"/>
  <c r="O501" i="2"/>
  <c r="N501" i="2"/>
  <c r="M501" i="2"/>
  <c r="L501" i="2"/>
  <c r="K501" i="2"/>
  <c r="J501" i="2"/>
  <c r="I501" i="2"/>
  <c r="H501" i="2"/>
  <c r="G501" i="2"/>
  <c r="F501" i="2"/>
  <c r="E501" i="2"/>
  <c r="D501" i="2"/>
  <c r="C501" i="2"/>
  <c r="A501" i="2"/>
  <c r="Q500" i="2"/>
  <c r="P500" i="2"/>
  <c r="O500" i="2"/>
  <c r="N500" i="2"/>
  <c r="M500" i="2"/>
  <c r="L500" i="2"/>
  <c r="K500" i="2"/>
  <c r="J500" i="2"/>
  <c r="I500" i="2"/>
  <c r="H500" i="2"/>
  <c r="G500" i="2"/>
  <c r="F500" i="2"/>
  <c r="E500" i="2"/>
  <c r="D500" i="2"/>
  <c r="C500" i="2"/>
  <c r="A500" i="2"/>
  <c r="Q499" i="2"/>
  <c r="P499" i="2"/>
  <c r="O499" i="2"/>
  <c r="N499" i="2"/>
  <c r="M499" i="2"/>
  <c r="L499" i="2"/>
  <c r="K499" i="2"/>
  <c r="J499" i="2"/>
  <c r="I499" i="2"/>
  <c r="H499" i="2"/>
  <c r="G499" i="2"/>
  <c r="F499" i="2"/>
  <c r="E499" i="2"/>
  <c r="D499" i="2"/>
  <c r="C499" i="2"/>
  <c r="A499" i="2"/>
  <c r="Q498" i="2"/>
  <c r="P498" i="2"/>
  <c r="O498" i="2"/>
  <c r="N498" i="2"/>
  <c r="M498" i="2"/>
  <c r="L498" i="2"/>
  <c r="K498" i="2"/>
  <c r="J498" i="2"/>
  <c r="I498" i="2"/>
  <c r="H498" i="2"/>
  <c r="G498" i="2"/>
  <c r="F498" i="2"/>
  <c r="E498" i="2"/>
  <c r="D498" i="2"/>
  <c r="C498" i="2"/>
  <c r="A498" i="2"/>
  <c r="Q497" i="2"/>
  <c r="P497" i="2"/>
  <c r="O497" i="2"/>
  <c r="N497" i="2"/>
  <c r="M497" i="2"/>
  <c r="L497" i="2"/>
  <c r="K497" i="2"/>
  <c r="J497" i="2"/>
  <c r="I497" i="2"/>
  <c r="H497" i="2"/>
  <c r="G497" i="2"/>
  <c r="F497" i="2"/>
  <c r="E497" i="2"/>
  <c r="D497" i="2"/>
  <c r="C497" i="2"/>
  <c r="A497" i="2"/>
  <c r="Q496" i="2"/>
  <c r="P496" i="2"/>
  <c r="O496" i="2"/>
  <c r="N496" i="2"/>
  <c r="M496" i="2"/>
  <c r="L496" i="2"/>
  <c r="K496" i="2"/>
  <c r="J496" i="2"/>
  <c r="I496" i="2"/>
  <c r="H496" i="2"/>
  <c r="G496" i="2"/>
  <c r="F496" i="2"/>
  <c r="E496" i="2"/>
  <c r="D496" i="2"/>
  <c r="C496" i="2"/>
  <c r="A496" i="2"/>
  <c r="Q495" i="2"/>
  <c r="P495" i="2"/>
  <c r="O495" i="2"/>
  <c r="N495" i="2"/>
  <c r="M495" i="2"/>
  <c r="L495" i="2"/>
  <c r="K495" i="2"/>
  <c r="J495" i="2"/>
  <c r="I495" i="2"/>
  <c r="H495" i="2"/>
  <c r="G495" i="2"/>
  <c r="F495" i="2"/>
  <c r="E495" i="2"/>
  <c r="D495" i="2"/>
  <c r="C495" i="2"/>
  <c r="A495" i="2"/>
  <c r="Q494" i="2"/>
  <c r="P494" i="2"/>
  <c r="O494" i="2"/>
  <c r="N494" i="2"/>
  <c r="M494" i="2"/>
  <c r="L494" i="2"/>
  <c r="K494" i="2"/>
  <c r="J494" i="2"/>
  <c r="I494" i="2"/>
  <c r="H494" i="2"/>
  <c r="G494" i="2"/>
  <c r="F494" i="2"/>
  <c r="E494" i="2"/>
  <c r="D494" i="2"/>
  <c r="C494" i="2"/>
  <c r="A494" i="2"/>
  <c r="Q493" i="2"/>
  <c r="P493" i="2"/>
  <c r="O493" i="2"/>
  <c r="N493" i="2"/>
  <c r="M493" i="2"/>
  <c r="L493" i="2"/>
  <c r="K493" i="2"/>
  <c r="J493" i="2"/>
  <c r="I493" i="2"/>
  <c r="H493" i="2"/>
  <c r="G493" i="2"/>
  <c r="F493" i="2"/>
  <c r="E493" i="2"/>
  <c r="D493" i="2"/>
  <c r="C493" i="2"/>
  <c r="A493" i="2"/>
  <c r="Q492" i="2"/>
  <c r="P492" i="2"/>
  <c r="O492" i="2"/>
  <c r="N492" i="2"/>
  <c r="M492" i="2"/>
  <c r="L492" i="2"/>
  <c r="K492" i="2"/>
  <c r="J492" i="2"/>
  <c r="I492" i="2"/>
  <c r="H492" i="2"/>
  <c r="G492" i="2"/>
  <c r="F492" i="2"/>
  <c r="E492" i="2"/>
  <c r="D492" i="2"/>
  <c r="C492" i="2"/>
  <c r="A492" i="2"/>
  <c r="Q491" i="2"/>
  <c r="P491" i="2"/>
  <c r="O491" i="2"/>
  <c r="N491" i="2"/>
  <c r="M491" i="2"/>
  <c r="L491" i="2"/>
  <c r="K491" i="2"/>
  <c r="J491" i="2"/>
  <c r="I491" i="2"/>
  <c r="H491" i="2"/>
  <c r="G491" i="2"/>
  <c r="F491" i="2"/>
  <c r="E491" i="2"/>
  <c r="D491" i="2"/>
  <c r="C491" i="2"/>
  <c r="A491" i="2"/>
  <c r="Q490" i="2"/>
  <c r="P490" i="2"/>
  <c r="O490" i="2"/>
  <c r="N490" i="2"/>
  <c r="M490" i="2"/>
  <c r="L490" i="2"/>
  <c r="K490" i="2"/>
  <c r="J490" i="2"/>
  <c r="I490" i="2"/>
  <c r="H490" i="2"/>
  <c r="G490" i="2"/>
  <c r="F490" i="2"/>
  <c r="E490" i="2"/>
  <c r="D490" i="2"/>
  <c r="C490" i="2"/>
  <c r="A490" i="2"/>
  <c r="Q489" i="2"/>
  <c r="P489" i="2"/>
  <c r="O489" i="2"/>
  <c r="N489" i="2"/>
  <c r="M489" i="2"/>
  <c r="L489" i="2"/>
  <c r="K489" i="2"/>
  <c r="J489" i="2"/>
  <c r="I489" i="2"/>
  <c r="H489" i="2"/>
  <c r="G489" i="2"/>
  <c r="F489" i="2"/>
  <c r="E489" i="2"/>
  <c r="D489" i="2"/>
  <c r="C489" i="2"/>
  <c r="A489" i="2"/>
  <c r="Q488" i="2"/>
  <c r="P488" i="2"/>
  <c r="O488" i="2"/>
  <c r="N488" i="2"/>
  <c r="M488" i="2"/>
  <c r="L488" i="2"/>
  <c r="K488" i="2"/>
  <c r="J488" i="2"/>
  <c r="I488" i="2"/>
  <c r="H488" i="2"/>
  <c r="G488" i="2"/>
  <c r="F488" i="2"/>
  <c r="E488" i="2"/>
  <c r="D488" i="2"/>
  <c r="C488" i="2"/>
  <c r="A488" i="2"/>
  <c r="Q487" i="2"/>
  <c r="P487" i="2"/>
  <c r="O487" i="2"/>
  <c r="N487" i="2"/>
  <c r="M487" i="2"/>
  <c r="L487" i="2"/>
  <c r="K487" i="2"/>
  <c r="J487" i="2"/>
  <c r="I487" i="2"/>
  <c r="H487" i="2"/>
  <c r="G487" i="2"/>
  <c r="F487" i="2"/>
  <c r="E487" i="2"/>
  <c r="D487" i="2"/>
  <c r="C487" i="2"/>
  <c r="A487" i="2"/>
  <c r="Q486" i="2"/>
  <c r="P486" i="2"/>
  <c r="O486" i="2"/>
  <c r="N486" i="2"/>
  <c r="M486" i="2"/>
  <c r="L486" i="2"/>
  <c r="K486" i="2"/>
  <c r="J486" i="2"/>
  <c r="I486" i="2"/>
  <c r="H486" i="2"/>
  <c r="G486" i="2"/>
  <c r="F486" i="2"/>
  <c r="E486" i="2"/>
  <c r="D486" i="2"/>
  <c r="C486" i="2"/>
  <c r="A486" i="2"/>
  <c r="Q485" i="2"/>
  <c r="P485" i="2"/>
  <c r="O485" i="2"/>
  <c r="N485" i="2"/>
  <c r="M485" i="2"/>
  <c r="L485" i="2"/>
  <c r="K485" i="2"/>
  <c r="J485" i="2"/>
  <c r="I485" i="2"/>
  <c r="H485" i="2"/>
  <c r="G485" i="2"/>
  <c r="F485" i="2"/>
  <c r="E485" i="2"/>
  <c r="D485" i="2"/>
  <c r="C485" i="2"/>
  <c r="A485" i="2"/>
  <c r="Q484" i="2"/>
  <c r="P484" i="2"/>
  <c r="O484" i="2"/>
  <c r="N484" i="2"/>
  <c r="M484" i="2"/>
  <c r="L484" i="2"/>
  <c r="K484" i="2"/>
  <c r="J484" i="2"/>
  <c r="I484" i="2"/>
  <c r="H484" i="2"/>
  <c r="G484" i="2"/>
  <c r="F484" i="2"/>
  <c r="E484" i="2"/>
  <c r="D484" i="2"/>
  <c r="C484" i="2"/>
  <c r="A484" i="2"/>
  <c r="Q483" i="2"/>
  <c r="P483" i="2"/>
  <c r="O483" i="2"/>
  <c r="N483" i="2"/>
  <c r="M483" i="2"/>
  <c r="L483" i="2"/>
  <c r="K483" i="2"/>
  <c r="J483" i="2"/>
  <c r="I483" i="2"/>
  <c r="H483" i="2"/>
  <c r="G483" i="2"/>
  <c r="F483" i="2"/>
  <c r="E483" i="2"/>
  <c r="D483" i="2"/>
  <c r="C483" i="2"/>
  <c r="A483" i="2"/>
  <c r="Q482" i="2"/>
  <c r="P482" i="2"/>
  <c r="O482" i="2"/>
  <c r="N482" i="2"/>
  <c r="M482" i="2"/>
  <c r="L482" i="2"/>
  <c r="K482" i="2"/>
  <c r="J482" i="2"/>
  <c r="I482" i="2"/>
  <c r="H482" i="2"/>
  <c r="G482" i="2"/>
  <c r="F482" i="2"/>
  <c r="E482" i="2"/>
  <c r="D482" i="2"/>
  <c r="C482" i="2"/>
  <c r="A482" i="2"/>
  <c r="Q481" i="2"/>
  <c r="P481" i="2"/>
  <c r="O481" i="2"/>
  <c r="N481" i="2"/>
  <c r="M481" i="2"/>
  <c r="L481" i="2"/>
  <c r="K481" i="2"/>
  <c r="J481" i="2"/>
  <c r="I481" i="2"/>
  <c r="H481" i="2"/>
  <c r="G481" i="2"/>
  <c r="F481" i="2"/>
  <c r="E481" i="2"/>
  <c r="D481" i="2"/>
  <c r="C481" i="2"/>
  <c r="A481" i="2"/>
  <c r="Q480" i="2"/>
  <c r="P480" i="2"/>
  <c r="O480" i="2"/>
  <c r="N480" i="2"/>
  <c r="M480" i="2"/>
  <c r="L480" i="2"/>
  <c r="K480" i="2"/>
  <c r="J480" i="2"/>
  <c r="I480" i="2"/>
  <c r="H480" i="2"/>
  <c r="G480" i="2"/>
  <c r="F480" i="2"/>
  <c r="E480" i="2"/>
  <c r="D480" i="2"/>
  <c r="C480" i="2"/>
  <c r="A480" i="2"/>
  <c r="Q479" i="2"/>
  <c r="P479" i="2"/>
  <c r="O479" i="2"/>
  <c r="N479" i="2"/>
  <c r="M479" i="2"/>
  <c r="L479" i="2"/>
  <c r="K479" i="2"/>
  <c r="J479" i="2"/>
  <c r="I479" i="2"/>
  <c r="H479" i="2"/>
  <c r="G479" i="2"/>
  <c r="F479" i="2"/>
  <c r="E479" i="2"/>
  <c r="D479" i="2"/>
  <c r="C479" i="2"/>
  <c r="A479" i="2"/>
  <c r="Q478" i="2"/>
  <c r="P478" i="2"/>
  <c r="O478" i="2"/>
  <c r="N478" i="2"/>
  <c r="M478" i="2"/>
  <c r="L478" i="2"/>
  <c r="K478" i="2"/>
  <c r="J478" i="2"/>
  <c r="I478" i="2"/>
  <c r="H478" i="2"/>
  <c r="G478" i="2"/>
  <c r="F478" i="2"/>
  <c r="E478" i="2"/>
  <c r="D478" i="2"/>
  <c r="C478" i="2"/>
  <c r="A478" i="2"/>
  <c r="Q477" i="2"/>
  <c r="P477" i="2"/>
  <c r="O477" i="2"/>
  <c r="N477" i="2"/>
  <c r="M477" i="2"/>
  <c r="L477" i="2"/>
  <c r="K477" i="2"/>
  <c r="J477" i="2"/>
  <c r="I477" i="2"/>
  <c r="H477" i="2"/>
  <c r="G477" i="2"/>
  <c r="F477" i="2"/>
  <c r="E477" i="2"/>
  <c r="D477" i="2"/>
  <c r="C477" i="2"/>
  <c r="A477" i="2"/>
  <c r="Q476" i="2"/>
  <c r="P476" i="2"/>
  <c r="O476" i="2"/>
  <c r="N476" i="2"/>
  <c r="M476" i="2"/>
  <c r="L476" i="2"/>
  <c r="K476" i="2"/>
  <c r="J476" i="2"/>
  <c r="I476" i="2"/>
  <c r="H476" i="2"/>
  <c r="G476" i="2"/>
  <c r="F476" i="2"/>
  <c r="E476" i="2"/>
  <c r="D476" i="2"/>
  <c r="C476" i="2"/>
  <c r="A476" i="2"/>
  <c r="Q475" i="2"/>
  <c r="P475" i="2"/>
  <c r="O475" i="2"/>
  <c r="N475" i="2"/>
  <c r="M475" i="2"/>
  <c r="L475" i="2"/>
  <c r="K475" i="2"/>
  <c r="J475" i="2"/>
  <c r="I475" i="2"/>
  <c r="H475" i="2"/>
  <c r="G475" i="2"/>
  <c r="F475" i="2"/>
  <c r="E475" i="2"/>
  <c r="D475" i="2"/>
  <c r="C475" i="2"/>
  <c r="A475" i="2"/>
  <c r="Q474" i="2"/>
  <c r="P474" i="2"/>
  <c r="O474" i="2"/>
  <c r="N474" i="2"/>
  <c r="M474" i="2"/>
  <c r="L474" i="2"/>
  <c r="K474" i="2"/>
  <c r="J474" i="2"/>
  <c r="I474" i="2"/>
  <c r="H474" i="2"/>
  <c r="G474" i="2"/>
  <c r="F474" i="2"/>
  <c r="E474" i="2"/>
  <c r="D474" i="2"/>
  <c r="C474" i="2"/>
  <c r="A474" i="2"/>
  <c r="Q473" i="2"/>
  <c r="P473" i="2"/>
  <c r="O473" i="2"/>
  <c r="N473" i="2"/>
  <c r="M473" i="2"/>
  <c r="L473" i="2"/>
  <c r="K473" i="2"/>
  <c r="J473" i="2"/>
  <c r="I473" i="2"/>
  <c r="H473" i="2"/>
  <c r="G473" i="2"/>
  <c r="F473" i="2"/>
  <c r="E473" i="2"/>
  <c r="D473" i="2"/>
  <c r="C473" i="2"/>
  <c r="A473" i="2"/>
  <c r="Q472" i="2"/>
  <c r="P472" i="2"/>
  <c r="O472" i="2"/>
  <c r="N472" i="2"/>
  <c r="M472" i="2"/>
  <c r="L472" i="2"/>
  <c r="K472" i="2"/>
  <c r="J472" i="2"/>
  <c r="I472" i="2"/>
  <c r="H472" i="2"/>
  <c r="G472" i="2"/>
  <c r="F472" i="2"/>
  <c r="E472" i="2"/>
  <c r="D472" i="2"/>
  <c r="C472" i="2"/>
  <c r="A472" i="2"/>
  <c r="Q471" i="2"/>
  <c r="P471" i="2"/>
  <c r="O471" i="2"/>
  <c r="N471" i="2"/>
  <c r="M471" i="2"/>
  <c r="L471" i="2"/>
  <c r="K471" i="2"/>
  <c r="J471" i="2"/>
  <c r="I471" i="2"/>
  <c r="H471" i="2"/>
  <c r="G471" i="2"/>
  <c r="F471" i="2"/>
  <c r="E471" i="2"/>
  <c r="D471" i="2"/>
  <c r="C471" i="2"/>
  <c r="A471" i="2"/>
  <c r="Q470" i="2"/>
  <c r="P470" i="2"/>
  <c r="O470" i="2"/>
  <c r="N470" i="2"/>
  <c r="M470" i="2"/>
  <c r="L470" i="2"/>
  <c r="K470" i="2"/>
  <c r="J470" i="2"/>
  <c r="I470" i="2"/>
  <c r="H470" i="2"/>
  <c r="G470" i="2"/>
  <c r="F470" i="2"/>
  <c r="E470" i="2"/>
  <c r="D470" i="2"/>
  <c r="C470" i="2"/>
  <c r="A470" i="2"/>
  <c r="Q469" i="2"/>
  <c r="P469" i="2"/>
  <c r="O469" i="2"/>
  <c r="N469" i="2"/>
  <c r="M469" i="2"/>
  <c r="L469" i="2"/>
  <c r="K469" i="2"/>
  <c r="J469" i="2"/>
  <c r="I469" i="2"/>
  <c r="H469" i="2"/>
  <c r="G469" i="2"/>
  <c r="F469" i="2"/>
  <c r="E469" i="2"/>
  <c r="D469" i="2"/>
  <c r="C469" i="2"/>
  <c r="A469" i="2"/>
  <c r="Q468" i="2"/>
  <c r="P468" i="2"/>
  <c r="O468" i="2"/>
  <c r="N468" i="2"/>
  <c r="M468" i="2"/>
  <c r="L468" i="2"/>
  <c r="K468" i="2"/>
  <c r="J468" i="2"/>
  <c r="I468" i="2"/>
  <c r="H468" i="2"/>
  <c r="G468" i="2"/>
  <c r="F468" i="2"/>
  <c r="E468" i="2"/>
  <c r="D468" i="2"/>
  <c r="C468" i="2"/>
  <c r="A468" i="2"/>
  <c r="Q467" i="2"/>
  <c r="P467" i="2"/>
  <c r="O467" i="2"/>
  <c r="N467" i="2"/>
  <c r="M467" i="2"/>
  <c r="L467" i="2"/>
  <c r="K467" i="2"/>
  <c r="J467" i="2"/>
  <c r="I467" i="2"/>
  <c r="H467" i="2"/>
  <c r="G467" i="2"/>
  <c r="F467" i="2"/>
  <c r="E467" i="2"/>
  <c r="D467" i="2"/>
  <c r="C467" i="2"/>
  <c r="A467" i="2"/>
  <c r="Q466" i="2"/>
  <c r="P466" i="2"/>
  <c r="O466" i="2"/>
  <c r="N466" i="2"/>
  <c r="M466" i="2"/>
  <c r="L466" i="2"/>
  <c r="K466" i="2"/>
  <c r="J466" i="2"/>
  <c r="I466" i="2"/>
  <c r="H466" i="2"/>
  <c r="G466" i="2"/>
  <c r="F466" i="2"/>
  <c r="E466" i="2"/>
  <c r="D466" i="2"/>
  <c r="C466" i="2"/>
  <c r="A466" i="2"/>
  <c r="Q465" i="2"/>
  <c r="P465" i="2"/>
  <c r="O465" i="2"/>
  <c r="N465" i="2"/>
  <c r="M465" i="2"/>
  <c r="L465" i="2"/>
  <c r="K465" i="2"/>
  <c r="J465" i="2"/>
  <c r="I465" i="2"/>
  <c r="H465" i="2"/>
  <c r="G465" i="2"/>
  <c r="F465" i="2"/>
  <c r="E465" i="2"/>
  <c r="D465" i="2"/>
  <c r="C465" i="2"/>
  <c r="A465" i="2"/>
  <c r="Q464" i="2"/>
  <c r="P464" i="2"/>
  <c r="O464" i="2"/>
  <c r="N464" i="2"/>
  <c r="M464" i="2"/>
  <c r="L464" i="2"/>
  <c r="K464" i="2"/>
  <c r="J464" i="2"/>
  <c r="I464" i="2"/>
  <c r="H464" i="2"/>
  <c r="G464" i="2"/>
  <c r="F464" i="2"/>
  <c r="E464" i="2"/>
  <c r="D464" i="2"/>
  <c r="C464" i="2"/>
  <c r="A464" i="2"/>
  <c r="Q463" i="2"/>
  <c r="P463" i="2"/>
  <c r="O463" i="2"/>
  <c r="N463" i="2"/>
  <c r="M463" i="2"/>
  <c r="L463" i="2"/>
  <c r="K463" i="2"/>
  <c r="J463" i="2"/>
  <c r="I463" i="2"/>
  <c r="H463" i="2"/>
  <c r="G463" i="2"/>
  <c r="F463" i="2"/>
  <c r="E463" i="2"/>
  <c r="D463" i="2"/>
  <c r="C463" i="2"/>
  <c r="A463" i="2"/>
  <c r="Q462" i="2"/>
  <c r="P462" i="2"/>
  <c r="O462" i="2"/>
  <c r="N462" i="2"/>
  <c r="M462" i="2"/>
  <c r="L462" i="2"/>
  <c r="K462" i="2"/>
  <c r="J462" i="2"/>
  <c r="I462" i="2"/>
  <c r="H462" i="2"/>
  <c r="G462" i="2"/>
  <c r="F462" i="2"/>
  <c r="E462" i="2"/>
  <c r="D462" i="2"/>
  <c r="C462" i="2"/>
  <c r="A462" i="2"/>
  <c r="Q461" i="2"/>
  <c r="P461" i="2"/>
  <c r="O461" i="2"/>
  <c r="N461" i="2"/>
  <c r="M461" i="2"/>
  <c r="L461" i="2"/>
  <c r="K461" i="2"/>
  <c r="J461" i="2"/>
  <c r="I461" i="2"/>
  <c r="H461" i="2"/>
  <c r="G461" i="2"/>
  <c r="F461" i="2"/>
  <c r="E461" i="2"/>
  <c r="D461" i="2"/>
  <c r="C461" i="2"/>
  <c r="A461" i="2"/>
  <c r="Q460" i="2"/>
  <c r="P460" i="2"/>
  <c r="O460" i="2"/>
  <c r="N460" i="2"/>
  <c r="M460" i="2"/>
  <c r="L460" i="2"/>
  <c r="K460" i="2"/>
  <c r="J460" i="2"/>
  <c r="I460" i="2"/>
  <c r="H460" i="2"/>
  <c r="G460" i="2"/>
  <c r="F460" i="2"/>
  <c r="E460" i="2"/>
  <c r="D460" i="2"/>
  <c r="C460" i="2"/>
  <c r="A460" i="2"/>
  <c r="Q459" i="2"/>
  <c r="P459" i="2"/>
  <c r="O459" i="2"/>
  <c r="N459" i="2"/>
  <c r="M459" i="2"/>
  <c r="L459" i="2"/>
  <c r="K459" i="2"/>
  <c r="J459" i="2"/>
  <c r="I459" i="2"/>
  <c r="H459" i="2"/>
  <c r="G459" i="2"/>
  <c r="F459" i="2"/>
  <c r="E459" i="2"/>
  <c r="D459" i="2"/>
  <c r="C459" i="2"/>
  <c r="A459" i="2"/>
  <c r="Q458" i="2"/>
  <c r="P458" i="2"/>
  <c r="O458" i="2"/>
  <c r="N458" i="2"/>
  <c r="M458" i="2"/>
  <c r="L458" i="2"/>
  <c r="K458" i="2"/>
  <c r="J458" i="2"/>
  <c r="I458" i="2"/>
  <c r="H458" i="2"/>
  <c r="G458" i="2"/>
  <c r="F458" i="2"/>
  <c r="E458" i="2"/>
  <c r="D458" i="2"/>
  <c r="C458" i="2"/>
  <c r="A458" i="2"/>
  <c r="Q457" i="2"/>
  <c r="P457" i="2"/>
  <c r="O457" i="2"/>
  <c r="N457" i="2"/>
  <c r="M457" i="2"/>
  <c r="L457" i="2"/>
  <c r="K457" i="2"/>
  <c r="J457" i="2"/>
  <c r="I457" i="2"/>
  <c r="H457" i="2"/>
  <c r="G457" i="2"/>
  <c r="F457" i="2"/>
  <c r="E457" i="2"/>
  <c r="D457" i="2"/>
  <c r="C457" i="2"/>
  <c r="A457" i="2"/>
  <c r="Q456" i="2"/>
  <c r="P456" i="2"/>
  <c r="O456" i="2"/>
  <c r="N456" i="2"/>
  <c r="M456" i="2"/>
  <c r="L456" i="2"/>
  <c r="K456" i="2"/>
  <c r="J456" i="2"/>
  <c r="I456" i="2"/>
  <c r="H456" i="2"/>
  <c r="G456" i="2"/>
  <c r="F456" i="2"/>
  <c r="E456" i="2"/>
  <c r="D456" i="2"/>
  <c r="C456" i="2"/>
  <c r="A456" i="2"/>
  <c r="Q455" i="2"/>
  <c r="P455" i="2"/>
  <c r="O455" i="2"/>
  <c r="N455" i="2"/>
  <c r="M455" i="2"/>
  <c r="L455" i="2"/>
  <c r="K455" i="2"/>
  <c r="J455" i="2"/>
  <c r="I455" i="2"/>
  <c r="H455" i="2"/>
  <c r="G455" i="2"/>
  <c r="F455" i="2"/>
  <c r="E455" i="2"/>
  <c r="D455" i="2"/>
  <c r="C455" i="2"/>
  <c r="A455" i="2"/>
  <c r="Q454" i="2"/>
  <c r="P454" i="2"/>
  <c r="O454" i="2"/>
  <c r="N454" i="2"/>
  <c r="M454" i="2"/>
  <c r="L454" i="2"/>
  <c r="K454" i="2"/>
  <c r="J454" i="2"/>
  <c r="I454" i="2"/>
  <c r="H454" i="2"/>
  <c r="G454" i="2"/>
  <c r="F454" i="2"/>
  <c r="E454" i="2"/>
  <c r="D454" i="2"/>
  <c r="C454" i="2"/>
  <c r="A454" i="2"/>
  <c r="Q453" i="2"/>
  <c r="P453" i="2"/>
  <c r="O453" i="2"/>
  <c r="N453" i="2"/>
  <c r="M453" i="2"/>
  <c r="L453" i="2"/>
  <c r="K453" i="2"/>
  <c r="J453" i="2"/>
  <c r="I453" i="2"/>
  <c r="H453" i="2"/>
  <c r="G453" i="2"/>
  <c r="F453" i="2"/>
  <c r="E453" i="2"/>
  <c r="D453" i="2"/>
  <c r="C453" i="2"/>
  <c r="A453" i="2"/>
  <c r="Q452" i="2"/>
  <c r="P452" i="2"/>
  <c r="O452" i="2"/>
  <c r="N452" i="2"/>
  <c r="M452" i="2"/>
  <c r="L452" i="2"/>
  <c r="K452" i="2"/>
  <c r="J452" i="2"/>
  <c r="I452" i="2"/>
  <c r="H452" i="2"/>
  <c r="G452" i="2"/>
  <c r="F452" i="2"/>
  <c r="E452" i="2"/>
  <c r="D452" i="2"/>
  <c r="C452" i="2"/>
  <c r="A452" i="2"/>
  <c r="Q451" i="2"/>
  <c r="P451" i="2"/>
  <c r="O451" i="2"/>
  <c r="N451" i="2"/>
  <c r="M451" i="2"/>
  <c r="L451" i="2"/>
  <c r="K451" i="2"/>
  <c r="J451" i="2"/>
  <c r="I451" i="2"/>
  <c r="H451" i="2"/>
  <c r="G451" i="2"/>
  <c r="F451" i="2"/>
  <c r="E451" i="2"/>
  <c r="D451" i="2"/>
  <c r="C451" i="2"/>
  <c r="A451" i="2"/>
  <c r="Q450" i="2"/>
  <c r="P450" i="2"/>
  <c r="O450" i="2"/>
  <c r="N450" i="2"/>
  <c r="M450" i="2"/>
  <c r="L450" i="2"/>
  <c r="K450" i="2"/>
  <c r="J450" i="2"/>
  <c r="I450" i="2"/>
  <c r="H450" i="2"/>
  <c r="G450" i="2"/>
  <c r="F450" i="2"/>
  <c r="E450" i="2"/>
  <c r="D450" i="2"/>
  <c r="C450" i="2"/>
  <c r="A450" i="2"/>
  <c r="Q449" i="2"/>
  <c r="P449" i="2"/>
  <c r="O449" i="2"/>
  <c r="N449" i="2"/>
  <c r="M449" i="2"/>
  <c r="L449" i="2"/>
  <c r="K449" i="2"/>
  <c r="J449" i="2"/>
  <c r="I449" i="2"/>
  <c r="H449" i="2"/>
  <c r="G449" i="2"/>
  <c r="F449" i="2"/>
  <c r="E449" i="2"/>
  <c r="D449" i="2"/>
  <c r="C449" i="2"/>
  <c r="A449" i="2"/>
  <c r="Q448" i="2"/>
  <c r="P448" i="2"/>
  <c r="O448" i="2"/>
  <c r="N448" i="2"/>
  <c r="M448" i="2"/>
  <c r="L448" i="2"/>
  <c r="K448" i="2"/>
  <c r="J448" i="2"/>
  <c r="I448" i="2"/>
  <c r="H448" i="2"/>
  <c r="G448" i="2"/>
  <c r="F448" i="2"/>
  <c r="E448" i="2"/>
  <c r="D448" i="2"/>
  <c r="C448" i="2"/>
  <c r="A448" i="2"/>
  <c r="Q447" i="2"/>
  <c r="P447" i="2"/>
  <c r="O447" i="2"/>
  <c r="N447" i="2"/>
  <c r="M447" i="2"/>
  <c r="L447" i="2"/>
  <c r="K447" i="2"/>
  <c r="J447" i="2"/>
  <c r="I447" i="2"/>
  <c r="H447" i="2"/>
  <c r="G447" i="2"/>
  <c r="F447" i="2"/>
  <c r="E447" i="2"/>
  <c r="D447" i="2"/>
  <c r="C447" i="2"/>
  <c r="A447" i="2"/>
  <c r="Q446" i="2"/>
  <c r="P446" i="2"/>
  <c r="O446" i="2"/>
  <c r="N446" i="2"/>
  <c r="M446" i="2"/>
  <c r="L446" i="2"/>
  <c r="K446" i="2"/>
  <c r="J446" i="2"/>
  <c r="I446" i="2"/>
  <c r="H446" i="2"/>
  <c r="G446" i="2"/>
  <c r="F446" i="2"/>
  <c r="E446" i="2"/>
  <c r="D446" i="2"/>
  <c r="C446" i="2"/>
  <c r="A446" i="2"/>
  <c r="Q445" i="2"/>
  <c r="P445" i="2"/>
  <c r="O445" i="2"/>
  <c r="N445" i="2"/>
  <c r="M445" i="2"/>
  <c r="L445" i="2"/>
  <c r="K445" i="2"/>
  <c r="J445" i="2"/>
  <c r="I445" i="2"/>
  <c r="H445" i="2"/>
  <c r="G445" i="2"/>
  <c r="F445" i="2"/>
  <c r="E445" i="2"/>
  <c r="D445" i="2"/>
  <c r="C445" i="2"/>
  <c r="A445" i="2"/>
  <c r="Q444" i="2"/>
  <c r="P444" i="2"/>
  <c r="O444" i="2"/>
  <c r="N444" i="2"/>
  <c r="M444" i="2"/>
  <c r="L444" i="2"/>
  <c r="K444" i="2"/>
  <c r="J444" i="2"/>
  <c r="I444" i="2"/>
  <c r="H444" i="2"/>
  <c r="G444" i="2"/>
  <c r="F444" i="2"/>
  <c r="E444" i="2"/>
  <c r="D444" i="2"/>
  <c r="C444" i="2"/>
  <c r="A444" i="2"/>
  <c r="Q443" i="2"/>
  <c r="P443" i="2"/>
  <c r="O443" i="2"/>
  <c r="N443" i="2"/>
  <c r="M443" i="2"/>
  <c r="L443" i="2"/>
  <c r="K443" i="2"/>
  <c r="J443" i="2"/>
  <c r="I443" i="2"/>
  <c r="H443" i="2"/>
  <c r="G443" i="2"/>
  <c r="F443" i="2"/>
  <c r="E443" i="2"/>
  <c r="D443" i="2"/>
  <c r="C443" i="2"/>
  <c r="A443" i="2"/>
  <c r="Q442" i="2"/>
  <c r="P442" i="2"/>
  <c r="O442" i="2"/>
  <c r="N442" i="2"/>
  <c r="M442" i="2"/>
  <c r="L442" i="2"/>
  <c r="K442" i="2"/>
  <c r="J442" i="2"/>
  <c r="I442" i="2"/>
  <c r="H442" i="2"/>
  <c r="G442" i="2"/>
  <c r="F442" i="2"/>
  <c r="E442" i="2"/>
  <c r="D442" i="2"/>
  <c r="C442" i="2"/>
  <c r="A442" i="2"/>
  <c r="Q441" i="2"/>
  <c r="P441" i="2"/>
  <c r="O441" i="2"/>
  <c r="N441" i="2"/>
  <c r="M441" i="2"/>
  <c r="L441" i="2"/>
  <c r="K441" i="2"/>
  <c r="J441" i="2"/>
  <c r="I441" i="2"/>
  <c r="H441" i="2"/>
  <c r="G441" i="2"/>
  <c r="F441" i="2"/>
  <c r="E441" i="2"/>
  <c r="D441" i="2"/>
  <c r="C441" i="2"/>
  <c r="A441" i="2"/>
  <c r="Q440" i="2"/>
  <c r="P440" i="2"/>
  <c r="O440" i="2"/>
  <c r="N440" i="2"/>
  <c r="M440" i="2"/>
  <c r="L440" i="2"/>
  <c r="K440" i="2"/>
  <c r="J440" i="2"/>
  <c r="I440" i="2"/>
  <c r="H440" i="2"/>
  <c r="G440" i="2"/>
  <c r="F440" i="2"/>
  <c r="E440" i="2"/>
  <c r="D440" i="2"/>
  <c r="C440" i="2"/>
  <c r="A440" i="2"/>
  <c r="Q439" i="2"/>
  <c r="P439" i="2"/>
  <c r="O439" i="2"/>
  <c r="N439" i="2"/>
  <c r="M439" i="2"/>
  <c r="L439" i="2"/>
  <c r="K439" i="2"/>
  <c r="J439" i="2"/>
  <c r="I439" i="2"/>
  <c r="H439" i="2"/>
  <c r="G439" i="2"/>
  <c r="F439" i="2"/>
  <c r="E439" i="2"/>
  <c r="D439" i="2"/>
  <c r="C439" i="2"/>
  <c r="A439" i="2"/>
  <c r="Q438" i="2"/>
  <c r="P438" i="2"/>
  <c r="O438" i="2"/>
  <c r="N438" i="2"/>
  <c r="M438" i="2"/>
  <c r="L438" i="2"/>
  <c r="K438" i="2"/>
  <c r="J438" i="2"/>
  <c r="I438" i="2"/>
  <c r="H438" i="2"/>
  <c r="G438" i="2"/>
  <c r="F438" i="2"/>
  <c r="E438" i="2"/>
  <c r="D438" i="2"/>
  <c r="C438" i="2"/>
  <c r="A438" i="2"/>
  <c r="Q437" i="2"/>
  <c r="P437" i="2"/>
  <c r="O437" i="2"/>
  <c r="N437" i="2"/>
  <c r="M437" i="2"/>
  <c r="L437" i="2"/>
  <c r="K437" i="2"/>
  <c r="J437" i="2"/>
  <c r="I437" i="2"/>
  <c r="H437" i="2"/>
  <c r="G437" i="2"/>
  <c r="F437" i="2"/>
  <c r="E437" i="2"/>
  <c r="D437" i="2"/>
  <c r="C437" i="2"/>
  <c r="A437" i="2"/>
  <c r="Q436" i="2"/>
  <c r="P436" i="2"/>
  <c r="O436" i="2"/>
  <c r="N436" i="2"/>
  <c r="M436" i="2"/>
  <c r="L436" i="2"/>
  <c r="K436" i="2"/>
  <c r="J436" i="2"/>
  <c r="I436" i="2"/>
  <c r="H436" i="2"/>
  <c r="G436" i="2"/>
  <c r="F436" i="2"/>
  <c r="E436" i="2"/>
  <c r="D436" i="2"/>
  <c r="C436" i="2"/>
  <c r="A436" i="2"/>
  <c r="Q435" i="2"/>
  <c r="P435" i="2"/>
  <c r="O435" i="2"/>
  <c r="N435" i="2"/>
  <c r="M435" i="2"/>
  <c r="L435" i="2"/>
  <c r="K435" i="2"/>
  <c r="J435" i="2"/>
  <c r="I435" i="2"/>
  <c r="H435" i="2"/>
  <c r="G435" i="2"/>
  <c r="F435" i="2"/>
  <c r="E435" i="2"/>
  <c r="D435" i="2"/>
  <c r="C435" i="2"/>
  <c r="A435" i="2"/>
  <c r="Q434" i="2"/>
  <c r="P434" i="2"/>
  <c r="O434" i="2"/>
  <c r="N434" i="2"/>
  <c r="M434" i="2"/>
  <c r="L434" i="2"/>
  <c r="K434" i="2"/>
  <c r="J434" i="2"/>
  <c r="I434" i="2"/>
  <c r="H434" i="2"/>
  <c r="G434" i="2"/>
  <c r="F434" i="2"/>
  <c r="E434" i="2"/>
  <c r="D434" i="2"/>
  <c r="C434" i="2"/>
  <c r="A434" i="2"/>
  <c r="Q433" i="2"/>
  <c r="P433" i="2"/>
  <c r="O433" i="2"/>
  <c r="N433" i="2"/>
  <c r="M433" i="2"/>
  <c r="L433" i="2"/>
  <c r="K433" i="2"/>
  <c r="J433" i="2"/>
  <c r="I433" i="2"/>
  <c r="H433" i="2"/>
  <c r="G433" i="2"/>
  <c r="F433" i="2"/>
  <c r="E433" i="2"/>
  <c r="D433" i="2"/>
  <c r="C433" i="2"/>
  <c r="A433" i="2"/>
  <c r="Q432" i="2"/>
  <c r="P432" i="2"/>
  <c r="O432" i="2"/>
  <c r="N432" i="2"/>
  <c r="M432" i="2"/>
  <c r="L432" i="2"/>
  <c r="K432" i="2"/>
  <c r="J432" i="2"/>
  <c r="I432" i="2"/>
  <c r="H432" i="2"/>
  <c r="G432" i="2"/>
  <c r="F432" i="2"/>
  <c r="E432" i="2"/>
  <c r="D432" i="2"/>
  <c r="C432" i="2"/>
  <c r="A432" i="2"/>
  <c r="Q431" i="2"/>
  <c r="P431" i="2"/>
  <c r="O431" i="2"/>
  <c r="N431" i="2"/>
  <c r="M431" i="2"/>
  <c r="L431" i="2"/>
  <c r="K431" i="2"/>
  <c r="J431" i="2"/>
  <c r="I431" i="2"/>
  <c r="H431" i="2"/>
  <c r="G431" i="2"/>
  <c r="F431" i="2"/>
  <c r="E431" i="2"/>
  <c r="D431" i="2"/>
  <c r="C431" i="2"/>
  <c r="A431" i="2"/>
  <c r="Q430" i="2"/>
  <c r="P430" i="2"/>
  <c r="O430" i="2"/>
  <c r="N430" i="2"/>
  <c r="M430" i="2"/>
  <c r="L430" i="2"/>
  <c r="K430" i="2"/>
  <c r="J430" i="2"/>
  <c r="I430" i="2"/>
  <c r="H430" i="2"/>
  <c r="G430" i="2"/>
  <c r="F430" i="2"/>
  <c r="E430" i="2"/>
  <c r="D430" i="2"/>
  <c r="C430" i="2"/>
  <c r="A430" i="2"/>
  <c r="Q429" i="2"/>
  <c r="P429" i="2"/>
  <c r="O429" i="2"/>
  <c r="N429" i="2"/>
  <c r="M429" i="2"/>
  <c r="L429" i="2"/>
  <c r="K429" i="2"/>
  <c r="J429" i="2"/>
  <c r="I429" i="2"/>
  <c r="H429" i="2"/>
  <c r="G429" i="2"/>
  <c r="F429" i="2"/>
  <c r="E429" i="2"/>
  <c r="D429" i="2"/>
  <c r="C429" i="2"/>
  <c r="A429" i="2"/>
  <c r="Q428" i="2"/>
  <c r="P428" i="2"/>
  <c r="O428" i="2"/>
  <c r="N428" i="2"/>
  <c r="M428" i="2"/>
  <c r="L428" i="2"/>
  <c r="K428" i="2"/>
  <c r="J428" i="2"/>
  <c r="I428" i="2"/>
  <c r="H428" i="2"/>
  <c r="G428" i="2"/>
  <c r="F428" i="2"/>
  <c r="E428" i="2"/>
  <c r="D428" i="2"/>
  <c r="C428" i="2"/>
  <c r="A428" i="2"/>
  <c r="Q427" i="2"/>
  <c r="P427" i="2"/>
  <c r="O427" i="2"/>
  <c r="N427" i="2"/>
  <c r="M427" i="2"/>
  <c r="L427" i="2"/>
  <c r="K427" i="2"/>
  <c r="J427" i="2"/>
  <c r="I427" i="2"/>
  <c r="H427" i="2"/>
  <c r="G427" i="2"/>
  <c r="F427" i="2"/>
  <c r="E427" i="2"/>
  <c r="D427" i="2"/>
  <c r="C427" i="2"/>
  <c r="A427" i="2"/>
  <c r="Q426" i="2"/>
  <c r="P426" i="2"/>
  <c r="O426" i="2"/>
  <c r="N426" i="2"/>
  <c r="M426" i="2"/>
  <c r="L426" i="2"/>
  <c r="K426" i="2"/>
  <c r="J426" i="2"/>
  <c r="I426" i="2"/>
  <c r="H426" i="2"/>
  <c r="G426" i="2"/>
  <c r="F426" i="2"/>
  <c r="E426" i="2"/>
  <c r="D426" i="2"/>
  <c r="C426" i="2"/>
  <c r="A426" i="2"/>
  <c r="Q425" i="2"/>
  <c r="P425" i="2"/>
  <c r="O425" i="2"/>
  <c r="N425" i="2"/>
  <c r="M425" i="2"/>
  <c r="L425" i="2"/>
  <c r="K425" i="2"/>
  <c r="J425" i="2"/>
  <c r="I425" i="2"/>
  <c r="H425" i="2"/>
  <c r="G425" i="2"/>
  <c r="F425" i="2"/>
  <c r="E425" i="2"/>
  <c r="D425" i="2"/>
  <c r="C425" i="2"/>
  <c r="A425" i="2"/>
  <c r="Q424" i="2"/>
  <c r="P424" i="2"/>
  <c r="O424" i="2"/>
  <c r="N424" i="2"/>
  <c r="M424" i="2"/>
  <c r="L424" i="2"/>
  <c r="K424" i="2"/>
  <c r="J424" i="2"/>
  <c r="I424" i="2"/>
  <c r="H424" i="2"/>
  <c r="G424" i="2"/>
  <c r="F424" i="2"/>
  <c r="E424" i="2"/>
  <c r="D424" i="2"/>
  <c r="C424" i="2"/>
  <c r="A424" i="2"/>
  <c r="Q423" i="2"/>
  <c r="P423" i="2"/>
  <c r="O423" i="2"/>
  <c r="N423" i="2"/>
  <c r="M423" i="2"/>
  <c r="L423" i="2"/>
  <c r="K423" i="2"/>
  <c r="J423" i="2"/>
  <c r="I423" i="2"/>
  <c r="H423" i="2"/>
  <c r="G423" i="2"/>
  <c r="F423" i="2"/>
  <c r="E423" i="2"/>
  <c r="D423" i="2"/>
  <c r="C423" i="2"/>
  <c r="A423" i="2"/>
  <c r="Q422" i="2"/>
  <c r="P422" i="2"/>
  <c r="O422" i="2"/>
  <c r="N422" i="2"/>
  <c r="M422" i="2"/>
  <c r="L422" i="2"/>
  <c r="K422" i="2"/>
  <c r="J422" i="2"/>
  <c r="I422" i="2"/>
  <c r="H422" i="2"/>
  <c r="G422" i="2"/>
  <c r="F422" i="2"/>
  <c r="E422" i="2"/>
  <c r="D422" i="2"/>
  <c r="C422" i="2"/>
  <c r="A422" i="2"/>
  <c r="Q421" i="2"/>
  <c r="P421" i="2"/>
  <c r="O421" i="2"/>
  <c r="N421" i="2"/>
  <c r="M421" i="2"/>
  <c r="L421" i="2"/>
  <c r="K421" i="2"/>
  <c r="J421" i="2"/>
  <c r="I421" i="2"/>
  <c r="H421" i="2"/>
  <c r="G421" i="2"/>
  <c r="F421" i="2"/>
  <c r="E421" i="2"/>
  <c r="D421" i="2"/>
  <c r="C421" i="2"/>
  <c r="A421" i="2"/>
  <c r="Q420" i="2"/>
  <c r="P420" i="2"/>
  <c r="O420" i="2"/>
  <c r="N420" i="2"/>
  <c r="M420" i="2"/>
  <c r="L420" i="2"/>
  <c r="K420" i="2"/>
  <c r="J420" i="2"/>
  <c r="I420" i="2"/>
  <c r="H420" i="2"/>
  <c r="G420" i="2"/>
  <c r="F420" i="2"/>
  <c r="E420" i="2"/>
  <c r="D420" i="2"/>
  <c r="C420" i="2"/>
  <c r="A420" i="2"/>
  <c r="Q419" i="2"/>
  <c r="P419" i="2"/>
  <c r="O419" i="2"/>
  <c r="N419" i="2"/>
  <c r="M419" i="2"/>
  <c r="L419" i="2"/>
  <c r="K419" i="2"/>
  <c r="J419" i="2"/>
  <c r="I419" i="2"/>
  <c r="H419" i="2"/>
  <c r="G419" i="2"/>
  <c r="F419" i="2"/>
  <c r="E419" i="2"/>
  <c r="D419" i="2"/>
  <c r="C419" i="2"/>
  <c r="A419" i="2"/>
  <c r="Q418" i="2"/>
  <c r="P418" i="2"/>
  <c r="O418" i="2"/>
  <c r="N418" i="2"/>
  <c r="M418" i="2"/>
  <c r="L418" i="2"/>
  <c r="K418" i="2"/>
  <c r="J418" i="2"/>
  <c r="I418" i="2"/>
  <c r="H418" i="2"/>
  <c r="G418" i="2"/>
  <c r="F418" i="2"/>
  <c r="E418" i="2"/>
  <c r="D418" i="2"/>
  <c r="C418" i="2"/>
  <c r="A418" i="2"/>
  <c r="Q417" i="2"/>
  <c r="P417" i="2"/>
  <c r="O417" i="2"/>
  <c r="N417" i="2"/>
  <c r="M417" i="2"/>
  <c r="L417" i="2"/>
  <c r="K417" i="2"/>
  <c r="J417" i="2"/>
  <c r="I417" i="2"/>
  <c r="H417" i="2"/>
  <c r="G417" i="2"/>
  <c r="F417" i="2"/>
  <c r="E417" i="2"/>
  <c r="D417" i="2"/>
  <c r="C417" i="2"/>
  <c r="A417" i="2"/>
  <c r="Q416" i="2"/>
  <c r="P416" i="2"/>
  <c r="O416" i="2"/>
  <c r="N416" i="2"/>
  <c r="M416" i="2"/>
  <c r="L416" i="2"/>
  <c r="K416" i="2"/>
  <c r="J416" i="2"/>
  <c r="I416" i="2"/>
  <c r="H416" i="2"/>
  <c r="G416" i="2"/>
  <c r="F416" i="2"/>
  <c r="E416" i="2"/>
  <c r="D416" i="2"/>
  <c r="C416" i="2"/>
  <c r="A416" i="2"/>
  <c r="Q415" i="2"/>
  <c r="P415" i="2"/>
  <c r="O415" i="2"/>
  <c r="N415" i="2"/>
  <c r="M415" i="2"/>
  <c r="L415" i="2"/>
  <c r="K415" i="2"/>
  <c r="J415" i="2"/>
  <c r="I415" i="2"/>
  <c r="H415" i="2"/>
  <c r="G415" i="2"/>
  <c r="F415" i="2"/>
  <c r="E415" i="2"/>
  <c r="D415" i="2"/>
  <c r="C415" i="2"/>
  <c r="A415" i="2"/>
  <c r="Q414" i="2"/>
  <c r="P414" i="2"/>
  <c r="O414" i="2"/>
  <c r="N414" i="2"/>
  <c r="M414" i="2"/>
  <c r="L414" i="2"/>
  <c r="K414" i="2"/>
  <c r="J414" i="2"/>
  <c r="I414" i="2"/>
  <c r="H414" i="2"/>
  <c r="G414" i="2"/>
  <c r="F414" i="2"/>
  <c r="E414" i="2"/>
  <c r="D414" i="2"/>
  <c r="C414" i="2"/>
  <c r="A414" i="2"/>
  <c r="Q413" i="2"/>
  <c r="P413" i="2"/>
  <c r="O413" i="2"/>
  <c r="N413" i="2"/>
  <c r="M413" i="2"/>
  <c r="L413" i="2"/>
  <c r="K413" i="2"/>
  <c r="J413" i="2"/>
  <c r="I413" i="2"/>
  <c r="H413" i="2"/>
  <c r="G413" i="2"/>
  <c r="F413" i="2"/>
  <c r="E413" i="2"/>
  <c r="D413" i="2"/>
  <c r="C413" i="2"/>
  <c r="A413" i="2"/>
  <c r="Q412" i="2"/>
  <c r="P412" i="2"/>
  <c r="O412" i="2"/>
  <c r="N412" i="2"/>
  <c r="M412" i="2"/>
  <c r="L412" i="2"/>
  <c r="K412" i="2"/>
  <c r="J412" i="2"/>
  <c r="I412" i="2"/>
  <c r="H412" i="2"/>
  <c r="G412" i="2"/>
  <c r="F412" i="2"/>
  <c r="E412" i="2"/>
  <c r="D412" i="2"/>
  <c r="C412" i="2"/>
  <c r="A412" i="2"/>
  <c r="Q411" i="2"/>
  <c r="P411" i="2"/>
  <c r="O411" i="2"/>
  <c r="N411" i="2"/>
  <c r="M411" i="2"/>
  <c r="L411" i="2"/>
  <c r="K411" i="2"/>
  <c r="J411" i="2"/>
  <c r="I411" i="2"/>
  <c r="H411" i="2"/>
  <c r="G411" i="2"/>
  <c r="F411" i="2"/>
  <c r="E411" i="2"/>
  <c r="D411" i="2"/>
  <c r="C411" i="2"/>
  <c r="A411" i="2"/>
  <c r="Q410" i="2"/>
  <c r="P410" i="2"/>
  <c r="O410" i="2"/>
  <c r="N410" i="2"/>
  <c r="M410" i="2"/>
  <c r="L410" i="2"/>
  <c r="K410" i="2"/>
  <c r="J410" i="2"/>
  <c r="I410" i="2"/>
  <c r="H410" i="2"/>
  <c r="G410" i="2"/>
  <c r="F410" i="2"/>
  <c r="E410" i="2"/>
  <c r="D410" i="2"/>
  <c r="C410" i="2"/>
  <c r="A410" i="2"/>
  <c r="Q409" i="2"/>
  <c r="P409" i="2"/>
  <c r="O409" i="2"/>
  <c r="N409" i="2"/>
  <c r="M409" i="2"/>
  <c r="L409" i="2"/>
  <c r="K409" i="2"/>
  <c r="J409" i="2"/>
  <c r="I409" i="2"/>
  <c r="H409" i="2"/>
  <c r="G409" i="2"/>
  <c r="F409" i="2"/>
  <c r="E409" i="2"/>
  <c r="D409" i="2"/>
  <c r="C409" i="2"/>
  <c r="A409" i="2"/>
  <c r="Q408" i="2"/>
  <c r="P408" i="2"/>
  <c r="O408" i="2"/>
  <c r="N408" i="2"/>
  <c r="M408" i="2"/>
  <c r="L408" i="2"/>
  <c r="K408" i="2"/>
  <c r="J408" i="2"/>
  <c r="I408" i="2"/>
  <c r="H408" i="2"/>
  <c r="G408" i="2"/>
  <c r="F408" i="2"/>
  <c r="E408" i="2"/>
  <c r="D408" i="2"/>
  <c r="C408" i="2"/>
  <c r="A408" i="2"/>
  <c r="Q407" i="2"/>
  <c r="P407" i="2"/>
  <c r="O407" i="2"/>
  <c r="N407" i="2"/>
  <c r="M407" i="2"/>
  <c r="L407" i="2"/>
  <c r="K407" i="2"/>
  <c r="J407" i="2"/>
  <c r="I407" i="2"/>
  <c r="H407" i="2"/>
  <c r="G407" i="2"/>
  <c r="F407" i="2"/>
  <c r="E407" i="2"/>
  <c r="D407" i="2"/>
  <c r="C407" i="2"/>
  <c r="A407" i="2"/>
  <c r="Q406" i="2"/>
  <c r="P406" i="2"/>
  <c r="O406" i="2"/>
  <c r="N406" i="2"/>
  <c r="M406" i="2"/>
  <c r="L406" i="2"/>
  <c r="K406" i="2"/>
  <c r="J406" i="2"/>
  <c r="I406" i="2"/>
  <c r="H406" i="2"/>
  <c r="G406" i="2"/>
  <c r="F406" i="2"/>
  <c r="E406" i="2"/>
  <c r="D406" i="2"/>
  <c r="C406" i="2"/>
  <c r="A406" i="2"/>
  <c r="Q405" i="2"/>
  <c r="P405" i="2"/>
  <c r="O405" i="2"/>
  <c r="N405" i="2"/>
  <c r="M405" i="2"/>
  <c r="L405" i="2"/>
  <c r="K405" i="2"/>
  <c r="J405" i="2"/>
  <c r="I405" i="2"/>
  <c r="H405" i="2"/>
  <c r="G405" i="2"/>
  <c r="F405" i="2"/>
  <c r="E405" i="2"/>
  <c r="D405" i="2"/>
  <c r="C405" i="2"/>
  <c r="A405" i="2"/>
  <c r="Q404" i="2"/>
  <c r="P404" i="2"/>
  <c r="O404" i="2"/>
  <c r="N404" i="2"/>
  <c r="M404" i="2"/>
  <c r="L404" i="2"/>
  <c r="K404" i="2"/>
  <c r="J404" i="2"/>
  <c r="I404" i="2"/>
  <c r="H404" i="2"/>
  <c r="G404" i="2"/>
  <c r="F404" i="2"/>
  <c r="E404" i="2"/>
  <c r="D404" i="2"/>
  <c r="C404" i="2"/>
  <c r="A404" i="2"/>
  <c r="Q403" i="2"/>
  <c r="P403" i="2"/>
  <c r="O403" i="2"/>
  <c r="N403" i="2"/>
  <c r="M403" i="2"/>
  <c r="L403" i="2"/>
  <c r="K403" i="2"/>
  <c r="J403" i="2"/>
  <c r="I403" i="2"/>
  <c r="H403" i="2"/>
  <c r="G403" i="2"/>
  <c r="F403" i="2"/>
  <c r="E403" i="2"/>
  <c r="D403" i="2"/>
  <c r="C403" i="2"/>
  <c r="A403" i="2"/>
  <c r="Q402" i="2"/>
  <c r="P402" i="2"/>
  <c r="O402" i="2"/>
  <c r="N402" i="2"/>
  <c r="M402" i="2"/>
  <c r="L402" i="2"/>
  <c r="K402" i="2"/>
  <c r="J402" i="2"/>
  <c r="I402" i="2"/>
  <c r="H402" i="2"/>
  <c r="G402" i="2"/>
  <c r="F402" i="2"/>
  <c r="E402" i="2"/>
  <c r="D402" i="2"/>
  <c r="C402" i="2"/>
  <c r="A402" i="2"/>
  <c r="Q401" i="2"/>
  <c r="P401" i="2"/>
  <c r="O401" i="2"/>
  <c r="N401" i="2"/>
  <c r="M401" i="2"/>
  <c r="L401" i="2"/>
  <c r="K401" i="2"/>
  <c r="J401" i="2"/>
  <c r="I401" i="2"/>
  <c r="H401" i="2"/>
  <c r="G401" i="2"/>
  <c r="F401" i="2"/>
  <c r="E401" i="2"/>
  <c r="D401" i="2"/>
  <c r="C401" i="2"/>
  <c r="A401" i="2"/>
  <c r="Q400" i="2"/>
  <c r="P400" i="2"/>
  <c r="O400" i="2"/>
  <c r="N400" i="2"/>
  <c r="M400" i="2"/>
  <c r="L400" i="2"/>
  <c r="K400" i="2"/>
  <c r="J400" i="2"/>
  <c r="I400" i="2"/>
  <c r="H400" i="2"/>
  <c r="G400" i="2"/>
  <c r="F400" i="2"/>
  <c r="E400" i="2"/>
  <c r="D400" i="2"/>
  <c r="C400" i="2"/>
  <c r="A400" i="2"/>
  <c r="Q399" i="2"/>
  <c r="P399" i="2"/>
  <c r="O399" i="2"/>
  <c r="N399" i="2"/>
  <c r="M399" i="2"/>
  <c r="L399" i="2"/>
  <c r="K399" i="2"/>
  <c r="J399" i="2"/>
  <c r="I399" i="2"/>
  <c r="H399" i="2"/>
  <c r="G399" i="2"/>
  <c r="F399" i="2"/>
  <c r="E399" i="2"/>
  <c r="D399" i="2"/>
  <c r="C399" i="2"/>
  <c r="A399" i="2"/>
  <c r="Q398" i="2"/>
  <c r="P398" i="2"/>
  <c r="O398" i="2"/>
  <c r="N398" i="2"/>
  <c r="M398" i="2"/>
  <c r="L398" i="2"/>
  <c r="K398" i="2"/>
  <c r="J398" i="2"/>
  <c r="I398" i="2"/>
  <c r="H398" i="2"/>
  <c r="G398" i="2"/>
  <c r="F398" i="2"/>
  <c r="E398" i="2"/>
  <c r="D398" i="2"/>
  <c r="C398" i="2"/>
  <c r="A398" i="2"/>
  <c r="Q397" i="2"/>
  <c r="P397" i="2"/>
  <c r="O397" i="2"/>
  <c r="N397" i="2"/>
  <c r="M397" i="2"/>
  <c r="L397" i="2"/>
  <c r="K397" i="2"/>
  <c r="J397" i="2"/>
  <c r="I397" i="2"/>
  <c r="H397" i="2"/>
  <c r="G397" i="2"/>
  <c r="F397" i="2"/>
  <c r="E397" i="2"/>
  <c r="D397" i="2"/>
  <c r="C397" i="2"/>
  <c r="A397" i="2"/>
  <c r="Q396" i="2"/>
  <c r="P396" i="2"/>
  <c r="O396" i="2"/>
  <c r="N396" i="2"/>
  <c r="M396" i="2"/>
  <c r="L396" i="2"/>
  <c r="K396" i="2"/>
  <c r="J396" i="2"/>
  <c r="I396" i="2"/>
  <c r="H396" i="2"/>
  <c r="G396" i="2"/>
  <c r="F396" i="2"/>
  <c r="E396" i="2"/>
  <c r="D396" i="2"/>
  <c r="C396" i="2"/>
  <c r="A396" i="2"/>
  <c r="Q395" i="2"/>
  <c r="P395" i="2"/>
  <c r="O395" i="2"/>
  <c r="N395" i="2"/>
  <c r="M395" i="2"/>
  <c r="L395" i="2"/>
  <c r="K395" i="2"/>
  <c r="J395" i="2"/>
  <c r="I395" i="2"/>
  <c r="H395" i="2"/>
  <c r="G395" i="2"/>
  <c r="F395" i="2"/>
  <c r="E395" i="2"/>
  <c r="D395" i="2"/>
  <c r="C395" i="2"/>
  <c r="A395" i="2"/>
  <c r="Q394" i="2"/>
  <c r="P394" i="2"/>
  <c r="O394" i="2"/>
  <c r="N394" i="2"/>
  <c r="M394" i="2"/>
  <c r="L394" i="2"/>
  <c r="K394" i="2"/>
  <c r="J394" i="2"/>
  <c r="I394" i="2"/>
  <c r="H394" i="2"/>
  <c r="G394" i="2"/>
  <c r="F394" i="2"/>
  <c r="E394" i="2"/>
  <c r="D394" i="2"/>
  <c r="C394" i="2"/>
  <c r="A394" i="2"/>
  <c r="Q393" i="2"/>
  <c r="P393" i="2"/>
  <c r="O393" i="2"/>
  <c r="N393" i="2"/>
  <c r="M393" i="2"/>
  <c r="L393" i="2"/>
  <c r="K393" i="2"/>
  <c r="J393" i="2"/>
  <c r="I393" i="2"/>
  <c r="H393" i="2"/>
  <c r="G393" i="2"/>
  <c r="F393" i="2"/>
  <c r="E393" i="2"/>
  <c r="D393" i="2"/>
  <c r="C393" i="2"/>
  <c r="A393" i="2"/>
  <c r="Q392" i="2"/>
  <c r="P392" i="2"/>
  <c r="O392" i="2"/>
  <c r="N392" i="2"/>
  <c r="M392" i="2"/>
  <c r="L392" i="2"/>
  <c r="K392" i="2"/>
  <c r="J392" i="2"/>
  <c r="I392" i="2"/>
  <c r="H392" i="2"/>
  <c r="G392" i="2"/>
  <c r="F392" i="2"/>
  <c r="E392" i="2"/>
  <c r="D392" i="2"/>
  <c r="C392" i="2"/>
  <c r="A392" i="2"/>
  <c r="Q391" i="2"/>
  <c r="P391" i="2"/>
  <c r="O391" i="2"/>
  <c r="N391" i="2"/>
  <c r="M391" i="2"/>
  <c r="L391" i="2"/>
  <c r="K391" i="2"/>
  <c r="J391" i="2"/>
  <c r="I391" i="2"/>
  <c r="H391" i="2"/>
  <c r="G391" i="2"/>
  <c r="F391" i="2"/>
  <c r="E391" i="2"/>
  <c r="D391" i="2"/>
  <c r="C391" i="2"/>
  <c r="A391" i="2"/>
  <c r="Q390" i="2"/>
  <c r="P390" i="2"/>
  <c r="O390" i="2"/>
  <c r="N390" i="2"/>
  <c r="M390" i="2"/>
  <c r="L390" i="2"/>
  <c r="K390" i="2"/>
  <c r="J390" i="2"/>
  <c r="I390" i="2"/>
  <c r="H390" i="2"/>
  <c r="G390" i="2"/>
  <c r="F390" i="2"/>
  <c r="E390" i="2"/>
  <c r="D390" i="2"/>
  <c r="C390" i="2"/>
  <c r="A390" i="2"/>
  <c r="Q389" i="2"/>
  <c r="P389" i="2"/>
  <c r="O389" i="2"/>
  <c r="N389" i="2"/>
  <c r="M389" i="2"/>
  <c r="L389" i="2"/>
  <c r="K389" i="2"/>
  <c r="J389" i="2"/>
  <c r="I389" i="2"/>
  <c r="H389" i="2"/>
  <c r="G389" i="2"/>
  <c r="F389" i="2"/>
  <c r="E389" i="2"/>
  <c r="D389" i="2"/>
  <c r="C389" i="2"/>
  <c r="A389" i="2"/>
  <c r="Q388" i="2"/>
  <c r="P388" i="2"/>
  <c r="O388" i="2"/>
  <c r="N388" i="2"/>
  <c r="M388" i="2"/>
  <c r="L388" i="2"/>
  <c r="K388" i="2"/>
  <c r="J388" i="2"/>
  <c r="I388" i="2"/>
  <c r="H388" i="2"/>
  <c r="G388" i="2"/>
  <c r="F388" i="2"/>
  <c r="E388" i="2"/>
  <c r="D388" i="2"/>
  <c r="C388" i="2"/>
  <c r="A388" i="2"/>
  <c r="Q387" i="2"/>
  <c r="P387" i="2"/>
  <c r="O387" i="2"/>
  <c r="N387" i="2"/>
  <c r="M387" i="2"/>
  <c r="L387" i="2"/>
  <c r="K387" i="2"/>
  <c r="J387" i="2"/>
  <c r="I387" i="2"/>
  <c r="H387" i="2"/>
  <c r="G387" i="2"/>
  <c r="F387" i="2"/>
  <c r="E387" i="2"/>
  <c r="D387" i="2"/>
  <c r="C387" i="2"/>
  <c r="A387" i="2"/>
  <c r="Q386" i="2"/>
  <c r="P386" i="2"/>
  <c r="O386" i="2"/>
  <c r="N386" i="2"/>
  <c r="M386" i="2"/>
  <c r="L386" i="2"/>
  <c r="K386" i="2"/>
  <c r="J386" i="2"/>
  <c r="I386" i="2"/>
  <c r="H386" i="2"/>
  <c r="G386" i="2"/>
  <c r="F386" i="2"/>
  <c r="E386" i="2"/>
  <c r="D386" i="2"/>
  <c r="C386" i="2"/>
  <c r="A386" i="2"/>
  <c r="Q385" i="2"/>
  <c r="P385" i="2"/>
  <c r="O385" i="2"/>
  <c r="N385" i="2"/>
  <c r="M385" i="2"/>
  <c r="L385" i="2"/>
  <c r="K385" i="2"/>
  <c r="J385" i="2"/>
  <c r="I385" i="2"/>
  <c r="H385" i="2"/>
  <c r="G385" i="2"/>
  <c r="F385" i="2"/>
  <c r="E385" i="2"/>
  <c r="D385" i="2"/>
  <c r="C385" i="2"/>
  <c r="A385" i="2"/>
  <c r="Q384" i="2"/>
  <c r="P384" i="2"/>
  <c r="O384" i="2"/>
  <c r="N384" i="2"/>
  <c r="M384" i="2"/>
  <c r="L384" i="2"/>
  <c r="K384" i="2"/>
  <c r="J384" i="2"/>
  <c r="I384" i="2"/>
  <c r="H384" i="2"/>
  <c r="G384" i="2"/>
  <c r="F384" i="2"/>
  <c r="E384" i="2"/>
  <c r="D384" i="2"/>
  <c r="C384" i="2"/>
  <c r="A384" i="2"/>
  <c r="Q383" i="2"/>
  <c r="P383" i="2"/>
  <c r="O383" i="2"/>
  <c r="N383" i="2"/>
  <c r="M383" i="2"/>
  <c r="L383" i="2"/>
  <c r="K383" i="2"/>
  <c r="J383" i="2"/>
  <c r="I383" i="2"/>
  <c r="H383" i="2"/>
  <c r="G383" i="2"/>
  <c r="F383" i="2"/>
  <c r="E383" i="2"/>
  <c r="D383" i="2"/>
  <c r="C383" i="2"/>
  <c r="A383" i="2"/>
  <c r="Q382" i="2"/>
  <c r="P382" i="2"/>
  <c r="O382" i="2"/>
  <c r="N382" i="2"/>
  <c r="M382" i="2"/>
  <c r="L382" i="2"/>
  <c r="K382" i="2"/>
  <c r="J382" i="2"/>
  <c r="I382" i="2"/>
  <c r="H382" i="2"/>
  <c r="G382" i="2"/>
  <c r="F382" i="2"/>
  <c r="E382" i="2"/>
  <c r="D382" i="2"/>
  <c r="C382" i="2"/>
  <c r="A382" i="2"/>
  <c r="Q381" i="2"/>
  <c r="P381" i="2"/>
  <c r="O381" i="2"/>
  <c r="N381" i="2"/>
  <c r="M381" i="2"/>
  <c r="L381" i="2"/>
  <c r="K381" i="2"/>
  <c r="J381" i="2"/>
  <c r="I381" i="2"/>
  <c r="H381" i="2"/>
  <c r="G381" i="2"/>
  <c r="F381" i="2"/>
  <c r="E381" i="2"/>
  <c r="D381" i="2"/>
  <c r="C381" i="2"/>
  <c r="A381" i="2"/>
  <c r="Q380" i="2"/>
  <c r="P380" i="2"/>
  <c r="O380" i="2"/>
  <c r="N380" i="2"/>
  <c r="M380" i="2"/>
  <c r="L380" i="2"/>
  <c r="K380" i="2"/>
  <c r="J380" i="2"/>
  <c r="I380" i="2"/>
  <c r="H380" i="2"/>
  <c r="G380" i="2"/>
  <c r="F380" i="2"/>
  <c r="E380" i="2"/>
  <c r="D380" i="2"/>
  <c r="C380" i="2"/>
  <c r="A380" i="2"/>
  <c r="Q379" i="2"/>
  <c r="P379" i="2"/>
  <c r="O379" i="2"/>
  <c r="N379" i="2"/>
  <c r="M379" i="2"/>
  <c r="L379" i="2"/>
  <c r="K379" i="2"/>
  <c r="J379" i="2"/>
  <c r="I379" i="2"/>
  <c r="H379" i="2"/>
  <c r="G379" i="2"/>
  <c r="F379" i="2"/>
  <c r="E379" i="2"/>
  <c r="D379" i="2"/>
  <c r="C379" i="2"/>
  <c r="A379" i="2"/>
  <c r="Q378" i="2"/>
  <c r="P378" i="2"/>
  <c r="O378" i="2"/>
  <c r="N378" i="2"/>
  <c r="M378" i="2"/>
  <c r="L378" i="2"/>
  <c r="K378" i="2"/>
  <c r="J378" i="2"/>
  <c r="I378" i="2"/>
  <c r="H378" i="2"/>
  <c r="G378" i="2"/>
  <c r="F378" i="2"/>
  <c r="E378" i="2"/>
  <c r="D378" i="2"/>
  <c r="C378" i="2"/>
  <c r="A378" i="2"/>
  <c r="Q377" i="2"/>
  <c r="P377" i="2"/>
  <c r="O377" i="2"/>
  <c r="N377" i="2"/>
  <c r="M377" i="2"/>
  <c r="L377" i="2"/>
  <c r="K377" i="2"/>
  <c r="J377" i="2"/>
  <c r="I377" i="2"/>
  <c r="H377" i="2"/>
  <c r="G377" i="2"/>
  <c r="F377" i="2"/>
  <c r="E377" i="2"/>
  <c r="D377" i="2"/>
  <c r="C377" i="2"/>
  <c r="A377" i="2"/>
  <c r="Q376" i="2"/>
  <c r="P376" i="2"/>
  <c r="O376" i="2"/>
  <c r="N376" i="2"/>
  <c r="M376" i="2"/>
  <c r="L376" i="2"/>
  <c r="K376" i="2"/>
  <c r="J376" i="2"/>
  <c r="I376" i="2"/>
  <c r="H376" i="2"/>
  <c r="G376" i="2"/>
  <c r="F376" i="2"/>
  <c r="E376" i="2"/>
  <c r="D376" i="2"/>
  <c r="C376" i="2"/>
  <c r="A376" i="2"/>
  <c r="Q375" i="2"/>
  <c r="P375" i="2"/>
  <c r="O375" i="2"/>
  <c r="N375" i="2"/>
  <c r="M375" i="2"/>
  <c r="L375" i="2"/>
  <c r="K375" i="2"/>
  <c r="J375" i="2"/>
  <c r="I375" i="2"/>
  <c r="H375" i="2"/>
  <c r="G375" i="2"/>
  <c r="F375" i="2"/>
  <c r="E375" i="2"/>
  <c r="D375" i="2"/>
  <c r="C375" i="2"/>
  <c r="A375" i="2"/>
  <c r="Q374" i="2"/>
  <c r="P374" i="2"/>
  <c r="O374" i="2"/>
  <c r="N374" i="2"/>
  <c r="M374" i="2"/>
  <c r="L374" i="2"/>
  <c r="K374" i="2"/>
  <c r="J374" i="2"/>
  <c r="I374" i="2"/>
  <c r="H374" i="2"/>
  <c r="G374" i="2"/>
  <c r="F374" i="2"/>
  <c r="E374" i="2"/>
  <c r="D374" i="2"/>
  <c r="C374" i="2"/>
  <c r="A374" i="2"/>
  <c r="Q373" i="2"/>
  <c r="P373" i="2"/>
  <c r="O373" i="2"/>
  <c r="N373" i="2"/>
  <c r="M373" i="2"/>
  <c r="L373" i="2"/>
  <c r="K373" i="2"/>
  <c r="J373" i="2"/>
  <c r="I373" i="2"/>
  <c r="H373" i="2"/>
  <c r="G373" i="2"/>
  <c r="F373" i="2"/>
  <c r="E373" i="2"/>
  <c r="D373" i="2"/>
  <c r="C373" i="2"/>
  <c r="A373" i="2"/>
  <c r="Q372" i="2"/>
  <c r="P372" i="2"/>
  <c r="O372" i="2"/>
  <c r="N372" i="2"/>
  <c r="M372" i="2"/>
  <c r="L372" i="2"/>
  <c r="K372" i="2"/>
  <c r="J372" i="2"/>
  <c r="I372" i="2"/>
  <c r="H372" i="2"/>
  <c r="G372" i="2"/>
  <c r="F372" i="2"/>
  <c r="E372" i="2"/>
  <c r="D372" i="2"/>
  <c r="C372" i="2"/>
  <c r="A372" i="2"/>
  <c r="Q371" i="2"/>
  <c r="P371" i="2"/>
  <c r="O371" i="2"/>
  <c r="N371" i="2"/>
  <c r="M371" i="2"/>
  <c r="L371" i="2"/>
  <c r="K371" i="2"/>
  <c r="J371" i="2"/>
  <c r="I371" i="2"/>
  <c r="H371" i="2"/>
  <c r="G371" i="2"/>
  <c r="F371" i="2"/>
  <c r="E371" i="2"/>
  <c r="D371" i="2"/>
  <c r="C371" i="2"/>
  <c r="A371" i="2"/>
  <c r="Q370" i="2"/>
  <c r="P370" i="2"/>
  <c r="O370" i="2"/>
  <c r="N370" i="2"/>
  <c r="M370" i="2"/>
  <c r="L370" i="2"/>
  <c r="K370" i="2"/>
  <c r="J370" i="2"/>
  <c r="I370" i="2"/>
  <c r="H370" i="2"/>
  <c r="G370" i="2"/>
  <c r="F370" i="2"/>
  <c r="E370" i="2"/>
  <c r="D370" i="2"/>
  <c r="C370" i="2"/>
  <c r="A370" i="2"/>
  <c r="Q369" i="2"/>
  <c r="P369" i="2"/>
  <c r="O369" i="2"/>
  <c r="N369" i="2"/>
  <c r="M369" i="2"/>
  <c r="L369" i="2"/>
  <c r="K369" i="2"/>
  <c r="J369" i="2"/>
  <c r="I369" i="2"/>
  <c r="H369" i="2"/>
  <c r="G369" i="2"/>
  <c r="F369" i="2"/>
  <c r="E369" i="2"/>
  <c r="D369" i="2"/>
  <c r="C369" i="2"/>
  <c r="A369" i="2"/>
  <c r="Q368" i="2"/>
  <c r="P368" i="2"/>
  <c r="O368" i="2"/>
  <c r="N368" i="2"/>
  <c r="M368" i="2"/>
  <c r="L368" i="2"/>
  <c r="K368" i="2"/>
  <c r="J368" i="2"/>
  <c r="I368" i="2"/>
  <c r="H368" i="2"/>
  <c r="G368" i="2"/>
  <c r="F368" i="2"/>
  <c r="E368" i="2"/>
  <c r="D368" i="2"/>
  <c r="C368" i="2"/>
  <c r="A368" i="2"/>
  <c r="Q367" i="2"/>
  <c r="P367" i="2"/>
  <c r="O367" i="2"/>
  <c r="N367" i="2"/>
  <c r="M367" i="2"/>
  <c r="L367" i="2"/>
  <c r="K367" i="2"/>
  <c r="J367" i="2"/>
  <c r="I367" i="2"/>
  <c r="H367" i="2"/>
  <c r="G367" i="2"/>
  <c r="F367" i="2"/>
  <c r="E367" i="2"/>
  <c r="D367" i="2"/>
  <c r="C367" i="2"/>
  <c r="A367" i="2"/>
  <c r="Q366" i="2"/>
  <c r="P366" i="2"/>
  <c r="O366" i="2"/>
  <c r="N366" i="2"/>
  <c r="M366" i="2"/>
  <c r="L366" i="2"/>
  <c r="K366" i="2"/>
  <c r="J366" i="2"/>
  <c r="I366" i="2"/>
  <c r="H366" i="2"/>
  <c r="G366" i="2"/>
  <c r="F366" i="2"/>
  <c r="E366" i="2"/>
  <c r="D366" i="2"/>
  <c r="C366" i="2"/>
  <c r="A366" i="2"/>
  <c r="Q365" i="2"/>
  <c r="P365" i="2"/>
  <c r="O365" i="2"/>
  <c r="N365" i="2"/>
  <c r="M365" i="2"/>
  <c r="L365" i="2"/>
  <c r="K365" i="2"/>
  <c r="J365" i="2"/>
  <c r="I365" i="2"/>
  <c r="H365" i="2"/>
  <c r="G365" i="2"/>
  <c r="F365" i="2"/>
  <c r="E365" i="2"/>
  <c r="D365" i="2"/>
  <c r="C365" i="2"/>
  <c r="A365" i="2"/>
  <c r="Q364" i="2"/>
  <c r="P364" i="2"/>
  <c r="O364" i="2"/>
  <c r="N364" i="2"/>
  <c r="M364" i="2"/>
  <c r="L364" i="2"/>
  <c r="K364" i="2"/>
  <c r="J364" i="2"/>
  <c r="I364" i="2"/>
  <c r="H364" i="2"/>
  <c r="G364" i="2"/>
  <c r="F364" i="2"/>
  <c r="E364" i="2"/>
  <c r="D364" i="2"/>
  <c r="C364" i="2"/>
  <c r="A364" i="2"/>
  <c r="Q363" i="2"/>
  <c r="P363" i="2"/>
  <c r="O363" i="2"/>
  <c r="N363" i="2"/>
  <c r="M363" i="2"/>
  <c r="L363" i="2"/>
  <c r="K363" i="2"/>
  <c r="J363" i="2"/>
  <c r="I363" i="2"/>
  <c r="H363" i="2"/>
  <c r="G363" i="2"/>
  <c r="F363" i="2"/>
  <c r="E363" i="2"/>
  <c r="D363" i="2"/>
  <c r="C363" i="2"/>
  <c r="A363" i="2"/>
  <c r="Q362" i="2"/>
  <c r="P362" i="2"/>
  <c r="O362" i="2"/>
  <c r="N362" i="2"/>
  <c r="M362" i="2"/>
  <c r="L362" i="2"/>
  <c r="K362" i="2"/>
  <c r="J362" i="2"/>
  <c r="I362" i="2"/>
  <c r="H362" i="2"/>
  <c r="G362" i="2"/>
  <c r="F362" i="2"/>
  <c r="E362" i="2"/>
  <c r="D362" i="2"/>
  <c r="C362" i="2"/>
  <c r="A362" i="2"/>
  <c r="Q361" i="2"/>
  <c r="P361" i="2"/>
  <c r="O361" i="2"/>
  <c r="N361" i="2"/>
  <c r="M361" i="2"/>
  <c r="L361" i="2"/>
  <c r="K361" i="2"/>
  <c r="J361" i="2"/>
  <c r="I361" i="2"/>
  <c r="H361" i="2"/>
  <c r="G361" i="2"/>
  <c r="F361" i="2"/>
  <c r="E361" i="2"/>
  <c r="D361" i="2"/>
  <c r="C361" i="2"/>
  <c r="A361" i="2"/>
  <c r="Q360" i="2"/>
  <c r="P360" i="2"/>
  <c r="O360" i="2"/>
  <c r="N360" i="2"/>
  <c r="M360" i="2"/>
  <c r="L360" i="2"/>
  <c r="K360" i="2"/>
  <c r="J360" i="2"/>
  <c r="I360" i="2"/>
  <c r="H360" i="2"/>
  <c r="G360" i="2"/>
  <c r="F360" i="2"/>
  <c r="E360" i="2"/>
  <c r="D360" i="2"/>
  <c r="C360" i="2"/>
  <c r="A360" i="2"/>
  <c r="Q359" i="2"/>
  <c r="P359" i="2"/>
  <c r="O359" i="2"/>
  <c r="N359" i="2"/>
  <c r="M359" i="2"/>
  <c r="L359" i="2"/>
  <c r="K359" i="2"/>
  <c r="J359" i="2"/>
  <c r="I359" i="2"/>
  <c r="H359" i="2"/>
  <c r="G359" i="2"/>
  <c r="F359" i="2"/>
  <c r="E359" i="2"/>
  <c r="D359" i="2"/>
  <c r="C359" i="2"/>
  <c r="A359" i="2"/>
  <c r="Q358" i="2"/>
  <c r="P358" i="2"/>
  <c r="O358" i="2"/>
  <c r="N358" i="2"/>
  <c r="M358" i="2"/>
  <c r="L358" i="2"/>
  <c r="K358" i="2"/>
  <c r="J358" i="2"/>
  <c r="I358" i="2"/>
  <c r="H358" i="2"/>
  <c r="G358" i="2"/>
  <c r="F358" i="2"/>
  <c r="E358" i="2"/>
  <c r="D358" i="2"/>
  <c r="C358" i="2"/>
  <c r="A358" i="2"/>
  <c r="Q357" i="2"/>
  <c r="P357" i="2"/>
  <c r="O357" i="2"/>
  <c r="N357" i="2"/>
  <c r="M357" i="2"/>
  <c r="L357" i="2"/>
  <c r="K357" i="2"/>
  <c r="J357" i="2"/>
  <c r="I357" i="2"/>
  <c r="H357" i="2"/>
  <c r="G357" i="2"/>
  <c r="F357" i="2"/>
  <c r="E357" i="2"/>
  <c r="D357" i="2"/>
  <c r="C357" i="2"/>
  <c r="A357" i="2"/>
  <c r="Q356" i="2"/>
  <c r="P356" i="2"/>
  <c r="O356" i="2"/>
  <c r="N356" i="2"/>
  <c r="M356" i="2"/>
  <c r="L356" i="2"/>
  <c r="K356" i="2"/>
  <c r="J356" i="2"/>
  <c r="I356" i="2"/>
  <c r="H356" i="2"/>
  <c r="G356" i="2"/>
  <c r="F356" i="2"/>
  <c r="E356" i="2"/>
  <c r="D356" i="2"/>
  <c r="C356" i="2"/>
  <c r="A356" i="2"/>
  <c r="Q355" i="2"/>
  <c r="P355" i="2"/>
  <c r="O355" i="2"/>
  <c r="N355" i="2"/>
  <c r="M355" i="2"/>
  <c r="L355" i="2"/>
  <c r="K355" i="2"/>
  <c r="J355" i="2"/>
  <c r="I355" i="2"/>
  <c r="H355" i="2"/>
  <c r="G355" i="2"/>
  <c r="F355" i="2"/>
  <c r="E355" i="2"/>
  <c r="D355" i="2"/>
  <c r="C355" i="2"/>
  <c r="A355" i="2"/>
  <c r="Q354" i="2"/>
  <c r="P354" i="2"/>
  <c r="O354" i="2"/>
  <c r="N354" i="2"/>
  <c r="M354" i="2"/>
  <c r="L354" i="2"/>
  <c r="K354" i="2"/>
  <c r="J354" i="2"/>
  <c r="I354" i="2"/>
  <c r="H354" i="2"/>
  <c r="G354" i="2"/>
  <c r="F354" i="2"/>
  <c r="E354" i="2"/>
  <c r="D354" i="2"/>
  <c r="C354" i="2"/>
  <c r="A354" i="2"/>
  <c r="Q353" i="2"/>
  <c r="P353" i="2"/>
  <c r="O353" i="2"/>
  <c r="N353" i="2"/>
  <c r="M353" i="2"/>
  <c r="L353" i="2"/>
  <c r="K353" i="2"/>
  <c r="J353" i="2"/>
  <c r="I353" i="2"/>
  <c r="H353" i="2"/>
  <c r="G353" i="2"/>
  <c r="F353" i="2"/>
  <c r="E353" i="2"/>
  <c r="D353" i="2"/>
  <c r="C353" i="2"/>
  <c r="A353" i="2"/>
  <c r="Q352" i="2"/>
  <c r="P352" i="2"/>
  <c r="O352" i="2"/>
  <c r="N352" i="2"/>
  <c r="M352" i="2"/>
  <c r="L352" i="2"/>
  <c r="K352" i="2"/>
  <c r="J352" i="2"/>
  <c r="I352" i="2"/>
  <c r="H352" i="2"/>
  <c r="G352" i="2"/>
  <c r="F352" i="2"/>
  <c r="E352" i="2"/>
  <c r="D352" i="2"/>
  <c r="C352" i="2"/>
  <c r="A352" i="2"/>
  <c r="Q351" i="2"/>
  <c r="P351" i="2"/>
  <c r="O351" i="2"/>
  <c r="N351" i="2"/>
  <c r="M351" i="2"/>
  <c r="L351" i="2"/>
  <c r="K351" i="2"/>
  <c r="J351" i="2"/>
  <c r="I351" i="2"/>
  <c r="H351" i="2"/>
  <c r="G351" i="2"/>
  <c r="F351" i="2"/>
  <c r="E351" i="2"/>
  <c r="D351" i="2"/>
  <c r="C351" i="2"/>
  <c r="A351" i="2"/>
  <c r="Q350" i="2"/>
  <c r="P350" i="2"/>
  <c r="O350" i="2"/>
  <c r="N350" i="2"/>
  <c r="M350" i="2"/>
  <c r="L350" i="2"/>
  <c r="K350" i="2"/>
  <c r="J350" i="2"/>
  <c r="I350" i="2"/>
  <c r="H350" i="2"/>
  <c r="G350" i="2"/>
  <c r="F350" i="2"/>
  <c r="E350" i="2"/>
  <c r="D350" i="2"/>
  <c r="C350" i="2"/>
  <c r="A350" i="2"/>
  <c r="Q349" i="2"/>
  <c r="P349" i="2"/>
  <c r="O349" i="2"/>
  <c r="N349" i="2"/>
  <c r="M349" i="2"/>
  <c r="L349" i="2"/>
  <c r="K349" i="2"/>
  <c r="J349" i="2"/>
  <c r="I349" i="2"/>
  <c r="H349" i="2"/>
  <c r="G349" i="2"/>
  <c r="F349" i="2"/>
  <c r="E349" i="2"/>
  <c r="D349" i="2"/>
  <c r="C349" i="2"/>
  <c r="A349" i="2"/>
  <c r="Q348" i="2"/>
  <c r="P348" i="2"/>
  <c r="O348" i="2"/>
  <c r="N348" i="2"/>
  <c r="M348" i="2"/>
  <c r="L348" i="2"/>
  <c r="K348" i="2"/>
  <c r="J348" i="2"/>
  <c r="I348" i="2"/>
  <c r="H348" i="2"/>
  <c r="G348" i="2"/>
  <c r="F348" i="2"/>
  <c r="E348" i="2"/>
  <c r="D348" i="2"/>
  <c r="C348" i="2"/>
  <c r="A348" i="2"/>
  <c r="Q347" i="2"/>
  <c r="P347" i="2"/>
  <c r="O347" i="2"/>
  <c r="N347" i="2"/>
  <c r="M347" i="2"/>
  <c r="L347" i="2"/>
  <c r="K347" i="2"/>
  <c r="J347" i="2"/>
  <c r="I347" i="2"/>
  <c r="H347" i="2"/>
  <c r="G347" i="2"/>
  <c r="F347" i="2"/>
  <c r="E347" i="2"/>
  <c r="D347" i="2"/>
  <c r="C347" i="2"/>
  <c r="A347" i="2"/>
  <c r="Q346" i="2"/>
  <c r="P346" i="2"/>
  <c r="O346" i="2"/>
  <c r="N346" i="2"/>
  <c r="M346" i="2"/>
  <c r="L346" i="2"/>
  <c r="K346" i="2"/>
  <c r="J346" i="2"/>
  <c r="I346" i="2"/>
  <c r="H346" i="2"/>
  <c r="G346" i="2"/>
  <c r="F346" i="2"/>
  <c r="E346" i="2"/>
  <c r="D346" i="2"/>
  <c r="C346" i="2"/>
  <c r="A346" i="2"/>
  <c r="Q345" i="2"/>
  <c r="P345" i="2"/>
  <c r="O345" i="2"/>
  <c r="N345" i="2"/>
  <c r="M345" i="2"/>
  <c r="L345" i="2"/>
  <c r="K345" i="2"/>
  <c r="J345" i="2"/>
  <c r="I345" i="2"/>
  <c r="H345" i="2"/>
  <c r="G345" i="2"/>
  <c r="F345" i="2"/>
  <c r="E345" i="2"/>
  <c r="D345" i="2"/>
  <c r="C345" i="2"/>
  <c r="A345" i="2"/>
  <c r="Q344" i="2"/>
  <c r="P344" i="2"/>
  <c r="O344" i="2"/>
  <c r="N344" i="2"/>
  <c r="M344" i="2"/>
  <c r="L344" i="2"/>
  <c r="K344" i="2"/>
  <c r="J344" i="2"/>
  <c r="I344" i="2"/>
  <c r="H344" i="2"/>
  <c r="G344" i="2"/>
  <c r="F344" i="2"/>
  <c r="E344" i="2"/>
  <c r="D344" i="2"/>
  <c r="C344" i="2"/>
  <c r="A344" i="2"/>
  <c r="Q343" i="2"/>
  <c r="P343" i="2"/>
  <c r="O343" i="2"/>
  <c r="N343" i="2"/>
  <c r="M343" i="2"/>
  <c r="L343" i="2"/>
  <c r="K343" i="2"/>
  <c r="J343" i="2"/>
  <c r="I343" i="2"/>
  <c r="H343" i="2"/>
  <c r="G343" i="2"/>
  <c r="F343" i="2"/>
  <c r="E343" i="2"/>
  <c r="D343" i="2"/>
  <c r="C343" i="2"/>
  <c r="A343" i="2"/>
  <c r="Q342" i="2"/>
  <c r="P342" i="2"/>
  <c r="O342" i="2"/>
  <c r="N342" i="2"/>
  <c r="M342" i="2"/>
  <c r="L342" i="2"/>
  <c r="K342" i="2"/>
  <c r="J342" i="2"/>
  <c r="I342" i="2"/>
  <c r="H342" i="2"/>
  <c r="G342" i="2"/>
  <c r="F342" i="2"/>
  <c r="E342" i="2"/>
  <c r="D342" i="2"/>
  <c r="C342" i="2"/>
  <c r="A342" i="2"/>
  <c r="Q341" i="2"/>
  <c r="P341" i="2"/>
  <c r="O341" i="2"/>
  <c r="N341" i="2"/>
  <c r="M341" i="2"/>
  <c r="L341" i="2"/>
  <c r="K341" i="2"/>
  <c r="J341" i="2"/>
  <c r="I341" i="2"/>
  <c r="H341" i="2"/>
  <c r="G341" i="2"/>
  <c r="F341" i="2"/>
  <c r="E341" i="2"/>
  <c r="D341" i="2"/>
  <c r="C341" i="2"/>
  <c r="A341" i="2"/>
  <c r="Q340" i="2"/>
  <c r="P340" i="2"/>
  <c r="O340" i="2"/>
  <c r="N340" i="2"/>
  <c r="M340" i="2"/>
  <c r="L340" i="2"/>
  <c r="K340" i="2"/>
  <c r="J340" i="2"/>
  <c r="I340" i="2"/>
  <c r="H340" i="2"/>
  <c r="G340" i="2"/>
  <c r="F340" i="2"/>
  <c r="E340" i="2"/>
  <c r="D340" i="2"/>
  <c r="C340" i="2"/>
  <c r="A340" i="2"/>
  <c r="Q339" i="2"/>
  <c r="P339" i="2"/>
  <c r="O339" i="2"/>
  <c r="N339" i="2"/>
  <c r="M339" i="2"/>
  <c r="L339" i="2"/>
  <c r="K339" i="2"/>
  <c r="J339" i="2"/>
  <c r="I339" i="2"/>
  <c r="H339" i="2"/>
  <c r="G339" i="2"/>
  <c r="F339" i="2"/>
  <c r="E339" i="2"/>
  <c r="D339" i="2"/>
  <c r="C339" i="2"/>
  <c r="A339" i="2"/>
  <c r="Q338" i="2"/>
  <c r="P338" i="2"/>
  <c r="O338" i="2"/>
  <c r="N338" i="2"/>
  <c r="M338" i="2"/>
  <c r="L338" i="2"/>
  <c r="K338" i="2"/>
  <c r="J338" i="2"/>
  <c r="I338" i="2"/>
  <c r="H338" i="2"/>
  <c r="G338" i="2"/>
  <c r="F338" i="2"/>
  <c r="E338" i="2"/>
  <c r="D338" i="2"/>
  <c r="C338" i="2"/>
  <c r="A338" i="2"/>
  <c r="Q337" i="2"/>
  <c r="P337" i="2"/>
  <c r="O337" i="2"/>
  <c r="N337" i="2"/>
  <c r="M337" i="2"/>
  <c r="L337" i="2"/>
  <c r="K337" i="2"/>
  <c r="J337" i="2"/>
  <c r="I337" i="2"/>
  <c r="H337" i="2"/>
  <c r="G337" i="2"/>
  <c r="F337" i="2"/>
  <c r="E337" i="2"/>
  <c r="D337" i="2"/>
  <c r="C337" i="2"/>
  <c r="A337" i="2"/>
  <c r="Q336" i="2"/>
  <c r="P336" i="2"/>
  <c r="O336" i="2"/>
  <c r="N336" i="2"/>
  <c r="M336" i="2"/>
  <c r="L336" i="2"/>
  <c r="K336" i="2"/>
  <c r="J336" i="2"/>
  <c r="I336" i="2"/>
  <c r="H336" i="2"/>
  <c r="G336" i="2"/>
  <c r="F336" i="2"/>
  <c r="E336" i="2"/>
  <c r="D336" i="2"/>
  <c r="C336" i="2"/>
  <c r="A336" i="2"/>
  <c r="Q335" i="2"/>
  <c r="P335" i="2"/>
  <c r="O335" i="2"/>
  <c r="N335" i="2"/>
  <c r="M335" i="2"/>
  <c r="L335" i="2"/>
  <c r="K335" i="2"/>
  <c r="J335" i="2"/>
  <c r="I335" i="2"/>
  <c r="H335" i="2"/>
  <c r="G335" i="2"/>
  <c r="F335" i="2"/>
  <c r="E335" i="2"/>
  <c r="D335" i="2"/>
  <c r="C335" i="2"/>
  <c r="A335" i="2"/>
  <c r="Q334" i="2"/>
  <c r="P334" i="2"/>
  <c r="O334" i="2"/>
  <c r="N334" i="2"/>
  <c r="M334" i="2"/>
  <c r="L334" i="2"/>
  <c r="K334" i="2"/>
  <c r="J334" i="2"/>
  <c r="I334" i="2"/>
  <c r="H334" i="2"/>
  <c r="G334" i="2"/>
  <c r="F334" i="2"/>
  <c r="E334" i="2"/>
  <c r="D334" i="2"/>
  <c r="C334" i="2"/>
  <c r="A334" i="2"/>
  <c r="Q333" i="2"/>
  <c r="P333" i="2"/>
  <c r="O333" i="2"/>
  <c r="N333" i="2"/>
  <c r="M333" i="2"/>
  <c r="L333" i="2"/>
  <c r="K333" i="2"/>
  <c r="J333" i="2"/>
  <c r="I333" i="2"/>
  <c r="H333" i="2"/>
  <c r="G333" i="2"/>
  <c r="F333" i="2"/>
  <c r="E333" i="2"/>
  <c r="D333" i="2"/>
  <c r="C333" i="2"/>
  <c r="A333" i="2"/>
  <c r="Q332" i="2"/>
  <c r="P332" i="2"/>
  <c r="O332" i="2"/>
  <c r="N332" i="2"/>
  <c r="M332" i="2"/>
  <c r="L332" i="2"/>
  <c r="K332" i="2"/>
  <c r="J332" i="2"/>
  <c r="I332" i="2"/>
  <c r="H332" i="2"/>
  <c r="G332" i="2"/>
  <c r="F332" i="2"/>
  <c r="E332" i="2"/>
  <c r="D332" i="2"/>
  <c r="C332" i="2"/>
  <c r="A332" i="2"/>
  <c r="Q331" i="2"/>
  <c r="P331" i="2"/>
  <c r="O331" i="2"/>
  <c r="N331" i="2"/>
  <c r="M331" i="2"/>
  <c r="L331" i="2"/>
  <c r="K331" i="2"/>
  <c r="J331" i="2"/>
  <c r="I331" i="2"/>
  <c r="H331" i="2"/>
  <c r="G331" i="2"/>
  <c r="F331" i="2"/>
  <c r="E331" i="2"/>
  <c r="D331" i="2"/>
  <c r="C331" i="2"/>
  <c r="A331" i="2"/>
  <c r="Q330" i="2"/>
  <c r="P330" i="2"/>
  <c r="O330" i="2"/>
  <c r="N330" i="2"/>
  <c r="M330" i="2"/>
  <c r="L330" i="2"/>
  <c r="K330" i="2"/>
  <c r="J330" i="2"/>
  <c r="I330" i="2"/>
  <c r="H330" i="2"/>
  <c r="G330" i="2"/>
  <c r="F330" i="2"/>
  <c r="E330" i="2"/>
  <c r="D330" i="2"/>
  <c r="C330" i="2"/>
  <c r="A330" i="2"/>
  <c r="Q329" i="2"/>
  <c r="P329" i="2"/>
  <c r="O329" i="2"/>
  <c r="N329" i="2"/>
  <c r="M329" i="2"/>
  <c r="L329" i="2"/>
  <c r="K329" i="2"/>
  <c r="J329" i="2"/>
  <c r="I329" i="2"/>
  <c r="H329" i="2"/>
  <c r="G329" i="2"/>
  <c r="F329" i="2"/>
  <c r="E329" i="2"/>
  <c r="D329" i="2"/>
  <c r="C329" i="2"/>
  <c r="A329" i="2"/>
  <c r="Q328" i="2"/>
  <c r="P328" i="2"/>
  <c r="O328" i="2"/>
  <c r="N328" i="2"/>
  <c r="M328" i="2"/>
  <c r="L328" i="2"/>
  <c r="K328" i="2"/>
  <c r="J328" i="2"/>
  <c r="I328" i="2"/>
  <c r="H328" i="2"/>
  <c r="G328" i="2"/>
  <c r="F328" i="2"/>
  <c r="E328" i="2"/>
  <c r="D328" i="2"/>
  <c r="C328" i="2"/>
  <c r="A328" i="2"/>
  <c r="Q327" i="2"/>
  <c r="P327" i="2"/>
  <c r="O327" i="2"/>
  <c r="N327" i="2"/>
  <c r="M327" i="2"/>
  <c r="L327" i="2"/>
  <c r="K327" i="2"/>
  <c r="J327" i="2"/>
  <c r="I327" i="2"/>
  <c r="H327" i="2"/>
  <c r="G327" i="2"/>
  <c r="F327" i="2"/>
  <c r="E327" i="2"/>
  <c r="D327" i="2"/>
  <c r="C327" i="2"/>
  <c r="A327" i="2"/>
  <c r="Q326" i="2"/>
  <c r="P326" i="2"/>
  <c r="O326" i="2"/>
  <c r="N326" i="2"/>
  <c r="M326" i="2"/>
  <c r="L326" i="2"/>
  <c r="K326" i="2"/>
  <c r="J326" i="2"/>
  <c r="I326" i="2"/>
  <c r="H326" i="2"/>
  <c r="G326" i="2"/>
  <c r="F326" i="2"/>
  <c r="E326" i="2"/>
  <c r="D326" i="2"/>
  <c r="C326" i="2"/>
  <c r="A326" i="2"/>
  <c r="Q325" i="2"/>
  <c r="P325" i="2"/>
  <c r="O325" i="2"/>
  <c r="N325" i="2"/>
  <c r="M325" i="2"/>
  <c r="L325" i="2"/>
  <c r="K325" i="2"/>
  <c r="J325" i="2"/>
  <c r="I325" i="2"/>
  <c r="H325" i="2"/>
  <c r="G325" i="2"/>
  <c r="F325" i="2"/>
  <c r="E325" i="2"/>
  <c r="D325" i="2"/>
  <c r="C325" i="2"/>
  <c r="A325" i="2"/>
  <c r="Q324" i="2"/>
  <c r="P324" i="2"/>
  <c r="O324" i="2"/>
  <c r="N324" i="2"/>
  <c r="M324" i="2"/>
  <c r="L324" i="2"/>
  <c r="K324" i="2"/>
  <c r="J324" i="2"/>
  <c r="I324" i="2"/>
  <c r="H324" i="2"/>
  <c r="G324" i="2"/>
  <c r="F324" i="2"/>
  <c r="E324" i="2"/>
  <c r="D324" i="2"/>
  <c r="C324" i="2"/>
  <c r="A324" i="2"/>
  <c r="Q323" i="2"/>
  <c r="P323" i="2"/>
  <c r="O323" i="2"/>
  <c r="N323" i="2"/>
  <c r="M323" i="2"/>
  <c r="L323" i="2"/>
  <c r="K323" i="2"/>
  <c r="J323" i="2"/>
  <c r="I323" i="2"/>
  <c r="H323" i="2"/>
  <c r="G323" i="2"/>
  <c r="F323" i="2"/>
  <c r="E323" i="2"/>
  <c r="D323" i="2"/>
  <c r="C323" i="2"/>
  <c r="A323" i="2"/>
  <c r="Q322" i="2"/>
  <c r="P322" i="2"/>
  <c r="O322" i="2"/>
  <c r="N322" i="2"/>
  <c r="M322" i="2"/>
  <c r="L322" i="2"/>
  <c r="K322" i="2"/>
  <c r="J322" i="2"/>
  <c r="I322" i="2"/>
  <c r="H322" i="2"/>
  <c r="G322" i="2"/>
  <c r="F322" i="2"/>
  <c r="E322" i="2"/>
  <c r="D322" i="2"/>
  <c r="C322" i="2"/>
  <c r="A322" i="2"/>
  <c r="Q321" i="2"/>
  <c r="P321" i="2"/>
  <c r="O321" i="2"/>
  <c r="N321" i="2"/>
  <c r="M321" i="2"/>
  <c r="L321" i="2"/>
  <c r="K321" i="2"/>
  <c r="J321" i="2"/>
  <c r="I321" i="2"/>
  <c r="H321" i="2"/>
  <c r="G321" i="2"/>
  <c r="F321" i="2"/>
  <c r="E321" i="2"/>
  <c r="D321" i="2"/>
  <c r="C321" i="2"/>
  <c r="A321" i="2"/>
  <c r="Q320" i="2"/>
  <c r="P320" i="2"/>
  <c r="O320" i="2"/>
  <c r="N320" i="2"/>
  <c r="M320" i="2"/>
  <c r="L320" i="2"/>
  <c r="K320" i="2"/>
  <c r="J320" i="2"/>
  <c r="I320" i="2"/>
  <c r="H320" i="2"/>
  <c r="G320" i="2"/>
  <c r="F320" i="2"/>
  <c r="E320" i="2"/>
  <c r="D320" i="2"/>
  <c r="C320" i="2"/>
  <c r="A320" i="2"/>
  <c r="Q319" i="2"/>
  <c r="P319" i="2"/>
  <c r="O319" i="2"/>
  <c r="N319" i="2"/>
  <c r="M319" i="2"/>
  <c r="L319" i="2"/>
  <c r="K319" i="2"/>
  <c r="J319" i="2"/>
  <c r="I319" i="2"/>
  <c r="H319" i="2"/>
  <c r="G319" i="2"/>
  <c r="F319" i="2"/>
  <c r="E319" i="2"/>
  <c r="D319" i="2"/>
  <c r="C319" i="2"/>
  <c r="A319" i="2"/>
  <c r="Q318" i="2"/>
  <c r="P318" i="2"/>
  <c r="O318" i="2"/>
  <c r="N318" i="2"/>
  <c r="M318" i="2"/>
  <c r="L318" i="2"/>
  <c r="K318" i="2"/>
  <c r="J318" i="2"/>
  <c r="I318" i="2"/>
  <c r="H318" i="2"/>
  <c r="G318" i="2"/>
  <c r="F318" i="2"/>
  <c r="E318" i="2"/>
  <c r="D318" i="2"/>
  <c r="C318" i="2"/>
  <c r="A318" i="2"/>
  <c r="Q317" i="2"/>
  <c r="P317" i="2"/>
  <c r="O317" i="2"/>
  <c r="N317" i="2"/>
  <c r="M317" i="2"/>
  <c r="L317" i="2"/>
  <c r="K317" i="2"/>
  <c r="J317" i="2"/>
  <c r="I317" i="2"/>
  <c r="H317" i="2"/>
  <c r="G317" i="2"/>
  <c r="F317" i="2"/>
  <c r="E317" i="2"/>
  <c r="D317" i="2"/>
  <c r="C317" i="2"/>
  <c r="A317" i="2"/>
  <c r="Q316" i="2"/>
  <c r="P316" i="2"/>
  <c r="O316" i="2"/>
  <c r="N316" i="2"/>
  <c r="M316" i="2"/>
  <c r="L316" i="2"/>
  <c r="K316" i="2"/>
  <c r="J316" i="2"/>
  <c r="I316" i="2"/>
  <c r="H316" i="2"/>
  <c r="G316" i="2"/>
  <c r="F316" i="2"/>
  <c r="E316" i="2"/>
  <c r="D316" i="2"/>
  <c r="C316" i="2"/>
  <c r="A316" i="2"/>
  <c r="Q315" i="2"/>
  <c r="P315" i="2"/>
  <c r="O315" i="2"/>
  <c r="N315" i="2"/>
  <c r="M315" i="2"/>
  <c r="L315" i="2"/>
  <c r="K315" i="2"/>
  <c r="J315" i="2"/>
  <c r="I315" i="2"/>
  <c r="H315" i="2"/>
  <c r="G315" i="2"/>
  <c r="F315" i="2"/>
  <c r="E315" i="2"/>
  <c r="D315" i="2"/>
  <c r="C315" i="2"/>
  <c r="A315" i="2"/>
  <c r="Q314" i="2"/>
  <c r="P314" i="2"/>
  <c r="O314" i="2"/>
  <c r="N314" i="2"/>
  <c r="M314" i="2"/>
  <c r="L314" i="2"/>
  <c r="K314" i="2"/>
  <c r="J314" i="2"/>
  <c r="I314" i="2"/>
  <c r="H314" i="2"/>
  <c r="G314" i="2"/>
  <c r="F314" i="2"/>
  <c r="E314" i="2"/>
  <c r="D314" i="2"/>
  <c r="C314" i="2"/>
  <c r="A314" i="2"/>
  <c r="Q313" i="2"/>
  <c r="P313" i="2"/>
  <c r="O313" i="2"/>
  <c r="N313" i="2"/>
  <c r="M313" i="2"/>
  <c r="L313" i="2"/>
  <c r="K313" i="2"/>
  <c r="J313" i="2"/>
  <c r="I313" i="2"/>
  <c r="H313" i="2"/>
  <c r="G313" i="2"/>
  <c r="F313" i="2"/>
  <c r="E313" i="2"/>
  <c r="D313" i="2"/>
  <c r="C313" i="2"/>
  <c r="A313" i="2"/>
  <c r="Q312" i="2"/>
  <c r="P312" i="2"/>
  <c r="O312" i="2"/>
  <c r="N312" i="2"/>
  <c r="M312" i="2"/>
  <c r="L312" i="2"/>
  <c r="K312" i="2"/>
  <c r="J312" i="2"/>
  <c r="I312" i="2"/>
  <c r="H312" i="2"/>
  <c r="G312" i="2"/>
  <c r="F312" i="2"/>
  <c r="E312" i="2"/>
  <c r="D312" i="2"/>
  <c r="C312" i="2"/>
  <c r="A312" i="2"/>
  <c r="Q311" i="2"/>
  <c r="P311" i="2"/>
  <c r="O311" i="2"/>
  <c r="N311" i="2"/>
  <c r="M311" i="2"/>
  <c r="L311" i="2"/>
  <c r="K311" i="2"/>
  <c r="J311" i="2"/>
  <c r="I311" i="2"/>
  <c r="H311" i="2"/>
  <c r="G311" i="2"/>
  <c r="F311" i="2"/>
  <c r="E311" i="2"/>
  <c r="D311" i="2"/>
  <c r="C311" i="2"/>
  <c r="A311" i="2"/>
  <c r="Q310" i="2"/>
  <c r="P310" i="2"/>
  <c r="O310" i="2"/>
  <c r="N310" i="2"/>
  <c r="M310" i="2"/>
  <c r="L310" i="2"/>
  <c r="K310" i="2"/>
  <c r="J310" i="2"/>
  <c r="I310" i="2"/>
  <c r="H310" i="2"/>
  <c r="G310" i="2"/>
  <c r="F310" i="2"/>
  <c r="E310" i="2"/>
  <c r="D310" i="2"/>
  <c r="C310" i="2"/>
  <c r="A310" i="2"/>
  <c r="Q309" i="2"/>
  <c r="P309" i="2"/>
  <c r="O309" i="2"/>
  <c r="N309" i="2"/>
  <c r="M309" i="2"/>
  <c r="L309" i="2"/>
  <c r="K309" i="2"/>
  <c r="J309" i="2"/>
  <c r="I309" i="2"/>
  <c r="H309" i="2"/>
  <c r="G309" i="2"/>
  <c r="F309" i="2"/>
  <c r="E309" i="2"/>
  <c r="D309" i="2"/>
  <c r="C309" i="2"/>
  <c r="A309" i="2"/>
  <c r="Q308" i="2"/>
  <c r="P308" i="2"/>
  <c r="O308" i="2"/>
  <c r="N308" i="2"/>
  <c r="M308" i="2"/>
  <c r="L308" i="2"/>
  <c r="K308" i="2"/>
  <c r="J308" i="2"/>
  <c r="I308" i="2"/>
  <c r="H308" i="2"/>
  <c r="G308" i="2"/>
  <c r="F308" i="2"/>
  <c r="E308" i="2"/>
  <c r="D308" i="2"/>
  <c r="C308" i="2"/>
  <c r="A308" i="2"/>
  <c r="Q307" i="2"/>
  <c r="P307" i="2"/>
  <c r="O307" i="2"/>
  <c r="N307" i="2"/>
  <c r="M307" i="2"/>
  <c r="L307" i="2"/>
  <c r="K307" i="2"/>
  <c r="J307" i="2"/>
  <c r="I307" i="2"/>
  <c r="H307" i="2"/>
  <c r="G307" i="2"/>
  <c r="F307" i="2"/>
  <c r="E307" i="2"/>
  <c r="D307" i="2"/>
  <c r="C307" i="2"/>
  <c r="A307" i="2"/>
  <c r="Q306" i="2"/>
  <c r="P306" i="2"/>
  <c r="O306" i="2"/>
  <c r="N306" i="2"/>
  <c r="M306" i="2"/>
  <c r="L306" i="2"/>
  <c r="K306" i="2"/>
  <c r="J306" i="2"/>
  <c r="I306" i="2"/>
  <c r="H306" i="2"/>
  <c r="G306" i="2"/>
  <c r="F306" i="2"/>
  <c r="E306" i="2"/>
  <c r="D306" i="2"/>
  <c r="C306" i="2"/>
  <c r="A306" i="2"/>
  <c r="Q305" i="2"/>
  <c r="P305" i="2"/>
  <c r="O305" i="2"/>
  <c r="N305" i="2"/>
  <c r="M305" i="2"/>
  <c r="L305" i="2"/>
  <c r="K305" i="2"/>
  <c r="J305" i="2"/>
  <c r="I305" i="2"/>
  <c r="H305" i="2"/>
  <c r="G305" i="2"/>
  <c r="F305" i="2"/>
  <c r="E305" i="2"/>
  <c r="D305" i="2"/>
  <c r="C305" i="2"/>
  <c r="A305" i="2"/>
  <c r="Q304" i="2"/>
  <c r="P304" i="2"/>
  <c r="O304" i="2"/>
  <c r="N304" i="2"/>
  <c r="M304" i="2"/>
  <c r="L304" i="2"/>
  <c r="K304" i="2"/>
  <c r="J304" i="2"/>
  <c r="I304" i="2"/>
  <c r="H304" i="2"/>
  <c r="G304" i="2"/>
  <c r="F304" i="2"/>
  <c r="E304" i="2"/>
  <c r="D304" i="2"/>
  <c r="C304" i="2"/>
  <c r="A304" i="2"/>
  <c r="Q303" i="2"/>
  <c r="P303" i="2"/>
  <c r="O303" i="2"/>
  <c r="N303" i="2"/>
  <c r="M303" i="2"/>
  <c r="L303" i="2"/>
  <c r="K303" i="2"/>
  <c r="J303" i="2"/>
  <c r="I303" i="2"/>
  <c r="H303" i="2"/>
  <c r="G303" i="2"/>
  <c r="F303" i="2"/>
  <c r="E303" i="2"/>
  <c r="D303" i="2"/>
  <c r="C303" i="2"/>
  <c r="A303" i="2"/>
  <c r="Q302" i="2"/>
  <c r="P302" i="2"/>
  <c r="O302" i="2"/>
  <c r="N302" i="2"/>
  <c r="M302" i="2"/>
  <c r="L302" i="2"/>
  <c r="K302" i="2"/>
  <c r="J302" i="2"/>
  <c r="I302" i="2"/>
  <c r="H302" i="2"/>
  <c r="G302" i="2"/>
  <c r="F302" i="2"/>
  <c r="E302" i="2"/>
  <c r="D302" i="2"/>
  <c r="C302" i="2"/>
  <c r="A302" i="2"/>
  <c r="Q301" i="2"/>
  <c r="P301" i="2"/>
  <c r="O301" i="2"/>
  <c r="N301" i="2"/>
  <c r="M301" i="2"/>
  <c r="L301" i="2"/>
  <c r="K301" i="2"/>
  <c r="J301" i="2"/>
  <c r="I301" i="2"/>
  <c r="H301" i="2"/>
  <c r="G301" i="2"/>
  <c r="F301" i="2"/>
  <c r="E301" i="2"/>
  <c r="D301" i="2"/>
  <c r="C301" i="2"/>
  <c r="A301" i="2"/>
  <c r="Q300" i="2"/>
  <c r="P300" i="2"/>
  <c r="O300" i="2"/>
  <c r="N300" i="2"/>
  <c r="M300" i="2"/>
  <c r="L300" i="2"/>
  <c r="K300" i="2"/>
  <c r="J300" i="2"/>
  <c r="I300" i="2"/>
  <c r="H300" i="2"/>
  <c r="G300" i="2"/>
  <c r="F300" i="2"/>
  <c r="E300" i="2"/>
  <c r="D300" i="2"/>
  <c r="C300" i="2"/>
  <c r="A300" i="2"/>
  <c r="Q299" i="2"/>
  <c r="P299" i="2"/>
  <c r="O299" i="2"/>
  <c r="N299" i="2"/>
  <c r="M299" i="2"/>
  <c r="L299" i="2"/>
  <c r="K299" i="2"/>
  <c r="J299" i="2"/>
  <c r="I299" i="2"/>
  <c r="H299" i="2"/>
  <c r="G299" i="2"/>
  <c r="F299" i="2"/>
  <c r="E299" i="2"/>
  <c r="D299" i="2"/>
  <c r="C299" i="2"/>
  <c r="A299" i="2"/>
  <c r="Q298" i="2"/>
  <c r="P298" i="2"/>
  <c r="O298" i="2"/>
  <c r="N298" i="2"/>
  <c r="M298" i="2"/>
  <c r="L298" i="2"/>
  <c r="K298" i="2"/>
  <c r="J298" i="2"/>
  <c r="I298" i="2"/>
  <c r="H298" i="2"/>
  <c r="G298" i="2"/>
  <c r="F298" i="2"/>
  <c r="E298" i="2"/>
  <c r="D298" i="2"/>
  <c r="C298" i="2"/>
  <c r="A298" i="2"/>
  <c r="Q297" i="2"/>
  <c r="P297" i="2"/>
  <c r="O297" i="2"/>
  <c r="N297" i="2"/>
  <c r="M297" i="2"/>
  <c r="L297" i="2"/>
  <c r="K297" i="2"/>
  <c r="J297" i="2"/>
  <c r="I297" i="2"/>
  <c r="H297" i="2"/>
  <c r="G297" i="2"/>
  <c r="F297" i="2"/>
  <c r="E297" i="2"/>
  <c r="D297" i="2"/>
  <c r="C297" i="2"/>
  <c r="A297" i="2"/>
  <c r="Q296" i="2"/>
  <c r="P296" i="2"/>
  <c r="O296" i="2"/>
  <c r="N296" i="2"/>
  <c r="M296" i="2"/>
  <c r="L296" i="2"/>
  <c r="K296" i="2"/>
  <c r="J296" i="2"/>
  <c r="I296" i="2"/>
  <c r="H296" i="2"/>
  <c r="G296" i="2"/>
  <c r="F296" i="2"/>
  <c r="E296" i="2"/>
  <c r="D296" i="2"/>
  <c r="C296" i="2"/>
  <c r="A296" i="2"/>
  <c r="Q295" i="2"/>
  <c r="P295" i="2"/>
  <c r="O295" i="2"/>
  <c r="N295" i="2"/>
  <c r="M295" i="2"/>
  <c r="L295" i="2"/>
  <c r="K295" i="2"/>
  <c r="J295" i="2"/>
  <c r="I295" i="2"/>
  <c r="H295" i="2"/>
  <c r="G295" i="2"/>
  <c r="F295" i="2"/>
  <c r="E295" i="2"/>
  <c r="D295" i="2"/>
  <c r="C295" i="2"/>
  <c r="A295" i="2"/>
  <c r="Q294" i="2"/>
  <c r="P294" i="2"/>
  <c r="O294" i="2"/>
  <c r="N294" i="2"/>
  <c r="M294" i="2"/>
  <c r="L294" i="2"/>
  <c r="K294" i="2"/>
  <c r="J294" i="2"/>
  <c r="I294" i="2"/>
  <c r="H294" i="2"/>
  <c r="G294" i="2"/>
  <c r="F294" i="2"/>
  <c r="E294" i="2"/>
  <c r="D294" i="2"/>
  <c r="C294" i="2"/>
  <c r="A294" i="2"/>
  <c r="Q293" i="2"/>
  <c r="P293" i="2"/>
  <c r="O293" i="2"/>
  <c r="N293" i="2"/>
  <c r="M293" i="2"/>
  <c r="L293" i="2"/>
  <c r="K293" i="2"/>
  <c r="J293" i="2"/>
  <c r="I293" i="2"/>
  <c r="H293" i="2"/>
  <c r="G293" i="2"/>
  <c r="F293" i="2"/>
  <c r="E293" i="2"/>
  <c r="D293" i="2"/>
  <c r="C293" i="2"/>
  <c r="A293" i="2"/>
  <c r="Q292" i="2"/>
  <c r="P292" i="2"/>
  <c r="O292" i="2"/>
  <c r="N292" i="2"/>
  <c r="M292" i="2"/>
  <c r="L292" i="2"/>
  <c r="K292" i="2"/>
  <c r="J292" i="2"/>
  <c r="I292" i="2"/>
  <c r="H292" i="2"/>
  <c r="G292" i="2"/>
  <c r="F292" i="2"/>
  <c r="E292" i="2"/>
  <c r="D292" i="2"/>
  <c r="C292" i="2"/>
  <c r="A292" i="2"/>
  <c r="Q291" i="2"/>
  <c r="P291" i="2"/>
  <c r="O291" i="2"/>
  <c r="N291" i="2"/>
  <c r="M291" i="2"/>
  <c r="L291" i="2"/>
  <c r="K291" i="2"/>
  <c r="J291" i="2"/>
  <c r="I291" i="2"/>
  <c r="H291" i="2"/>
  <c r="G291" i="2"/>
  <c r="F291" i="2"/>
  <c r="E291" i="2"/>
  <c r="D291" i="2"/>
  <c r="C291" i="2"/>
  <c r="A291" i="2"/>
  <c r="Q290" i="2"/>
  <c r="P290" i="2"/>
  <c r="O290" i="2"/>
  <c r="N290" i="2"/>
  <c r="M290" i="2"/>
  <c r="L290" i="2"/>
  <c r="K290" i="2"/>
  <c r="J290" i="2"/>
  <c r="I290" i="2"/>
  <c r="H290" i="2"/>
  <c r="G290" i="2"/>
  <c r="F290" i="2"/>
  <c r="E290" i="2"/>
  <c r="D290" i="2"/>
  <c r="C290" i="2"/>
  <c r="A290" i="2"/>
  <c r="Q289" i="2"/>
  <c r="P289" i="2"/>
  <c r="O289" i="2"/>
  <c r="N289" i="2"/>
  <c r="M289" i="2"/>
  <c r="L289" i="2"/>
  <c r="K289" i="2"/>
  <c r="J289" i="2"/>
  <c r="I289" i="2"/>
  <c r="H289" i="2"/>
  <c r="G289" i="2"/>
  <c r="F289" i="2"/>
  <c r="E289" i="2"/>
  <c r="D289" i="2"/>
  <c r="C289" i="2"/>
  <c r="A289" i="2"/>
  <c r="Q288" i="2"/>
  <c r="P288" i="2"/>
  <c r="O288" i="2"/>
  <c r="N288" i="2"/>
  <c r="M288" i="2"/>
  <c r="L288" i="2"/>
  <c r="K288" i="2"/>
  <c r="J288" i="2"/>
  <c r="I288" i="2"/>
  <c r="H288" i="2"/>
  <c r="G288" i="2"/>
  <c r="F288" i="2"/>
  <c r="E288" i="2"/>
  <c r="D288" i="2"/>
  <c r="C288" i="2"/>
  <c r="A288" i="2"/>
  <c r="Q287" i="2"/>
  <c r="P287" i="2"/>
  <c r="O287" i="2"/>
  <c r="N287" i="2"/>
  <c r="M287" i="2"/>
  <c r="L287" i="2"/>
  <c r="K287" i="2"/>
  <c r="J287" i="2"/>
  <c r="I287" i="2"/>
  <c r="H287" i="2"/>
  <c r="G287" i="2"/>
  <c r="F287" i="2"/>
  <c r="E287" i="2"/>
  <c r="D287" i="2"/>
  <c r="C287" i="2"/>
  <c r="A287" i="2"/>
  <c r="Q286" i="2"/>
  <c r="P286" i="2"/>
  <c r="O286" i="2"/>
  <c r="N286" i="2"/>
  <c r="M286" i="2"/>
  <c r="L286" i="2"/>
  <c r="K286" i="2"/>
  <c r="J286" i="2"/>
  <c r="I286" i="2"/>
  <c r="H286" i="2"/>
  <c r="G286" i="2"/>
  <c r="F286" i="2"/>
  <c r="E286" i="2"/>
  <c r="D286" i="2"/>
  <c r="C286" i="2"/>
  <c r="A286" i="2"/>
  <c r="Q285" i="2"/>
  <c r="P285" i="2"/>
  <c r="O285" i="2"/>
  <c r="N285" i="2"/>
  <c r="M285" i="2"/>
  <c r="L285" i="2"/>
  <c r="K285" i="2"/>
  <c r="J285" i="2"/>
  <c r="I285" i="2"/>
  <c r="H285" i="2"/>
  <c r="G285" i="2"/>
  <c r="F285" i="2"/>
  <c r="E285" i="2"/>
  <c r="D285" i="2"/>
  <c r="C285" i="2"/>
  <c r="A285" i="2"/>
  <c r="Q284" i="2"/>
  <c r="P284" i="2"/>
  <c r="O284" i="2"/>
  <c r="N284" i="2"/>
  <c r="M284" i="2"/>
  <c r="L284" i="2"/>
  <c r="K284" i="2"/>
  <c r="J284" i="2"/>
  <c r="I284" i="2"/>
  <c r="H284" i="2"/>
  <c r="G284" i="2"/>
  <c r="F284" i="2"/>
  <c r="E284" i="2"/>
  <c r="D284" i="2"/>
  <c r="C284" i="2"/>
  <c r="A284" i="2"/>
  <c r="Q283" i="2"/>
  <c r="P283" i="2"/>
  <c r="O283" i="2"/>
  <c r="N283" i="2"/>
  <c r="M283" i="2"/>
  <c r="L283" i="2"/>
  <c r="K283" i="2"/>
  <c r="J283" i="2"/>
  <c r="I283" i="2"/>
  <c r="H283" i="2"/>
  <c r="G283" i="2"/>
  <c r="F283" i="2"/>
  <c r="E283" i="2"/>
  <c r="D283" i="2"/>
  <c r="C283" i="2"/>
  <c r="A283" i="2"/>
  <c r="Q282" i="2"/>
  <c r="P282" i="2"/>
  <c r="O282" i="2"/>
  <c r="N282" i="2"/>
  <c r="M282" i="2"/>
  <c r="L282" i="2"/>
  <c r="K282" i="2"/>
  <c r="J282" i="2"/>
  <c r="I282" i="2"/>
  <c r="H282" i="2"/>
  <c r="G282" i="2"/>
  <c r="F282" i="2"/>
  <c r="E282" i="2"/>
  <c r="D282" i="2"/>
  <c r="C282" i="2"/>
  <c r="A282" i="2"/>
  <c r="Q281" i="2"/>
  <c r="P281" i="2"/>
  <c r="O281" i="2"/>
  <c r="N281" i="2"/>
  <c r="M281" i="2"/>
  <c r="L281" i="2"/>
  <c r="K281" i="2"/>
  <c r="J281" i="2"/>
  <c r="I281" i="2"/>
  <c r="H281" i="2"/>
  <c r="G281" i="2"/>
  <c r="F281" i="2"/>
  <c r="E281" i="2"/>
  <c r="D281" i="2"/>
  <c r="C281" i="2"/>
  <c r="A281" i="2"/>
  <c r="Q280" i="2"/>
  <c r="P280" i="2"/>
  <c r="O280" i="2"/>
  <c r="N280" i="2"/>
  <c r="M280" i="2"/>
  <c r="L280" i="2"/>
  <c r="K280" i="2"/>
  <c r="J280" i="2"/>
  <c r="I280" i="2"/>
  <c r="H280" i="2"/>
  <c r="G280" i="2"/>
  <c r="F280" i="2"/>
  <c r="E280" i="2"/>
  <c r="D280" i="2"/>
  <c r="C280" i="2"/>
  <c r="A280" i="2"/>
  <c r="Q279" i="2"/>
  <c r="P279" i="2"/>
  <c r="O279" i="2"/>
  <c r="N279" i="2"/>
  <c r="M279" i="2"/>
  <c r="L279" i="2"/>
  <c r="K279" i="2"/>
  <c r="J279" i="2"/>
  <c r="I279" i="2"/>
  <c r="H279" i="2"/>
  <c r="G279" i="2"/>
  <c r="F279" i="2"/>
  <c r="E279" i="2"/>
  <c r="D279" i="2"/>
  <c r="C279" i="2"/>
  <c r="A279" i="2"/>
  <c r="Q278" i="2"/>
  <c r="P278" i="2"/>
  <c r="O278" i="2"/>
  <c r="N278" i="2"/>
  <c r="M278" i="2"/>
  <c r="L278" i="2"/>
  <c r="K278" i="2"/>
  <c r="J278" i="2"/>
  <c r="I278" i="2"/>
  <c r="H278" i="2"/>
  <c r="G278" i="2"/>
  <c r="F278" i="2"/>
  <c r="E278" i="2"/>
  <c r="D278" i="2"/>
  <c r="C278" i="2"/>
  <c r="A278" i="2"/>
  <c r="Q277" i="2"/>
  <c r="P277" i="2"/>
  <c r="O277" i="2"/>
  <c r="N277" i="2"/>
  <c r="M277" i="2"/>
  <c r="L277" i="2"/>
  <c r="K277" i="2"/>
  <c r="J277" i="2"/>
  <c r="I277" i="2"/>
  <c r="H277" i="2"/>
  <c r="G277" i="2"/>
  <c r="F277" i="2"/>
  <c r="E277" i="2"/>
  <c r="D277" i="2"/>
  <c r="C277" i="2"/>
  <c r="A277" i="2"/>
  <c r="Q276" i="2"/>
  <c r="P276" i="2"/>
  <c r="O276" i="2"/>
  <c r="N276" i="2"/>
  <c r="M276" i="2"/>
  <c r="L276" i="2"/>
  <c r="K276" i="2"/>
  <c r="J276" i="2"/>
  <c r="I276" i="2"/>
  <c r="H276" i="2"/>
  <c r="G276" i="2"/>
  <c r="F276" i="2"/>
  <c r="E276" i="2"/>
  <c r="D276" i="2"/>
  <c r="C276" i="2"/>
  <c r="A276" i="2"/>
  <c r="Q275" i="2"/>
  <c r="P275" i="2"/>
  <c r="O275" i="2"/>
  <c r="N275" i="2"/>
  <c r="M275" i="2"/>
  <c r="L275" i="2"/>
  <c r="K275" i="2"/>
  <c r="J275" i="2"/>
  <c r="I275" i="2"/>
  <c r="H275" i="2"/>
  <c r="G275" i="2"/>
  <c r="F275" i="2"/>
  <c r="E275" i="2"/>
  <c r="D275" i="2"/>
  <c r="C275" i="2"/>
  <c r="A275" i="2"/>
  <c r="Q274" i="2"/>
  <c r="P274" i="2"/>
  <c r="O274" i="2"/>
  <c r="N274" i="2"/>
  <c r="M274" i="2"/>
  <c r="L274" i="2"/>
  <c r="K274" i="2"/>
  <c r="J274" i="2"/>
  <c r="I274" i="2"/>
  <c r="H274" i="2"/>
  <c r="G274" i="2"/>
  <c r="F274" i="2"/>
  <c r="E274" i="2"/>
  <c r="D274" i="2"/>
  <c r="C274" i="2"/>
  <c r="A274" i="2"/>
  <c r="Q273" i="2"/>
  <c r="P273" i="2"/>
  <c r="O273" i="2"/>
  <c r="N273" i="2"/>
  <c r="M273" i="2"/>
  <c r="L273" i="2"/>
  <c r="K273" i="2"/>
  <c r="J273" i="2"/>
  <c r="I273" i="2"/>
  <c r="H273" i="2"/>
  <c r="G273" i="2"/>
  <c r="F273" i="2"/>
  <c r="E273" i="2"/>
  <c r="D273" i="2"/>
  <c r="C273" i="2"/>
  <c r="A273" i="2"/>
  <c r="Q272" i="2"/>
  <c r="P272" i="2"/>
  <c r="O272" i="2"/>
  <c r="N272" i="2"/>
  <c r="M272" i="2"/>
  <c r="L272" i="2"/>
  <c r="K272" i="2"/>
  <c r="J272" i="2"/>
  <c r="I272" i="2"/>
  <c r="H272" i="2"/>
  <c r="G272" i="2"/>
  <c r="F272" i="2"/>
  <c r="E272" i="2"/>
  <c r="D272" i="2"/>
  <c r="C272" i="2"/>
  <c r="A272" i="2"/>
  <c r="Q271" i="2"/>
  <c r="P271" i="2"/>
  <c r="O271" i="2"/>
  <c r="N271" i="2"/>
  <c r="M271" i="2"/>
  <c r="L271" i="2"/>
  <c r="K271" i="2"/>
  <c r="J271" i="2"/>
  <c r="I271" i="2"/>
  <c r="H271" i="2"/>
  <c r="G271" i="2"/>
  <c r="F271" i="2"/>
  <c r="E271" i="2"/>
  <c r="D271" i="2"/>
  <c r="C271" i="2"/>
  <c r="A271" i="2"/>
  <c r="Q270" i="2"/>
  <c r="P270" i="2"/>
  <c r="O270" i="2"/>
  <c r="N270" i="2"/>
  <c r="M270" i="2"/>
  <c r="L270" i="2"/>
  <c r="K270" i="2"/>
  <c r="J270" i="2"/>
  <c r="I270" i="2"/>
  <c r="H270" i="2"/>
  <c r="G270" i="2"/>
  <c r="F270" i="2"/>
  <c r="E270" i="2"/>
  <c r="D270" i="2"/>
  <c r="C270" i="2"/>
  <c r="A270" i="2"/>
  <c r="Q269" i="2"/>
  <c r="P269" i="2"/>
  <c r="O269" i="2"/>
  <c r="N269" i="2"/>
  <c r="M269" i="2"/>
  <c r="L269" i="2"/>
  <c r="K269" i="2"/>
  <c r="J269" i="2"/>
  <c r="I269" i="2"/>
  <c r="H269" i="2"/>
  <c r="G269" i="2"/>
  <c r="F269" i="2"/>
  <c r="E269" i="2"/>
  <c r="D269" i="2"/>
  <c r="C269" i="2"/>
  <c r="A269" i="2"/>
  <c r="Q268" i="2"/>
  <c r="P268" i="2"/>
  <c r="O268" i="2"/>
  <c r="N268" i="2"/>
  <c r="M268" i="2"/>
  <c r="L268" i="2"/>
  <c r="K268" i="2"/>
  <c r="J268" i="2"/>
  <c r="I268" i="2"/>
  <c r="H268" i="2"/>
  <c r="G268" i="2"/>
  <c r="F268" i="2"/>
  <c r="E268" i="2"/>
  <c r="D268" i="2"/>
  <c r="C268" i="2"/>
  <c r="A268" i="2"/>
  <c r="Q267" i="2"/>
  <c r="P267" i="2"/>
  <c r="O267" i="2"/>
  <c r="N267" i="2"/>
  <c r="M267" i="2"/>
  <c r="L267" i="2"/>
  <c r="K267" i="2"/>
  <c r="J267" i="2"/>
  <c r="I267" i="2"/>
  <c r="H267" i="2"/>
  <c r="G267" i="2"/>
  <c r="F267" i="2"/>
  <c r="E267" i="2"/>
  <c r="D267" i="2"/>
  <c r="C267" i="2"/>
  <c r="A267" i="2"/>
  <c r="Q266" i="2"/>
  <c r="P266" i="2"/>
  <c r="O266" i="2"/>
  <c r="N266" i="2"/>
  <c r="M266" i="2"/>
  <c r="L266" i="2"/>
  <c r="K266" i="2"/>
  <c r="J266" i="2"/>
  <c r="I266" i="2"/>
  <c r="H266" i="2"/>
  <c r="G266" i="2"/>
  <c r="F266" i="2"/>
  <c r="E266" i="2"/>
  <c r="D266" i="2"/>
  <c r="C266" i="2"/>
  <c r="A266" i="2"/>
  <c r="Q265" i="2"/>
  <c r="P265" i="2"/>
  <c r="O265" i="2"/>
  <c r="N265" i="2"/>
  <c r="M265" i="2"/>
  <c r="L265" i="2"/>
  <c r="K265" i="2"/>
  <c r="J265" i="2"/>
  <c r="I265" i="2"/>
  <c r="H265" i="2"/>
  <c r="G265" i="2"/>
  <c r="F265" i="2"/>
  <c r="E265" i="2"/>
  <c r="D265" i="2"/>
  <c r="C265" i="2"/>
  <c r="A265" i="2"/>
  <c r="Q264" i="2"/>
  <c r="P264" i="2"/>
  <c r="O264" i="2"/>
  <c r="N264" i="2"/>
  <c r="M264" i="2"/>
  <c r="L264" i="2"/>
  <c r="K264" i="2"/>
  <c r="J264" i="2"/>
  <c r="I264" i="2"/>
  <c r="H264" i="2"/>
  <c r="G264" i="2"/>
  <c r="F264" i="2"/>
  <c r="E264" i="2"/>
  <c r="D264" i="2"/>
  <c r="C264" i="2"/>
  <c r="A264" i="2"/>
  <c r="Q263" i="2"/>
  <c r="P263" i="2"/>
  <c r="O263" i="2"/>
  <c r="N263" i="2"/>
  <c r="M263" i="2"/>
  <c r="L263" i="2"/>
  <c r="K263" i="2"/>
  <c r="J263" i="2"/>
  <c r="I263" i="2"/>
  <c r="H263" i="2"/>
  <c r="G263" i="2"/>
  <c r="F263" i="2"/>
  <c r="E263" i="2"/>
  <c r="D263" i="2"/>
  <c r="C263" i="2"/>
  <c r="A263" i="2"/>
  <c r="Q262" i="2"/>
  <c r="P262" i="2"/>
  <c r="O262" i="2"/>
  <c r="N262" i="2"/>
  <c r="M262" i="2"/>
  <c r="L262" i="2"/>
  <c r="K262" i="2"/>
  <c r="J262" i="2"/>
  <c r="I262" i="2"/>
  <c r="H262" i="2"/>
  <c r="G262" i="2"/>
  <c r="F262" i="2"/>
  <c r="E262" i="2"/>
  <c r="D262" i="2"/>
  <c r="C262" i="2"/>
  <c r="A262" i="2"/>
  <c r="Q261" i="2"/>
  <c r="P261" i="2"/>
  <c r="O261" i="2"/>
  <c r="N261" i="2"/>
  <c r="M261" i="2"/>
  <c r="L261" i="2"/>
  <c r="K261" i="2"/>
  <c r="J261" i="2"/>
  <c r="I261" i="2"/>
  <c r="H261" i="2"/>
  <c r="G261" i="2"/>
  <c r="F261" i="2"/>
  <c r="E261" i="2"/>
  <c r="D261" i="2"/>
  <c r="C261" i="2"/>
  <c r="A261" i="2"/>
  <c r="Q260" i="2"/>
  <c r="P260" i="2"/>
  <c r="O260" i="2"/>
  <c r="N260" i="2"/>
  <c r="M260" i="2"/>
  <c r="L260" i="2"/>
  <c r="K260" i="2"/>
  <c r="J260" i="2"/>
  <c r="I260" i="2"/>
  <c r="H260" i="2"/>
  <c r="G260" i="2"/>
  <c r="F260" i="2"/>
  <c r="E260" i="2"/>
  <c r="D260" i="2"/>
  <c r="C260" i="2"/>
  <c r="A260" i="2"/>
  <c r="Q259" i="2"/>
  <c r="P259" i="2"/>
  <c r="O259" i="2"/>
  <c r="N259" i="2"/>
  <c r="M259" i="2"/>
  <c r="L259" i="2"/>
  <c r="K259" i="2"/>
  <c r="J259" i="2"/>
  <c r="I259" i="2"/>
  <c r="H259" i="2"/>
  <c r="G259" i="2"/>
  <c r="F259" i="2"/>
  <c r="E259" i="2"/>
  <c r="D259" i="2"/>
  <c r="C259" i="2"/>
  <c r="A259" i="2"/>
  <c r="Q258" i="2"/>
  <c r="P258" i="2"/>
  <c r="O258" i="2"/>
  <c r="N258" i="2"/>
  <c r="M258" i="2"/>
  <c r="L258" i="2"/>
  <c r="K258" i="2"/>
  <c r="J258" i="2"/>
  <c r="I258" i="2"/>
  <c r="H258" i="2"/>
  <c r="G258" i="2"/>
  <c r="F258" i="2"/>
  <c r="E258" i="2"/>
  <c r="D258" i="2"/>
  <c r="C258" i="2"/>
  <c r="A258" i="2"/>
  <c r="Q257" i="2"/>
  <c r="P257" i="2"/>
  <c r="O257" i="2"/>
  <c r="N257" i="2"/>
  <c r="M257" i="2"/>
  <c r="L257" i="2"/>
  <c r="K257" i="2"/>
  <c r="J257" i="2"/>
  <c r="I257" i="2"/>
  <c r="H257" i="2"/>
  <c r="G257" i="2"/>
  <c r="F257" i="2"/>
  <c r="E257" i="2"/>
  <c r="D257" i="2"/>
  <c r="C257" i="2"/>
  <c r="A257" i="2"/>
  <c r="Q256" i="2"/>
  <c r="P256" i="2"/>
  <c r="O256" i="2"/>
  <c r="N256" i="2"/>
  <c r="M256" i="2"/>
  <c r="L256" i="2"/>
  <c r="K256" i="2"/>
  <c r="J256" i="2"/>
  <c r="I256" i="2"/>
  <c r="H256" i="2"/>
  <c r="G256" i="2"/>
  <c r="F256" i="2"/>
  <c r="E256" i="2"/>
  <c r="D256" i="2"/>
  <c r="C256" i="2"/>
  <c r="A256" i="2"/>
  <c r="Q255" i="2"/>
  <c r="P255" i="2"/>
  <c r="O255" i="2"/>
  <c r="N255" i="2"/>
  <c r="M255" i="2"/>
  <c r="L255" i="2"/>
  <c r="K255" i="2"/>
  <c r="J255" i="2"/>
  <c r="I255" i="2"/>
  <c r="H255" i="2"/>
  <c r="G255" i="2"/>
  <c r="F255" i="2"/>
  <c r="E255" i="2"/>
  <c r="D255" i="2"/>
  <c r="C255" i="2"/>
  <c r="A255" i="2"/>
  <c r="Q254" i="2"/>
  <c r="P254" i="2"/>
  <c r="O254" i="2"/>
  <c r="N254" i="2"/>
  <c r="M254" i="2"/>
  <c r="L254" i="2"/>
  <c r="K254" i="2"/>
  <c r="J254" i="2"/>
  <c r="I254" i="2"/>
  <c r="H254" i="2"/>
  <c r="G254" i="2"/>
  <c r="F254" i="2"/>
  <c r="E254" i="2"/>
  <c r="D254" i="2"/>
  <c r="C254" i="2"/>
  <c r="A254" i="2"/>
  <c r="Q253" i="2"/>
  <c r="P253" i="2"/>
  <c r="O253" i="2"/>
  <c r="N253" i="2"/>
  <c r="M253" i="2"/>
  <c r="L253" i="2"/>
  <c r="K253" i="2"/>
  <c r="J253" i="2"/>
  <c r="I253" i="2"/>
  <c r="H253" i="2"/>
  <c r="G253" i="2"/>
  <c r="F253" i="2"/>
  <c r="E253" i="2"/>
  <c r="D253" i="2"/>
  <c r="C253" i="2"/>
  <c r="A253" i="2"/>
  <c r="Q252" i="2"/>
  <c r="P252" i="2"/>
  <c r="O252" i="2"/>
  <c r="N252" i="2"/>
  <c r="M252" i="2"/>
  <c r="L252" i="2"/>
  <c r="K252" i="2"/>
  <c r="J252" i="2"/>
  <c r="I252" i="2"/>
  <c r="H252" i="2"/>
  <c r="G252" i="2"/>
  <c r="F252" i="2"/>
  <c r="E252" i="2"/>
  <c r="D252" i="2"/>
  <c r="C252" i="2"/>
  <c r="A252" i="2"/>
  <c r="Q251" i="2"/>
  <c r="P251" i="2"/>
  <c r="O251" i="2"/>
  <c r="N251" i="2"/>
  <c r="M251" i="2"/>
  <c r="L251" i="2"/>
  <c r="K251" i="2"/>
  <c r="J251" i="2"/>
  <c r="I251" i="2"/>
  <c r="H251" i="2"/>
  <c r="G251" i="2"/>
  <c r="F251" i="2"/>
  <c r="E251" i="2"/>
  <c r="D251" i="2"/>
  <c r="C251" i="2"/>
  <c r="A251" i="2"/>
  <c r="Q250" i="2"/>
  <c r="P250" i="2"/>
  <c r="O250" i="2"/>
  <c r="N250" i="2"/>
  <c r="M250" i="2"/>
  <c r="L250" i="2"/>
  <c r="K250" i="2"/>
  <c r="J250" i="2"/>
  <c r="I250" i="2"/>
  <c r="H250" i="2"/>
  <c r="G250" i="2"/>
  <c r="F250" i="2"/>
  <c r="E250" i="2"/>
  <c r="D250" i="2"/>
  <c r="C250" i="2"/>
  <c r="A250" i="2"/>
  <c r="Q249" i="2"/>
  <c r="P249" i="2"/>
  <c r="O249" i="2"/>
  <c r="N249" i="2"/>
  <c r="M249" i="2"/>
  <c r="L249" i="2"/>
  <c r="K249" i="2"/>
  <c r="J249" i="2"/>
  <c r="I249" i="2"/>
  <c r="H249" i="2"/>
  <c r="G249" i="2"/>
  <c r="F249" i="2"/>
  <c r="E249" i="2"/>
  <c r="D249" i="2"/>
  <c r="C249" i="2"/>
  <c r="A249" i="2"/>
  <c r="Q248" i="2"/>
  <c r="P248" i="2"/>
  <c r="O248" i="2"/>
  <c r="N248" i="2"/>
  <c r="M248" i="2"/>
  <c r="L248" i="2"/>
  <c r="K248" i="2"/>
  <c r="J248" i="2"/>
  <c r="I248" i="2"/>
  <c r="H248" i="2"/>
  <c r="G248" i="2"/>
  <c r="F248" i="2"/>
  <c r="E248" i="2"/>
  <c r="D248" i="2"/>
  <c r="C248" i="2"/>
  <c r="A248" i="2"/>
  <c r="Q247" i="2"/>
  <c r="P247" i="2"/>
  <c r="O247" i="2"/>
  <c r="N247" i="2"/>
  <c r="M247" i="2"/>
  <c r="L247" i="2"/>
  <c r="K247" i="2"/>
  <c r="J247" i="2"/>
  <c r="I247" i="2"/>
  <c r="H247" i="2"/>
  <c r="G247" i="2"/>
  <c r="F247" i="2"/>
  <c r="E247" i="2"/>
  <c r="D247" i="2"/>
  <c r="C247" i="2"/>
  <c r="A247" i="2"/>
  <c r="Q246" i="2"/>
  <c r="P246" i="2"/>
  <c r="O246" i="2"/>
  <c r="N246" i="2"/>
  <c r="M246" i="2"/>
  <c r="L246" i="2"/>
  <c r="K246" i="2"/>
  <c r="J246" i="2"/>
  <c r="I246" i="2"/>
  <c r="H246" i="2"/>
  <c r="G246" i="2"/>
  <c r="F246" i="2"/>
  <c r="E246" i="2"/>
  <c r="D246" i="2"/>
  <c r="C246" i="2"/>
  <c r="A246" i="2"/>
  <c r="Q245" i="2"/>
  <c r="P245" i="2"/>
  <c r="O245" i="2"/>
  <c r="N245" i="2"/>
  <c r="M245" i="2"/>
  <c r="L245" i="2"/>
  <c r="K245" i="2"/>
  <c r="J245" i="2"/>
  <c r="I245" i="2"/>
  <c r="H245" i="2"/>
  <c r="G245" i="2"/>
  <c r="F245" i="2"/>
  <c r="E245" i="2"/>
  <c r="D245" i="2"/>
  <c r="C245" i="2"/>
  <c r="A245" i="2"/>
  <c r="Q244" i="2"/>
  <c r="P244" i="2"/>
  <c r="O244" i="2"/>
  <c r="N244" i="2"/>
  <c r="M244" i="2"/>
  <c r="L244" i="2"/>
  <c r="K244" i="2"/>
  <c r="J244" i="2"/>
  <c r="I244" i="2"/>
  <c r="H244" i="2"/>
  <c r="G244" i="2"/>
  <c r="F244" i="2"/>
  <c r="E244" i="2"/>
  <c r="D244" i="2"/>
  <c r="C244" i="2"/>
  <c r="A244" i="2"/>
  <c r="Q243" i="2"/>
  <c r="P243" i="2"/>
  <c r="O243" i="2"/>
  <c r="N243" i="2"/>
  <c r="M243" i="2"/>
  <c r="L243" i="2"/>
  <c r="K243" i="2"/>
  <c r="J243" i="2"/>
  <c r="I243" i="2"/>
  <c r="H243" i="2"/>
  <c r="G243" i="2"/>
  <c r="F243" i="2"/>
  <c r="E243" i="2"/>
  <c r="D243" i="2"/>
  <c r="C243" i="2"/>
  <c r="A243" i="2"/>
  <c r="Q242" i="2"/>
  <c r="P242" i="2"/>
  <c r="O242" i="2"/>
  <c r="N242" i="2"/>
  <c r="M242" i="2"/>
  <c r="L242" i="2"/>
  <c r="K242" i="2"/>
  <c r="J242" i="2"/>
  <c r="I242" i="2"/>
  <c r="H242" i="2"/>
  <c r="G242" i="2"/>
  <c r="F242" i="2"/>
  <c r="E242" i="2"/>
  <c r="D242" i="2"/>
  <c r="C242" i="2"/>
  <c r="A242" i="2"/>
  <c r="Q241" i="2"/>
  <c r="P241" i="2"/>
  <c r="O241" i="2"/>
  <c r="N241" i="2"/>
  <c r="M241" i="2"/>
  <c r="L241" i="2"/>
  <c r="K241" i="2"/>
  <c r="J241" i="2"/>
  <c r="I241" i="2"/>
  <c r="H241" i="2"/>
  <c r="G241" i="2"/>
  <c r="F241" i="2"/>
  <c r="E241" i="2"/>
  <c r="D241" i="2"/>
  <c r="C241" i="2"/>
  <c r="A241" i="2"/>
  <c r="Q240" i="2"/>
  <c r="P240" i="2"/>
  <c r="O240" i="2"/>
  <c r="N240" i="2"/>
  <c r="M240" i="2"/>
  <c r="L240" i="2"/>
  <c r="K240" i="2"/>
  <c r="J240" i="2"/>
  <c r="I240" i="2"/>
  <c r="H240" i="2"/>
  <c r="G240" i="2"/>
  <c r="F240" i="2"/>
  <c r="E240" i="2"/>
  <c r="D240" i="2"/>
  <c r="C240" i="2"/>
  <c r="A240" i="2"/>
  <c r="Q239" i="2"/>
  <c r="P239" i="2"/>
  <c r="O239" i="2"/>
  <c r="N239" i="2"/>
  <c r="M239" i="2"/>
  <c r="L239" i="2"/>
  <c r="K239" i="2"/>
  <c r="J239" i="2"/>
  <c r="I239" i="2"/>
  <c r="H239" i="2"/>
  <c r="G239" i="2"/>
  <c r="F239" i="2"/>
  <c r="E239" i="2"/>
  <c r="D239" i="2"/>
  <c r="C239" i="2"/>
  <c r="A239" i="2"/>
  <c r="Q238" i="2"/>
  <c r="P238" i="2"/>
  <c r="O238" i="2"/>
  <c r="N238" i="2"/>
  <c r="M238" i="2"/>
  <c r="L238" i="2"/>
  <c r="K238" i="2"/>
  <c r="J238" i="2"/>
  <c r="I238" i="2"/>
  <c r="H238" i="2"/>
  <c r="G238" i="2"/>
  <c r="F238" i="2"/>
  <c r="E238" i="2"/>
  <c r="D238" i="2"/>
  <c r="C238" i="2"/>
  <c r="A238" i="2"/>
  <c r="Q237" i="2"/>
  <c r="P237" i="2"/>
  <c r="O237" i="2"/>
  <c r="N237" i="2"/>
  <c r="M237" i="2"/>
  <c r="L237" i="2"/>
  <c r="K237" i="2"/>
  <c r="J237" i="2"/>
  <c r="I237" i="2"/>
  <c r="H237" i="2"/>
  <c r="G237" i="2"/>
  <c r="F237" i="2"/>
  <c r="E237" i="2"/>
  <c r="D237" i="2"/>
  <c r="C237" i="2"/>
  <c r="A237" i="2"/>
  <c r="Q236" i="2"/>
  <c r="P236" i="2"/>
  <c r="O236" i="2"/>
  <c r="N236" i="2"/>
  <c r="M236" i="2"/>
  <c r="L236" i="2"/>
  <c r="K236" i="2"/>
  <c r="J236" i="2"/>
  <c r="I236" i="2"/>
  <c r="H236" i="2"/>
  <c r="G236" i="2"/>
  <c r="F236" i="2"/>
  <c r="E236" i="2"/>
  <c r="D236" i="2"/>
  <c r="C236" i="2"/>
  <c r="A236" i="2"/>
  <c r="Q235" i="2"/>
  <c r="P235" i="2"/>
  <c r="O235" i="2"/>
  <c r="N235" i="2"/>
  <c r="M235" i="2"/>
  <c r="L235" i="2"/>
  <c r="K235" i="2"/>
  <c r="J235" i="2"/>
  <c r="I235" i="2"/>
  <c r="H235" i="2"/>
  <c r="G235" i="2"/>
  <c r="F235" i="2"/>
  <c r="E235" i="2"/>
  <c r="D235" i="2"/>
  <c r="C235" i="2"/>
  <c r="A235" i="2"/>
  <c r="Q234" i="2"/>
  <c r="P234" i="2"/>
  <c r="O234" i="2"/>
  <c r="N234" i="2"/>
  <c r="M234" i="2"/>
  <c r="L234" i="2"/>
  <c r="K234" i="2"/>
  <c r="J234" i="2"/>
  <c r="I234" i="2"/>
  <c r="H234" i="2"/>
  <c r="G234" i="2"/>
  <c r="F234" i="2"/>
  <c r="E234" i="2"/>
  <c r="D234" i="2"/>
  <c r="C234" i="2"/>
  <c r="A234" i="2"/>
  <c r="Q233" i="2"/>
  <c r="P233" i="2"/>
  <c r="O233" i="2"/>
  <c r="N233" i="2"/>
  <c r="M233" i="2"/>
  <c r="L233" i="2"/>
  <c r="K233" i="2"/>
  <c r="J233" i="2"/>
  <c r="I233" i="2"/>
  <c r="H233" i="2"/>
  <c r="G233" i="2"/>
  <c r="F233" i="2"/>
  <c r="E233" i="2"/>
  <c r="D233" i="2"/>
  <c r="C233" i="2"/>
  <c r="A233" i="2"/>
  <c r="Q232" i="2"/>
  <c r="P232" i="2"/>
  <c r="O232" i="2"/>
  <c r="N232" i="2"/>
  <c r="M232" i="2"/>
  <c r="L232" i="2"/>
  <c r="K232" i="2"/>
  <c r="J232" i="2"/>
  <c r="I232" i="2"/>
  <c r="H232" i="2"/>
  <c r="G232" i="2"/>
  <c r="F232" i="2"/>
  <c r="E232" i="2"/>
  <c r="D232" i="2"/>
  <c r="C232" i="2"/>
  <c r="A232" i="2"/>
  <c r="Q231" i="2"/>
  <c r="P231" i="2"/>
  <c r="O231" i="2"/>
  <c r="N231" i="2"/>
  <c r="M231" i="2"/>
  <c r="L231" i="2"/>
  <c r="K231" i="2"/>
  <c r="J231" i="2"/>
  <c r="I231" i="2"/>
  <c r="H231" i="2"/>
  <c r="G231" i="2"/>
  <c r="F231" i="2"/>
  <c r="E231" i="2"/>
  <c r="D231" i="2"/>
  <c r="C231" i="2"/>
  <c r="A231" i="2"/>
  <c r="Q230" i="2"/>
  <c r="P230" i="2"/>
  <c r="O230" i="2"/>
  <c r="N230" i="2"/>
  <c r="M230" i="2"/>
  <c r="L230" i="2"/>
  <c r="K230" i="2"/>
  <c r="J230" i="2"/>
  <c r="I230" i="2"/>
  <c r="H230" i="2"/>
  <c r="G230" i="2"/>
  <c r="F230" i="2"/>
  <c r="E230" i="2"/>
  <c r="D230" i="2"/>
  <c r="C230" i="2"/>
  <c r="A230" i="2"/>
  <c r="Q229" i="2"/>
  <c r="P229" i="2"/>
  <c r="O229" i="2"/>
  <c r="N229" i="2"/>
  <c r="M229" i="2"/>
  <c r="L229" i="2"/>
  <c r="K229" i="2"/>
  <c r="J229" i="2"/>
  <c r="I229" i="2"/>
  <c r="H229" i="2"/>
  <c r="G229" i="2"/>
  <c r="F229" i="2"/>
  <c r="E229" i="2"/>
  <c r="D229" i="2"/>
  <c r="C229" i="2"/>
  <c r="A229" i="2"/>
  <c r="Q228" i="2"/>
  <c r="P228" i="2"/>
  <c r="O228" i="2"/>
  <c r="N228" i="2"/>
  <c r="M228" i="2"/>
  <c r="L228" i="2"/>
  <c r="K228" i="2"/>
  <c r="J228" i="2"/>
  <c r="I228" i="2"/>
  <c r="H228" i="2"/>
  <c r="G228" i="2"/>
  <c r="F228" i="2"/>
  <c r="E228" i="2"/>
  <c r="D228" i="2"/>
  <c r="C228" i="2"/>
  <c r="A228" i="2"/>
  <c r="Q227" i="2"/>
  <c r="P227" i="2"/>
  <c r="O227" i="2"/>
  <c r="N227" i="2"/>
  <c r="M227" i="2"/>
  <c r="L227" i="2"/>
  <c r="K227" i="2"/>
  <c r="J227" i="2"/>
  <c r="I227" i="2"/>
  <c r="H227" i="2"/>
  <c r="G227" i="2"/>
  <c r="F227" i="2"/>
  <c r="E227" i="2"/>
  <c r="D227" i="2"/>
  <c r="C227" i="2"/>
  <c r="A227" i="2"/>
  <c r="Q226" i="2"/>
  <c r="P226" i="2"/>
  <c r="O226" i="2"/>
  <c r="N226" i="2"/>
  <c r="M226" i="2"/>
  <c r="L226" i="2"/>
  <c r="K226" i="2"/>
  <c r="J226" i="2"/>
  <c r="I226" i="2"/>
  <c r="H226" i="2"/>
  <c r="G226" i="2"/>
  <c r="F226" i="2"/>
  <c r="E226" i="2"/>
  <c r="D226" i="2"/>
  <c r="C226" i="2"/>
  <c r="A226" i="2"/>
  <c r="Q225" i="2"/>
  <c r="P225" i="2"/>
  <c r="O225" i="2"/>
  <c r="N225" i="2"/>
  <c r="M225" i="2"/>
  <c r="L225" i="2"/>
  <c r="K225" i="2"/>
  <c r="J225" i="2"/>
  <c r="I225" i="2"/>
  <c r="H225" i="2"/>
  <c r="G225" i="2"/>
  <c r="F225" i="2"/>
  <c r="E225" i="2"/>
  <c r="D225" i="2"/>
  <c r="C225" i="2"/>
  <c r="A225" i="2"/>
  <c r="Q224" i="2"/>
  <c r="P224" i="2"/>
  <c r="O224" i="2"/>
  <c r="N224" i="2"/>
  <c r="M224" i="2"/>
  <c r="L224" i="2"/>
  <c r="K224" i="2"/>
  <c r="J224" i="2"/>
  <c r="I224" i="2"/>
  <c r="H224" i="2"/>
  <c r="G224" i="2"/>
  <c r="F224" i="2"/>
  <c r="E224" i="2"/>
  <c r="D224" i="2"/>
  <c r="C224" i="2"/>
  <c r="A224" i="2"/>
  <c r="Q223" i="2"/>
  <c r="P223" i="2"/>
  <c r="O223" i="2"/>
  <c r="N223" i="2"/>
  <c r="M223" i="2"/>
  <c r="L223" i="2"/>
  <c r="K223" i="2"/>
  <c r="J223" i="2"/>
  <c r="I223" i="2"/>
  <c r="H223" i="2"/>
  <c r="G223" i="2"/>
  <c r="F223" i="2"/>
  <c r="E223" i="2"/>
  <c r="D223" i="2"/>
  <c r="C223" i="2"/>
  <c r="A223" i="2"/>
  <c r="Q222" i="2"/>
  <c r="P222" i="2"/>
  <c r="O222" i="2"/>
  <c r="N222" i="2"/>
  <c r="M222" i="2"/>
  <c r="L222" i="2"/>
  <c r="K222" i="2"/>
  <c r="J222" i="2"/>
  <c r="I222" i="2"/>
  <c r="H222" i="2"/>
  <c r="G222" i="2"/>
  <c r="F222" i="2"/>
  <c r="E222" i="2"/>
  <c r="D222" i="2"/>
  <c r="C222" i="2"/>
  <c r="A222" i="2"/>
  <c r="Q221" i="2"/>
  <c r="P221" i="2"/>
  <c r="O221" i="2"/>
  <c r="N221" i="2"/>
  <c r="M221" i="2"/>
  <c r="L221" i="2"/>
  <c r="K221" i="2"/>
  <c r="J221" i="2"/>
  <c r="I221" i="2"/>
  <c r="H221" i="2"/>
  <c r="G221" i="2"/>
  <c r="F221" i="2"/>
  <c r="E221" i="2"/>
  <c r="D221" i="2"/>
  <c r="C221" i="2"/>
  <c r="A221" i="2"/>
  <c r="Q220" i="2"/>
  <c r="P220" i="2"/>
  <c r="O220" i="2"/>
  <c r="N220" i="2"/>
  <c r="M220" i="2"/>
  <c r="L220" i="2"/>
  <c r="K220" i="2"/>
  <c r="J220" i="2"/>
  <c r="I220" i="2"/>
  <c r="H220" i="2"/>
  <c r="G220" i="2"/>
  <c r="F220" i="2"/>
  <c r="E220" i="2"/>
  <c r="D220" i="2"/>
  <c r="C220" i="2"/>
  <c r="A220" i="2"/>
  <c r="Q219" i="2"/>
  <c r="P219" i="2"/>
  <c r="O219" i="2"/>
  <c r="N219" i="2"/>
  <c r="M219" i="2"/>
  <c r="L219" i="2"/>
  <c r="K219" i="2"/>
  <c r="J219" i="2"/>
  <c r="I219" i="2"/>
  <c r="H219" i="2"/>
  <c r="G219" i="2"/>
  <c r="F219" i="2"/>
  <c r="E219" i="2"/>
  <c r="D219" i="2"/>
  <c r="C219" i="2"/>
  <c r="A219" i="2"/>
  <c r="Q218" i="2"/>
  <c r="P218" i="2"/>
  <c r="O218" i="2"/>
  <c r="N218" i="2"/>
  <c r="M218" i="2"/>
  <c r="L218" i="2"/>
  <c r="K218" i="2"/>
  <c r="J218" i="2"/>
  <c r="I218" i="2"/>
  <c r="H218" i="2"/>
  <c r="G218" i="2"/>
  <c r="F218" i="2"/>
  <c r="E218" i="2"/>
  <c r="D218" i="2"/>
  <c r="C218" i="2"/>
  <c r="A218" i="2"/>
  <c r="Q217" i="2"/>
  <c r="P217" i="2"/>
  <c r="O217" i="2"/>
  <c r="N217" i="2"/>
  <c r="M217" i="2"/>
  <c r="L217" i="2"/>
  <c r="K217" i="2"/>
  <c r="J217" i="2"/>
  <c r="I217" i="2"/>
  <c r="H217" i="2"/>
  <c r="G217" i="2"/>
  <c r="F217" i="2"/>
  <c r="E217" i="2"/>
  <c r="D217" i="2"/>
  <c r="C217" i="2"/>
  <c r="A217" i="2"/>
  <c r="Q216" i="2"/>
  <c r="P216" i="2"/>
  <c r="O216" i="2"/>
  <c r="N216" i="2"/>
  <c r="M216" i="2"/>
  <c r="L216" i="2"/>
  <c r="K216" i="2"/>
  <c r="J216" i="2"/>
  <c r="I216" i="2"/>
  <c r="H216" i="2"/>
  <c r="G216" i="2"/>
  <c r="F216" i="2"/>
  <c r="E216" i="2"/>
  <c r="D216" i="2"/>
  <c r="C216" i="2"/>
  <c r="A216" i="2"/>
  <c r="Q215" i="2"/>
  <c r="P215" i="2"/>
  <c r="O215" i="2"/>
  <c r="N215" i="2"/>
  <c r="M215" i="2"/>
  <c r="L215" i="2"/>
  <c r="K215" i="2"/>
  <c r="J215" i="2"/>
  <c r="I215" i="2"/>
  <c r="H215" i="2"/>
  <c r="G215" i="2"/>
  <c r="F215" i="2"/>
  <c r="E215" i="2"/>
  <c r="D215" i="2"/>
  <c r="C215" i="2"/>
  <c r="A215" i="2"/>
  <c r="Q214" i="2"/>
  <c r="P214" i="2"/>
  <c r="O214" i="2"/>
  <c r="N214" i="2"/>
  <c r="M214" i="2"/>
  <c r="L214" i="2"/>
  <c r="K214" i="2"/>
  <c r="J214" i="2"/>
  <c r="I214" i="2"/>
  <c r="H214" i="2"/>
  <c r="G214" i="2"/>
  <c r="F214" i="2"/>
  <c r="E214" i="2"/>
  <c r="D214" i="2"/>
  <c r="C214" i="2"/>
  <c r="A214" i="2"/>
  <c r="Q213" i="2"/>
  <c r="P213" i="2"/>
  <c r="O213" i="2"/>
  <c r="N213" i="2"/>
  <c r="M213" i="2"/>
  <c r="L213" i="2"/>
  <c r="K213" i="2"/>
  <c r="J213" i="2"/>
  <c r="I213" i="2"/>
  <c r="H213" i="2"/>
  <c r="G213" i="2"/>
  <c r="F213" i="2"/>
  <c r="E213" i="2"/>
  <c r="D213" i="2"/>
  <c r="C213" i="2"/>
  <c r="A213" i="2"/>
  <c r="Q212" i="2"/>
  <c r="P212" i="2"/>
  <c r="O212" i="2"/>
  <c r="N212" i="2"/>
  <c r="M212" i="2"/>
  <c r="L212" i="2"/>
  <c r="K212" i="2"/>
  <c r="J212" i="2"/>
  <c r="I212" i="2"/>
  <c r="H212" i="2"/>
  <c r="G212" i="2"/>
  <c r="F212" i="2"/>
  <c r="E212" i="2"/>
  <c r="D212" i="2"/>
  <c r="C212" i="2"/>
  <c r="A212" i="2"/>
  <c r="Q211" i="2"/>
  <c r="P211" i="2"/>
  <c r="O211" i="2"/>
  <c r="N211" i="2"/>
  <c r="M211" i="2"/>
  <c r="L211" i="2"/>
  <c r="K211" i="2"/>
  <c r="J211" i="2"/>
  <c r="I211" i="2"/>
  <c r="H211" i="2"/>
  <c r="G211" i="2"/>
  <c r="F211" i="2"/>
  <c r="E211" i="2"/>
  <c r="D211" i="2"/>
  <c r="C211" i="2"/>
  <c r="A211" i="2"/>
  <c r="Q210" i="2"/>
  <c r="P210" i="2"/>
  <c r="O210" i="2"/>
  <c r="N210" i="2"/>
  <c r="M210" i="2"/>
  <c r="L210" i="2"/>
  <c r="K210" i="2"/>
  <c r="J210" i="2"/>
  <c r="I210" i="2"/>
  <c r="H210" i="2"/>
  <c r="G210" i="2"/>
  <c r="F210" i="2"/>
  <c r="E210" i="2"/>
  <c r="D210" i="2"/>
  <c r="C210" i="2"/>
  <c r="A210" i="2"/>
  <c r="Q209" i="2"/>
  <c r="P209" i="2"/>
  <c r="O209" i="2"/>
  <c r="N209" i="2"/>
  <c r="M209" i="2"/>
  <c r="L209" i="2"/>
  <c r="K209" i="2"/>
  <c r="J209" i="2"/>
  <c r="I209" i="2"/>
  <c r="H209" i="2"/>
  <c r="G209" i="2"/>
  <c r="F209" i="2"/>
  <c r="E209" i="2"/>
  <c r="D209" i="2"/>
  <c r="C209" i="2"/>
  <c r="A209" i="2"/>
  <c r="Q208" i="2"/>
  <c r="P208" i="2"/>
  <c r="O208" i="2"/>
  <c r="N208" i="2"/>
  <c r="M208" i="2"/>
  <c r="L208" i="2"/>
  <c r="K208" i="2"/>
  <c r="J208" i="2"/>
  <c r="I208" i="2"/>
  <c r="H208" i="2"/>
  <c r="G208" i="2"/>
  <c r="F208" i="2"/>
  <c r="E208" i="2"/>
  <c r="D208" i="2"/>
  <c r="C208" i="2"/>
  <c r="A208" i="2"/>
  <c r="Q207" i="2"/>
  <c r="P207" i="2"/>
  <c r="O207" i="2"/>
  <c r="N207" i="2"/>
  <c r="M207" i="2"/>
  <c r="L207" i="2"/>
  <c r="K207" i="2"/>
  <c r="J207" i="2"/>
  <c r="I207" i="2"/>
  <c r="H207" i="2"/>
  <c r="G207" i="2"/>
  <c r="F207" i="2"/>
  <c r="E207" i="2"/>
  <c r="D207" i="2"/>
  <c r="C207" i="2"/>
  <c r="A207" i="2"/>
  <c r="Q206" i="2"/>
  <c r="P206" i="2"/>
  <c r="O206" i="2"/>
  <c r="N206" i="2"/>
  <c r="M206" i="2"/>
  <c r="L206" i="2"/>
  <c r="K206" i="2"/>
  <c r="J206" i="2"/>
  <c r="I206" i="2"/>
  <c r="H206" i="2"/>
  <c r="G206" i="2"/>
  <c r="F206" i="2"/>
  <c r="E206" i="2"/>
  <c r="D206" i="2"/>
  <c r="C206" i="2"/>
  <c r="A206" i="2"/>
  <c r="Q205" i="2"/>
  <c r="P205" i="2"/>
  <c r="O205" i="2"/>
  <c r="N205" i="2"/>
  <c r="M205" i="2"/>
  <c r="L205" i="2"/>
  <c r="K205" i="2"/>
  <c r="J205" i="2"/>
  <c r="I205" i="2"/>
  <c r="H205" i="2"/>
  <c r="G205" i="2"/>
  <c r="F205" i="2"/>
  <c r="E205" i="2"/>
  <c r="D205" i="2"/>
  <c r="C205" i="2"/>
  <c r="A205" i="2"/>
  <c r="Q204" i="2"/>
  <c r="P204" i="2"/>
  <c r="O204" i="2"/>
  <c r="N204" i="2"/>
  <c r="M204" i="2"/>
  <c r="L204" i="2"/>
  <c r="K204" i="2"/>
  <c r="J204" i="2"/>
  <c r="I204" i="2"/>
  <c r="H204" i="2"/>
  <c r="G204" i="2"/>
  <c r="F204" i="2"/>
  <c r="E204" i="2"/>
  <c r="D204" i="2"/>
  <c r="C204" i="2"/>
  <c r="A204" i="2"/>
  <c r="Q203" i="2"/>
  <c r="P203" i="2"/>
  <c r="O203" i="2"/>
  <c r="N203" i="2"/>
  <c r="M203" i="2"/>
  <c r="L203" i="2"/>
  <c r="K203" i="2"/>
  <c r="J203" i="2"/>
  <c r="I203" i="2"/>
  <c r="H203" i="2"/>
  <c r="G203" i="2"/>
  <c r="F203" i="2"/>
  <c r="E203" i="2"/>
  <c r="D203" i="2"/>
  <c r="C203" i="2"/>
  <c r="A203" i="2"/>
  <c r="Q202" i="2"/>
  <c r="P202" i="2"/>
  <c r="O202" i="2"/>
  <c r="N202" i="2"/>
  <c r="M202" i="2"/>
  <c r="L202" i="2"/>
  <c r="K202" i="2"/>
  <c r="J202" i="2"/>
  <c r="I202" i="2"/>
  <c r="H202" i="2"/>
  <c r="G202" i="2"/>
  <c r="F202" i="2"/>
  <c r="E202" i="2"/>
  <c r="D202" i="2"/>
  <c r="C202" i="2"/>
  <c r="A202" i="2"/>
  <c r="Q201" i="2"/>
  <c r="P201" i="2"/>
  <c r="O201" i="2"/>
  <c r="N201" i="2"/>
  <c r="M201" i="2"/>
  <c r="L201" i="2"/>
  <c r="K201" i="2"/>
  <c r="J201" i="2"/>
  <c r="I201" i="2"/>
  <c r="H201" i="2"/>
  <c r="G201" i="2"/>
  <c r="F201" i="2"/>
  <c r="E201" i="2"/>
  <c r="D201" i="2"/>
  <c r="C201" i="2"/>
  <c r="A201" i="2"/>
  <c r="Q200" i="2"/>
  <c r="P200" i="2"/>
  <c r="O200" i="2"/>
  <c r="N200" i="2"/>
  <c r="M200" i="2"/>
  <c r="L200" i="2"/>
  <c r="K200" i="2"/>
  <c r="J200" i="2"/>
  <c r="I200" i="2"/>
  <c r="H200" i="2"/>
  <c r="G200" i="2"/>
  <c r="F200" i="2"/>
  <c r="E200" i="2"/>
  <c r="D200" i="2"/>
  <c r="C200" i="2"/>
  <c r="A200" i="2"/>
  <c r="Q199" i="2"/>
  <c r="P199" i="2"/>
  <c r="O199" i="2"/>
  <c r="N199" i="2"/>
  <c r="M199" i="2"/>
  <c r="L199" i="2"/>
  <c r="K199" i="2"/>
  <c r="J199" i="2"/>
  <c r="I199" i="2"/>
  <c r="H199" i="2"/>
  <c r="G199" i="2"/>
  <c r="F199" i="2"/>
  <c r="E199" i="2"/>
  <c r="D199" i="2"/>
  <c r="C199" i="2"/>
  <c r="A199" i="2"/>
  <c r="Q198" i="2"/>
  <c r="P198" i="2"/>
  <c r="O198" i="2"/>
  <c r="N198" i="2"/>
  <c r="M198" i="2"/>
  <c r="L198" i="2"/>
  <c r="K198" i="2"/>
  <c r="J198" i="2"/>
  <c r="I198" i="2"/>
  <c r="H198" i="2"/>
  <c r="G198" i="2"/>
  <c r="F198" i="2"/>
  <c r="E198" i="2"/>
  <c r="D198" i="2"/>
  <c r="C198" i="2"/>
  <c r="A198" i="2"/>
  <c r="Q197" i="2"/>
  <c r="P197" i="2"/>
  <c r="O197" i="2"/>
  <c r="N197" i="2"/>
  <c r="M197" i="2"/>
  <c r="L197" i="2"/>
  <c r="K197" i="2"/>
  <c r="J197" i="2"/>
  <c r="I197" i="2"/>
  <c r="H197" i="2"/>
  <c r="G197" i="2"/>
  <c r="F197" i="2"/>
  <c r="E197" i="2"/>
  <c r="D197" i="2"/>
  <c r="C197" i="2"/>
  <c r="A197" i="2"/>
  <c r="Q196" i="2"/>
  <c r="P196" i="2"/>
  <c r="O196" i="2"/>
  <c r="N196" i="2"/>
  <c r="M196" i="2"/>
  <c r="L196" i="2"/>
  <c r="K196" i="2"/>
  <c r="J196" i="2"/>
  <c r="I196" i="2"/>
  <c r="H196" i="2"/>
  <c r="G196" i="2"/>
  <c r="F196" i="2"/>
  <c r="E196" i="2"/>
  <c r="D196" i="2"/>
  <c r="C196" i="2"/>
  <c r="A196" i="2"/>
  <c r="Q195" i="2"/>
  <c r="P195" i="2"/>
  <c r="O195" i="2"/>
  <c r="N195" i="2"/>
  <c r="M195" i="2"/>
  <c r="L195" i="2"/>
  <c r="K195" i="2"/>
  <c r="J195" i="2"/>
  <c r="I195" i="2"/>
  <c r="H195" i="2"/>
  <c r="G195" i="2"/>
  <c r="F195" i="2"/>
  <c r="E195" i="2"/>
  <c r="D195" i="2"/>
  <c r="C195" i="2"/>
  <c r="A195" i="2"/>
  <c r="Q194" i="2"/>
  <c r="P194" i="2"/>
  <c r="O194" i="2"/>
  <c r="N194" i="2"/>
  <c r="M194" i="2"/>
  <c r="L194" i="2"/>
  <c r="K194" i="2"/>
  <c r="J194" i="2"/>
  <c r="I194" i="2"/>
  <c r="H194" i="2"/>
  <c r="G194" i="2"/>
  <c r="F194" i="2"/>
  <c r="E194" i="2"/>
  <c r="D194" i="2"/>
  <c r="C194" i="2"/>
  <c r="A194" i="2"/>
  <c r="Q193" i="2"/>
  <c r="P193" i="2"/>
  <c r="O193" i="2"/>
  <c r="N193" i="2"/>
  <c r="M193" i="2"/>
  <c r="L193" i="2"/>
  <c r="K193" i="2"/>
  <c r="J193" i="2"/>
  <c r="I193" i="2"/>
  <c r="H193" i="2"/>
  <c r="G193" i="2"/>
  <c r="F193" i="2"/>
  <c r="E193" i="2"/>
  <c r="D193" i="2"/>
  <c r="C193" i="2"/>
  <c r="A193" i="2"/>
  <c r="Q192" i="2"/>
  <c r="P192" i="2"/>
  <c r="O192" i="2"/>
  <c r="N192" i="2"/>
  <c r="M192" i="2"/>
  <c r="L192" i="2"/>
  <c r="K192" i="2"/>
  <c r="J192" i="2"/>
  <c r="I192" i="2"/>
  <c r="H192" i="2"/>
  <c r="G192" i="2"/>
  <c r="F192" i="2"/>
  <c r="E192" i="2"/>
  <c r="D192" i="2"/>
  <c r="C192" i="2"/>
  <c r="A192" i="2"/>
  <c r="Q191" i="2"/>
  <c r="P191" i="2"/>
  <c r="O191" i="2"/>
  <c r="N191" i="2"/>
  <c r="M191" i="2"/>
  <c r="L191" i="2"/>
  <c r="K191" i="2"/>
  <c r="J191" i="2"/>
  <c r="I191" i="2"/>
  <c r="H191" i="2"/>
  <c r="G191" i="2"/>
  <c r="F191" i="2"/>
  <c r="E191" i="2"/>
  <c r="D191" i="2"/>
  <c r="C191" i="2"/>
  <c r="A191" i="2"/>
  <c r="Q190" i="2"/>
  <c r="P190" i="2"/>
  <c r="O190" i="2"/>
  <c r="N190" i="2"/>
  <c r="M190" i="2"/>
  <c r="L190" i="2"/>
  <c r="K190" i="2"/>
  <c r="J190" i="2"/>
  <c r="I190" i="2"/>
  <c r="H190" i="2"/>
  <c r="G190" i="2"/>
  <c r="F190" i="2"/>
  <c r="E190" i="2"/>
  <c r="D190" i="2"/>
  <c r="C190" i="2"/>
  <c r="A190" i="2"/>
  <c r="Q189" i="2"/>
  <c r="P189" i="2"/>
  <c r="O189" i="2"/>
  <c r="N189" i="2"/>
  <c r="M189" i="2"/>
  <c r="L189" i="2"/>
  <c r="K189" i="2"/>
  <c r="J189" i="2"/>
  <c r="I189" i="2"/>
  <c r="H189" i="2"/>
  <c r="G189" i="2"/>
  <c r="F189" i="2"/>
  <c r="E189" i="2"/>
  <c r="D189" i="2"/>
  <c r="C189" i="2"/>
  <c r="A189" i="2"/>
  <c r="Q188" i="2"/>
  <c r="P188" i="2"/>
  <c r="O188" i="2"/>
  <c r="N188" i="2"/>
  <c r="M188" i="2"/>
  <c r="L188" i="2"/>
  <c r="K188" i="2"/>
  <c r="J188" i="2"/>
  <c r="I188" i="2"/>
  <c r="H188" i="2"/>
  <c r="G188" i="2"/>
  <c r="F188" i="2"/>
  <c r="E188" i="2"/>
  <c r="D188" i="2"/>
  <c r="C188" i="2"/>
  <c r="A188" i="2"/>
  <c r="Q187" i="2"/>
  <c r="P187" i="2"/>
  <c r="O187" i="2"/>
  <c r="N187" i="2"/>
  <c r="M187" i="2"/>
  <c r="L187" i="2"/>
  <c r="K187" i="2"/>
  <c r="J187" i="2"/>
  <c r="I187" i="2"/>
  <c r="H187" i="2"/>
  <c r="G187" i="2"/>
  <c r="F187" i="2"/>
  <c r="E187" i="2"/>
  <c r="D187" i="2"/>
  <c r="C187" i="2"/>
  <c r="A187" i="2"/>
  <c r="Q186" i="2"/>
  <c r="P186" i="2"/>
  <c r="O186" i="2"/>
  <c r="N186" i="2"/>
  <c r="M186" i="2"/>
  <c r="L186" i="2"/>
  <c r="K186" i="2"/>
  <c r="J186" i="2"/>
  <c r="I186" i="2"/>
  <c r="H186" i="2"/>
  <c r="G186" i="2"/>
  <c r="F186" i="2"/>
  <c r="E186" i="2"/>
  <c r="D186" i="2"/>
  <c r="C186" i="2"/>
  <c r="A186" i="2"/>
  <c r="Q185" i="2"/>
  <c r="P185" i="2"/>
  <c r="O185" i="2"/>
  <c r="N185" i="2"/>
  <c r="M185" i="2"/>
  <c r="L185" i="2"/>
  <c r="K185" i="2"/>
  <c r="J185" i="2"/>
  <c r="I185" i="2"/>
  <c r="H185" i="2"/>
  <c r="G185" i="2"/>
  <c r="F185" i="2"/>
  <c r="E185" i="2"/>
  <c r="D185" i="2"/>
  <c r="C185" i="2"/>
  <c r="A185" i="2"/>
  <c r="Q184" i="2"/>
  <c r="P184" i="2"/>
  <c r="O184" i="2"/>
  <c r="N184" i="2"/>
  <c r="M184" i="2"/>
  <c r="L184" i="2"/>
  <c r="K184" i="2"/>
  <c r="J184" i="2"/>
  <c r="I184" i="2"/>
  <c r="H184" i="2"/>
  <c r="G184" i="2"/>
  <c r="F184" i="2"/>
  <c r="E184" i="2"/>
  <c r="D184" i="2"/>
  <c r="C184" i="2"/>
  <c r="A184" i="2"/>
  <c r="Q183" i="2"/>
  <c r="P183" i="2"/>
  <c r="O183" i="2"/>
  <c r="N183" i="2"/>
  <c r="M183" i="2"/>
  <c r="L183" i="2"/>
  <c r="K183" i="2"/>
  <c r="J183" i="2"/>
  <c r="I183" i="2"/>
  <c r="H183" i="2"/>
  <c r="G183" i="2"/>
  <c r="F183" i="2"/>
  <c r="E183" i="2"/>
  <c r="D183" i="2"/>
  <c r="C183" i="2"/>
  <c r="A183" i="2"/>
  <c r="Q182" i="2"/>
  <c r="P182" i="2"/>
  <c r="O182" i="2"/>
  <c r="N182" i="2"/>
  <c r="M182" i="2"/>
  <c r="L182" i="2"/>
  <c r="K182" i="2"/>
  <c r="J182" i="2"/>
  <c r="I182" i="2"/>
  <c r="H182" i="2"/>
  <c r="G182" i="2"/>
  <c r="F182" i="2"/>
  <c r="E182" i="2"/>
  <c r="D182" i="2"/>
  <c r="C182" i="2"/>
  <c r="A182" i="2"/>
  <c r="Q181" i="2"/>
  <c r="P181" i="2"/>
  <c r="O181" i="2"/>
  <c r="N181" i="2"/>
  <c r="M181" i="2"/>
  <c r="L181" i="2"/>
  <c r="K181" i="2"/>
  <c r="J181" i="2"/>
  <c r="I181" i="2"/>
  <c r="H181" i="2"/>
  <c r="G181" i="2"/>
  <c r="F181" i="2"/>
  <c r="E181" i="2"/>
  <c r="D181" i="2"/>
  <c r="C181" i="2"/>
  <c r="A181" i="2"/>
  <c r="Q180" i="2"/>
  <c r="P180" i="2"/>
  <c r="O180" i="2"/>
  <c r="N180" i="2"/>
  <c r="M180" i="2"/>
  <c r="L180" i="2"/>
  <c r="K180" i="2"/>
  <c r="J180" i="2"/>
  <c r="I180" i="2"/>
  <c r="H180" i="2"/>
  <c r="G180" i="2"/>
  <c r="F180" i="2"/>
  <c r="E180" i="2"/>
  <c r="D180" i="2"/>
  <c r="C180" i="2"/>
  <c r="A180" i="2"/>
  <c r="Q179" i="2"/>
  <c r="P179" i="2"/>
  <c r="O179" i="2"/>
  <c r="N179" i="2"/>
  <c r="M179" i="2"/>
  <c r="L179" i="2"/>
  <c r="K179" i="2"/>
  <c r="J179" i="2"/>
  <c r="I179" i="2"/>
  <c r="H179" i="2"/>
  <c r="G179" i="2"/>
  <c r="F179" i="2"/>
  <c r="E179" i="2"/>
  <c r="D179" i="2"/>
  <c r="C179" i="2"/>
  <c r="A179" i="2"/>
  <c r="Q178" i="2"/>
  <c r="P178" i="2"/>
  <c r="O178" i="2"/>
  <c r="N178" i="2"/>
  <c r="M178" i="2"/>
  <c r="L178" i="2"/>
  <c r="K178" i="2"/>
  <c r="J178" i="2"/>
  <c r="I178" i="2"/>
  <c r="H178" i="2"/>
  <c r="G178" i="2"/>
  <c r="F178" i="2"/>
  <c r="E178" i="2"/>
  <c r="D178" i="2"/>
  <c r="C178" i="2"/>
  <c r="A178" i="2"/>
  <c r="Q177" i="2"/>
  <c r="P177" i="2"/>
  <c r="O177" i="2"/>
  <c r="N177" i="2"/>
  <c r="M177" i="2"/>
  <c r="L177" i="2"/>
  <c r="K177" i="2"/>
  <c r="J177" i="2"/>
  <c r="I177" i="2"/>
  <c r="H177" i="2"/>
  <c r="G177" i="2"/>
  <c r="F177" i="2"/>
  <c r="E177" i="2"/>
  <c r="D177" i="2"/>
  <c r="C177" i="2"/>
  <c r="A177" i="2"/>
  <c r="Q176" i="2"/>
  <c r="P176" i="2"/>
  <c r="O176" i="2"/>
  <c r="N176" i="2"/>
  <c r="M176" i="2"/>
  <c r="L176" i="2"/>
  <c r="K176" i="2"/>
  <c r="J176" i="2"/>
  <c r="I176" i="2"/>
  <c r="H176" i="2"/>
  <c r="G176" i="2"/>
  <c r="F176" i="2"/>
  <c r="E176" i="2"/>
  <c r="D176" i="2"/>
  <c r="C176" i="2"/>
  <c r="A176" i="2"/>
  <c r="Q175" i="2"/>
  <c r="P175" i="2"/>
  <c r="O175" i="2"/>
  <c r="N175" i="2"/>
  <c r="M175" i="2"/>
  <c r="L175" i="2"/>
  <c r="K175" i="2"/>
  <c r="J175" i="2"/>
  <c r="I175" i="2"/>
  <c r="H175" i="2"/>
  <c r="G175" i="2"/>
  <c r="F175" i="2"/>
  <c r="E175" i="2"/>
  <c r="D175" i="2"/>
  <c r="C175" i="2"/>
  <c r="A175" i="2"/>
  <c r="Q174" i="2"/>
  <c r="P174" i="2"/>
  <c r="O174" i="2"/>
  <c r="N174" i="2"/>
  <c r="M174" i="2"/>
  <c r="L174" i="2"/>
  <c r="K174" i="2"/>
  <c r="J174" i="2"/>
  <c r="I174" i="2"/>
  <c r="H174" i="2"/>
  <c r="G174" i="2"/>
  <c r="F174" i="2"/>
  <c r="E174" i="2"/>
  <c r="D174" i="2"/>
  <c r="C174" i="2"/>
  <c r="A174" i="2"/>
  <c r="Q173" i="2"/>
  <c r="P173" i="2"/>
  <c r="O173" i="2"/>
  <c r="N173" i="2"/>
  <c r="M173" i="2"/>
  <c r="L173" i="2"/>
  <c r="K173" i="2"/>
  <c r="J173" i="2"/>
  <c r="I173" i="2"/>
  <c r="H173" i="2"/>
  <c r="G173" i="2"/>
  <c r="F173" i="2"/>
  <c r="E173" i="2"/>
  <c r="D173" i="2"/>
  <c r="C173" i="2"/>
  <c r="A173" i="2"/>
  <c r="Q172" i="2"/>
  <c r="P172" i="2"/>
  <c r="O172" i="2"/>
  <c r="N172" i="2"/>
  <c r="M172" i="2"/>
  <c r="L172" i="2"/>
  <c r="K172" i="2"/>
  <c r="J172" i="2"/>
  <c r="I172" i="2"/>
  <c r="H172" i="2"/>
  <c r="G172" i="2"/>
  <c r="F172" i="2"/>
  <c r="E172" i="2"/>
  <c r="D172" i="2"/>
  <c r="C172" i="2"/>
  <c r="A172" i="2"/>
  <c r="Q171" i="2"/>
  <c r="P171" i="2"/>
  <c r="O171" i="2"/>
  <c r="N171" i="2"/>
  <c r="M171" i="2"/>
  <c r="L171" i="2"/>
  <c r="K171" i="2"/>
  <c r="J171" i="2"/>
  <c r="I171" i="2"/>
  <c r="H171" i="2"/>
  <c r="G171" i="2"/>
  <c r="F171" i="2"/>
  <c r="E171" i="2"/>
  <c r="D171" i="2"/>
  <c r="C171" i="2"/>
  <c r="A171" i="2"/>
  <c r="Q170" i="2"/>
  <c r="P170" i="2"/>
  <c r="O170" i="2"/>
  <c r="N170" i="2"/>
  <c r="M170" i="2"/>
  <c r="L170" i="2"/>
  <c r="K170" i="2"/>
  <c r="J170" i="2"/>
  <c r="I170" i="2"/>
  <c r="H170" i="2"/>
  <c r="G170" i="2"/>
  <c r="F170" i="2"/>
  <c r="E170" i="2"/>
  <c r="D170" i="2"/>
  <c r="C170" i="2"/>
  <c r="A170" i="2"/>
  <c r="Q169" i="2"/>
  <c r="P169" i="2"/>
  <c r="O169" i="2"/>
  <c r="N169" i="2"/>
  <c r="M169" i="2"/>
  <c r="L169" i="2"/>
  <c r="K169" i="2"/>
  <c r="J169" i="2"/>
  <c r="I169" i="2"/>
  <c r="H169" i="2"/>
  <c r="G169" i="2"/>
  <c r="F169" i="2"/>
  <c r="E169" i="2"/>
  <c r="D169" i="2"/>
  <c r="C169" i="2"/>
  <c r="A169" i="2"/>
  <c r="Q168" i="2"/>
  <c r="P168" i="2"/>
  <c r="O168" i="2"/>
  <c r="N168" i="2"/>
  <c r="M168" i="2"/>
  <c r="L168" i="2"/>
  <c r="K168" i="2"/>
  <c r="J168" i="2"/>
  <c r="I168" i="2"/>
  <c r="H168" i="2"/>
  <c r="G168" i="2"/>
  <c r="F168" i="2"/>
  <c r="E168" i="2"/>
  <c r="D168" i="2"/>
  <c r="C168" i="2"/>
  <c r="A168" i="2"/>
  <c r="Q167" i="2"/>
  <c r="P167" i="2"/>
  <c r="O167" i="2"/>
  <c r="N167" i="2"/>
  <c r="M167" i="2"/>
  <c r="L167" i="2"/>
  <c r="K167" i="2"/>
  <c r="J167" i="2"/>
  <c r="I167" i="2"/>
  <c r="H167" i="2"/>
  <c r="G167" i="2"/>
  <c r="F167" i="2"/>
  <c r="E167" i="2"/>
  <c r="D167" i="2"/>
  <c r="C167" i="2"/>
  <c r="A167" i="2"/>
  <c r="Q166" i="2"/>
  <c r="P166" i="2"/>
  <c r="O166" i="2"/>
  <c r="N166" i="2"/>
  <c r="M166" i="2"/>
  <c r="L166" i="2"/>
  <c r="K166" i="2"/>
  <c r="J166" i="2"/>
  <c r="I166" i="2"/>
  <c r="H166" i="2"/>
  <c r="G166" i="2"/>
  <c r="F166" i="2"/>
  <c r="E166" i="2"/>
  <c r="D166" i="2"/>
  <c r="C166" i="2"/>
  <c r="A166" i="2"/>
  <c r="Q165" i="2"/>
  <c r="P165" i="2"/>
  <c r="O165" i="2"/>
  <c r="N165" i="2"/>
  <c r="M165" i="2"/>
  <c r="L165" i="2"/>
  <c r="K165" i="2"/>
  <c r="J165" i="2"/>
  <c r="I165" i="2"/>
  <c r="H165" i="2"/>
  <c r="G165" i="2"/>
  <c r="F165" i="2"/>
  <c r="E165" i="2"/>
  <c r="D165" i="2"/>
  <c r="C165" i="2"/>
  <c r="A165" i="2"/>
  <c r="Q164" i="2"/>
  <c r="P164" i="2"/>
  <c r="O164" i="2"/>
  <c r="N164" i="2"/>
  <c r="M164" i="2"/>
  <c r="L164" i="2"/>
  <c r="K164" i="2"/>
  <c r="J164" i="2"/>
  <c r="I164" i="2"/>
  <c r="H164" i="2"/>
  <c r="G164" i="2"/>
  <c r="F164" i="2"/>
  <c r="E164" i="2"/>
  <c r="D164" i="2"/>
  <c r="C164" i="2"/>
  <c r="A164" i="2"/>
  <c r="Q163" i="2"/>
  <c r="P163" i="2"/>
  <c r="O163" i="2"/>
  <c r="N163" i="2"/>
  <c r="M163" i="2"/>
  <c r="L163" i="2"/>
  <c r="K163" i="2"/>
  <c r="J163" i="2"/>
  <c r="I163" i="2"/>
  <c r="H163" i="2"/>
  <c r="G163" i="2"/>
  <c r="F163" i="2"/>
  <c r="E163" i="2"/>
  <c r="D163" i="2"/>
  <c r="C163" i="2"/>
  <c r="A163" i="2"/>
  <c r="Q162" i="2"/>
  <c r="P162" i="2"/>
  <c r="O162" i="2"/>
  <c r="N162" i="2"/>
  <c r="M162" i="2"/>
  <c r="L162" i="2"/>
  <c r="K162" i="2"/>
  <c r="J162" i="2"/>
  <c r="I162" i="2"/>
  <c r="H162" i="2"/>
  <c r="G162" i="2"/>
  <c r="F162" i="2"/>
  <c r="E162" i="2"/>
  <c r="D162" i="2"/>
  <c r="C162" i="2"/>
  <c r="A162" i="2"/>
  <c r="Q161" i="2"/>
  <c r="P161" i="2"/>
  <c r="O161" i="2"/>
  <c r="N161" i="2"/>
  <c r="M161" i="2"/>
  <c r="L161" i="2"/>
  <c r="K161" i="2"/>
  <c r="J161" i="2"/>
  <c r="I161" i="2"/>
  <c r="H161" i="2"/>
  <c r="G161" i="2"/>
  <c r="F161" i="2"/>
  <c r="E161" i="2"/>
  <c r="D161" i="2"/>
  <c r="C161" i="2"/>
  <c r="A161" i="2"/>
  <c r="Q160" i="2"/>
  <c r="P160" i="2"/>
  <c r="O160" i="2"/>
  <c r="N160" i="2"/>
  <c r="M160" i="2"/>
  <c r="L160" i="2"/>
  <c r="K160" i="2"/>
  <c r="J160" i="2"/>
  <c r="I160" i="2"/>
  <c r="H160" i="2"/>
  <c r="G160" i="2"/>
  <c r="F160" i="2"/>
  <c r="E160" i="2"/>
  <c r="D160" i="2"/>
  <c r="C160" i="2"/>
  <c r="A160" i="2"/>
  <c r="Q159" i="2"/>
  <c r="P159" i="2"/>
  <c r="O159" i="2"/>
  <c r="N159" i="2"/>
  <c r="M159" i="2"/>
  <c r="L159" i="2"/>
  <c r="K159" i="2"/>
  <c r="J159" i="2"/>
  <c r="I159" i="2"/>
  <c r="H159" i="2"/>
  <c r="G159" i="2"/>
  <c r="F159" i="2"/>
  <c r="E159" i="2"/>
  <c r="D159" i="2"/>
  <c r="C159" i="2"/>
  <c r="A159" i="2"/>
  <c r="Q158" i="2"/>
  <c r="P158" i="2"/>
  <c r="O158" i="2"/>
  <c r="N158" i="2"/>
  <c r="M158" i="2"/>
  <c r="L158" i="2"/>
  <c r="K158" i="2"/>
  <c r="J158" i="2"/>
  <c r="I158" i="2"/>
  <c r="H158" i="2"/>
  <c r="G158" i="2"/>
  <c r="F158" i="2"/>
  <c r="E158" i="2"/>
  <c r="D158" i="2"/>
  <c r="C158" i="2"/>
  <c r="A158" i="2"/>
  <c r="Q157" i="2"/>
  <c r="P157" i="2"/>
  <c r="O157" i="2"/>
  <c r="N157" i="2"/>
  <c r="M157" i="2"/>
  <c r="L157" i="2"/>
  <c r="K157" i="2"/>
  <c r="J157" i="2"/>
  <c r="I157" i="2"/>
  <c r="H157" i="2"/>
  <c r="G157" i="2"/>
  <c r="F157" i="2"/>
  <c r="E157" i="2"/>
  <c r="D157" i="2"/>
  <c r="C157" i="2"/>
  <c r="A157" i="2"/>
  <c r="Q156" i="2"/>
  <c r="P156" i="2"/>
  <c r="O156" i="2"/>
  <c r="N156" i="2"/>
  <c r="M156" i="2"/>
  <c r="L156" i="2"/>
  <c r="K156" i="2"/>
  <c r="J156" i="2"/>
  <c r="I156" i="2"/>
  <c r="H156" i="2"/>
  <c r="G156" i="2"/>
  <c r="F156" i="2"/>
  <c r="E156" i="2"/>
  <c r="D156" i="2"/>
  <c r="C156" i="2"/>
  <c r="A156" i="2"/>
  <c r="Q155" i="2"/>
  <c r="P155" i="2"/>
  <c r="O155" i="2"/>
  <c r="N155" i="2"/>
  <c r="M155" i="2"/>
  <c r="L155" i="2"/>
  <c r="K155" i="2"/>
  <c r="J155" i="2"/>
  <c r="I155" i="2"/>
  <c r="H155" i="2"/>
  <c r="G155" i="2"/>
  <c r="F155" i="2"/>
  <c r="E155" i="2"/>
  <c r="D155" i="2"/>
  <c r="C155" i="2"/>
  <c r="A155" i="2"/>
  <c r="Q154" i="2"/>
  <c r="P154" i="2"/>
  <c r="O154" i="2"/>
  <c r="N154" i="2"/>
  <c r="M154" i="2"/>
  <c r="L154" i="2"/>
  <c r="K154" i="2"/>
  <c r="J154" i="2"/>
  <c r="I154" i="2"/>
  <c r="H154" i="2"/>
  <c r="G154" i="2"/>
  <c r="F154" i="2"/>
  <c r="E154" i="2"/>
  <c r="D154" i="2"/>
  <c r="C154" i="2"/>
  <c r="A154" i="2"/>
  <c r="Q153" i="2"/>
  <c r="P153" i="2"/>
  <c r="O153" i="2"/>
  <c r="N153" i="2"/>
  <c r="M153" i="2"/>
  <c r="L153" i="2"/>
  <c r="K153" i="2"/>
  <c r="J153" i="2"/>
  <c r="I153" i="2"/>
  <c r="H153" i="2"/>
  <c r="G153" i="2"/>
  <c r="F153" i="2"/>
  <c r="E153" i="2"/>
  <c r="D153" i="2"/>
  <c r="C153" i="2"/>
  <c r="A153" i="2"/>
  <c r="Q152" i="2"/>
  <c r="P152" i="2"/>
  <c r="O152" i="2"/>
  <c r="N152" i="2"/>
  <c r="M152" i="2"/>
  <c r="L152" i="2"/>
  <c r="K152" i="2"/>
  <c r="J152" i="2"/>
  <c r="I152" i="2"/>
  <c r="H152" i="2"/>
  <c r="G152" i="2"/>
  <c r="F152" i="2"/>
  <c r="E152" i="2"/>
  <c r="D152" i="2"/>
  <c r="C152" i="2"/>
  <c r="A152" i="2"/>
  <c r="Q151" i="2"/>
  <c r="P151" i="2"/>
  <c r="O151" i="2"/>
  <c r="N151" i="2"/>
  <c r="M151" i="2"/>
  <c r="L151" i="2"/>
  <c r="K151" i="2"/>
  <c r="J151" i="2"/>
  <c r="I151" i="2"/>
  <c r="H151" i="2"/>
  <c r="G151" i="2"/>
  <c r="F151" i="2"/>
  <c r="E151" i="2"/>
  <c r="D151" i="2"/>
  <c r="C151" i="2"/>
  <c r="A151" i="2"/>
  <c r="Q150" i="2"/>
  <c r="P150" i="2"/>
  <c r="O150" i="2"/>
  <c r="N150" i="2"/>
  <c r="M150" i="2"/>
  <c r="L150" i="2"/>
  <c r="K150" i="2"/>
  <c r="J150" i="2"/>
  <c r="I150" i="2"/>
  <c r="H150" i="2"/>
  <c r="G150" i="2"/>
  <c r="F150" i="2"/>
  <c r="E150" i="2"/>
  <c r="D150" i="2"/>
  <c r="C150" i="2"/>
  <c r="A150" i="2"/>
  <c r="Q149" i="2"/>
  <c r="P149" i="2"/>
  <c r="O149" i="2"/>
  <c r="N149" i="2"/>
  <c r="M149" i="2"/>
  <c r="L149" i="2"/>
  <c r="K149" i="2"/>
  <c r="J149" i="2"/>
  <c r="I149" i="2"/>
  <c r="H149" i="2"/>
  <c r="G149" i="2"/>
  <c r="F149" i="2"/>
  <c r="E149" i="2"/>
  <c r="D149" i="2"/>
  <c r="C149" i="2"/>
  <c r="A149" i="2"/>
  <c r="Q148" i="2"/>
  <c r="P148" i="2"/>
  <c r="O148" i="2"/>
  <c r="N148" i="2"/>
  <c r="M148" i="2"/>
  <c r="L148" i="2"/>
  <c r="K148" i="2"/>
  <c r="J148" i="2"/>
  <c r="I148" i="2"/>
  <c r="H148" i="2"/>
  <c r="G148" i="2"/>
  <c r="F148" i="2"/>
  <c r="E148" i="2"/>
  <c r="D148" i="2"/>
  <c r="C148" i="2"/>
  <c r="A148" i="2"/>
  <c r="Q147" i="2"/>
  <c r="P147" i="2"/>
  <c r="O147" i="2"/>
  <c r="N147" i="2"/>
  <c r="M147" i="2"/>
  <c r="L147" i="2"/>
  <c r="K147" i="2"/>
  <c r="J147" i="2"/>
  <c r="I147" i="2"/>
  <c r="H147" i="2"/>
  <c r="G147" i="2"/>
  <c r="F147" i="2"/>
  <c r="E147" i="2"/>
  <c r="D147" i="2"/>
  <c r="C147" i="2"/>
  <c r="A147" i="2"/>
  <c r="Q146" i="2"/>
  <c r="P146" i="2"/>
  <c r="O146" i="2"/>
  <c r="N146" i="2"/>
  <c r="M146" i="2"/>
  <c r="L146" i="2"/>
  <c r="K146" i="2"/>
  <c r="J146" i="2"/>
  <c r="I146" i="2"/>
  <c r="H146" i="2"/>
  <c r="G146" i="2"/>
  <c r="F146" i="2"/>
  <c r="E146" i="2"/>
  <c r="D146" i="2"/>
  <c r="C146" i="2"/>
  <c r="A146" i="2"/>
  <c r="Q145" i="2"/>
  <c r="P145" i="2"/>
  <c r="O145" i="2"/>
  <c r="N145" i="2"/>
  <c r="M145" i="2"/>
  <c r="L145" i="2"/>
  <c r="K145" i="2"/>
  <c r="J145" i="2"/>
  <c r="I145" i="2"/>
  <c r="H145" i="2"/>
  <c r="G145" i="2"/>
  <c r="F145" i="2"/>
  <c r="E145" i="2"/>
  <c r="D145" i="2"/>
  <c r="C145" i="2"/>
  <c r="A145" i="2"/>
  <c r="Q144" i="2"/>
  <c r="P144" i="2"/>
  <c r="O144" i="2"/>
  <c r="N144" i="2"/>
  <c r="M144" i="2"/>
  <c r="L144" i="2"/>
  <c r="K144" i="2"/>
  <c r="J144" i="2"/>
  <c r="I144" i="2"/>
  <c r="H144" i="2"/>
  <c r="G144" i="2"/>
  <c r="F144" i="2"/>
  <c r="E144" i="2"/>
  <c r="D144" i="2"/>
  <c r="C144" i="2"/>
  <c r="A144" i="2"/>
  <c r="Q143" i="2"/>
  <c r="P143" i="2"/>
  <c r="O143" i="2"/>
  <c r="N143" i="2"/>
  <c r="M143" i="2"/>
  <c r="L143" i="2"/>
  <c r="K143" i="2"/>
  <c r="J143" i="2"/>
  <c r="I143" i="2"/>
  <c r="H143" i="2"/>
  <c r="G143" i="2"/>
  <c r="F143" i="2"/>
  <c r="E143" i="2"/>
  <c r="D143" i="2"/>
  <c r="C143" i="2"/>
  <c r="A143" i="2"/>
  <c r="Q142" i="2"/>
  <c r="P142" i="2"/>
  <c r="O142" i="2"/>
  <c r="N142" i="2"/>
  <c r="M142" i="2"/>
  <c r="L142" i="2"/>
  <c r="K142" i="2"/>
  <c r="J142" i="2"/>
  <c r="I142" i="2"/>
  <c r="H142" i="2"/>
  <c r="G142" i="2"/>
  <c r="F142" i="2"/>
  <c r="E142" i="2"/>
  <c r="D142" i="2"/>
  <c r="C142" i="2"/>
  <c r="A142" i="2"/>
  <c r="Q141" i="2"/>
  <c r="P141" i="2"/>
  <c r="O141" i="2"/>
  <c r="N141" i="2"/>
  <c r="M141" i="2"/>
  <c r="L141" i="2"/>
  <c r="K141" i="2"/>
  <c r="J141" i="2"/>
  <c r="I141" i="2"/>
  <c r="H141" i="2"/>
  <c r="G141" i="2"/>
  <c r="F141" i="2"/>
  <c r="E141" i="2"/>
  <c r="D141" i="2"/>
  <c r="C141" i="2"/>
  <c r="A141" i="2"/>
  <c r="Q140" i="2"/>
  <c r="P140" i="2"/>
  <c r="O140" i="2"/>
  <c r="N140" i="2"/>
  <c r="M140" i="2"/>
  <c r="L140" i="2"/>
  <c r="K140" i="2"/>
  <c r="J140" i="2"/>
  <c r="I140" i="2"/>
  <c r="H140" i="2"/>
  <c r="G140" i="2"/>
  <c r="F140" i="2"/>
  <c r="E140" i="2"/>
  <c r="D140" i="2"/>
  <c r="C140" i="2"/>
  <c r="A140" i="2"/>
  <c r="Q139" i="2"/>
  <c r="P139" i="2"/>
  <c r="O139" i="2"/>
  <c r="N139" i="2"/>
  <c r="M139" i="2"/>
  <c r="L139" i="2"/>
  <c r="K139" i="2"/>
  <c r="J139" i="2"/>
  <c r="I139" i="2"/>
  <c r="H139" i="2"/>
  <c r="G139" i="2"/>
  <c r="F139" i="2"/>
  <c r="E139" i="2"/>
  <c r="D139" i="2"/>
  <c r="C139" i="2"/>
  <c r="A139" i="2"/>
  <c r="Q138" i="2"/>
  <c r="P138" i="2"/>
  <c r="O138" i="2"/>
  <c r="N138" i="2"/>
  <c r="M138" i="2"/>
  <c r="L138" i="2"/>
  <c r="K138" i="2"/>
  <c r="J138" i="2"/>
  <c r="I138" i="2"/>
  <c r="H138" i="2"/>
  <c r="G138" i="2"/>
  <c r="F138" i="2"/>
  <c r="E138" i="2"/>
  <c r="D138" i="2"/>
  <c r="C138" i="2"/>
  <c r="A138" i="2"/>
  <c r="Q137" i="2"/>
  <c r="P137" i="2"/>
  <c r="O137" i="2"/>
  <c r="N137" i="2"/>
  <c r="M137" i="2"/>
  <c r="L137" i="2"/>
  <c r="K137" i="2"/>
  <c r="J137" i="2"/>
  <c r="I137" i="2"/>
  <c r="H137" i="2"/>
  <c r="G137" i="2"/>
  <c r="F137" i="2"/>
  <c r="E137" i="2"/>
  <c r="D137" i="2"/>
  <c r="C137" i="2"/>
  <c r="A137" i="2"/>
  <c r="Q136" i="2"/>
  <c r="P136" i="2"/>
  <c r="O136" i="2"/>
  <c r="N136" i="2"/>
  <c r="M136" i="2"/>
  <c r="L136" i="2"/>
  <c r="K136" i="2"/>
  <c r="J136" i="2"/>
  <c r="I136" i="2"/>
  <c r="H136" i="2"/>
  <c r="G136" i="2"/>
  <c r="F136" i="2"/>
  <c r="E136" i="2"/>
  <c r="D136" i="2"/>
  <c r="C136" i="2"/>
  <c r="A136" i="2"/>
  <c r="Q135" i="2"/>
  <c r="P135" i="2"/>
  <c r="O135" i="2"/>
  <c r="N135" i="2"/>
  <c r="M135" i="2"/>
  <c r="L135" i="2"/>
  <c r="K135" i="2"/>
  <c r="J135" i="2"/>
  <c r="I135" i="2"/>
  <c r="H135" i="2"/>
  <c r="G135" i="2"/>
  <c r="F135" i="2"/>
  <c r="E135" i="2"/>
  <c r="D135" i="2"/>
  <c r="C135" i="2"/>
  <c r="A135" i="2"/>
  <c r="Q134" i="2"/>
  <c r="P134" i="2"/>
  <c r="O134" i="2"/>
  <c r="N134" i="2"/>
  <c r="M134" i="2"/>
  <c r="L134" i="2"/>
  <c r="K134" i="2"/>
  <c r="J134" i="2"/>
  <c r="I134" i="2"/>
  <c r="H134" i="2"/>
  <c r="G134" i="2"/>
  <c r="F134" i="2"/>
  <c r="E134" i="2"/>
  <c r="D134" i="2"/>
  <c r="C134" i="2"/>
  <c r="A134" i="2"/>
  <c r="Q133" i="2"/>
  <c r="P133" i="2"/>
  <c r="O133" i="2"/>
  <c r="N133" i="2"/>
  <c r="M133" i="2"/>
  <c r="L133" i="2"/>
  <c r="K133" i="2"/>
  <c r="J133" i="2"/>
  <c r="I133" i="2"/>
  <c r="H133" i="2"/>
  <c r="G133" i="2"/>
  <c r="F133" i="2"/>
  <c r="E133" i="2"/>
  <c r="D133" i="2"/>
  <c r="C133" i="2"/>
  <c r="A133" i="2"/>
  <c r="Q132" i="2"/>
  <c r="P132" i="2"/>
  <c r="O132" i="2"/>
  <c r="N132" i="2"/>
  <c r="M132" i="2"/>
  <c r="L132" i="2"/>
  <c r="K132" i="2"/>
  <c r="J132" i="2"/>
  <c r="I132" i="2"/>
  <c r="H132" i="2"/>
  <c r="G132" i="2"/>
  <c r="F132" i="2"/>
  <c r="E132" i="2"/>
  <c r="D132" i="2"/>
  <c r="C132" i="2"/>
  <c r="A132" i="2"/>
  <c r="Q131" i="2"/>
  <c r="P131" i="2"/>
  <c r="O131" i="2"/>
  <c r="N131" i="2"/>
  <c r="M131" i="2"/>
  <c r="L131" i="2"/>
  <c r="K131" i="2"/>
  <c r="J131" i="2"/>
  <c r="I131" i="2"/>
  <c r="H131" i="2"/>
  <c r="G131" i="2"/>
  <c r="F131" i="2"/>
  <c r="E131" i="2"/>
  <c r="D131" i="2"/>
  <c r="C131" i="2"/>
  <c r="A131" i="2"/>
  <c r="Q130" i="2"/>
  <c r="P130" i="2"/>
  <c r="O130" i="2"/>
  <c r="N130" i="2"/>
  <c r="M130" i="2"/>
  <c r="L130" i="2"/>
  <c r="K130" i="2"/>
  <c r="J130" i="2"/>
  <c r="I130" i="2"/>
  <c r="H130" i="2"/>
  <c r="G130" i="2"/>
  <c r="F130" i="2"/>
  <c r="E130" i="2"/>
  <c r="D130" i="2"/>
  <c r="C130" i="2"/>
  <c r="A130" i="2"/>
  <c r="Q129" i="2"/>
  <c r="P129" i="2"/>
  <c r="O129" i="2"/>
  <c r="N129" i="2"/>
  <c r="M129" i="2"/>
  <c r="L129" i="2"/>
  <c r="K129" i="2"/>
  <c r="J129" i="2"/>
  <c r="I129" i="2"/>
  <c r="H129" i="2"/>
  <c r="G129" i="2"/>
  <c r="F129" i="2"/>
  <c r="E129" i="2"/>
  <c r="D129" i="2"/>
  <c r="C129" i="2"/>
  <c r="A129" i="2"/>
  <c r="Q128" i="2"/>
  <c r="P128" i="2"/>
  <c r="O128" i="2"/>
  <c r="N128" i="2"/>
  <c r="M128" i="2"/>
  <c r="L128" i="2"/>
  <c r="K128" i="2"/>
  <c r="J128" i="2"/>
  <c r="I128" i="2"/>
  <c r="H128" i="2"/>
  <c r="G128" i="2"/>
  <c r="F128" i="2"/>
  <c r="E128" i="2"/>
  <c r="D128" i="2"/>
  <c r="C128" i="2"/>
  <c r="A128" i="2"/>
  <c r="Q127" i="2"/>
  <c r="P127" i="2"/>
  <c r="O127" i="2"/>
  <c r="N127" i="2"/>
  <c r="M127" i="2"/>
  <c r="L127" i="2"/>
  <c r="K127" i="2"/>
  <c r="J127" i="2"/>
  <c r="I127" i="2"/>
  <c r="H127" i="2"/>
  <c r="G127" i="2"/>
  <c r="F127" i="2"/>
  <c r="E127" i="2"/>
  <c r="D127" i="2"/>
  <c r="C127" i="2"/>
  <c r="A127" i="2"/>
  <c r="Q126" i="2"/>
  <c r="P126" i="2"/>
  <c r="O126" i="2"/>
  <c r="N126" i="2"/>
  <c r="M126" i="2"/>
  <c r="L126" i="2"/>
  <c r="K126" i="2"/>
  <c r="J126" i="2"/>
  <c r="I126" i="2"/>
  <c r="H126" i="2"/>
  <c r="G126" i="2"/>
  <c r="F126" i="2"/>
  <c r="E126" i="2"/>
  <c r="D126" i="2"/>
  <c r="C126" i="2"/>
  <c r="A126" i="2"/>
  <c r="Q125" i="2"/>
  <c r="P125" i="2"/>
  <c r="O125" i="2"/>
  <c r="N125" i="2"/>
  <c r="M125" i="2"/>
  <c r="L125" i="2"/>
  <c r="K125" i="2"/>
  <c r="J125" i="2"/>
  <c r="I125" i="2"/>
  <c r="H125" i="2"/>
  <c r="G125" i="2"/>
  <c r="F125" i="2"/>
  <c r="E125" i="2"/>
  <c r="D125" i="2"/>
  <c r="C125" i="2"/>
  <c r="A125" i="2"/>
  <c r="Q124" i="2"/>
  <c r="P124" i="2"/>
  <c r="O124" i="2"/>
  <c r="N124" i="2"/>
  <c r="M124" i="2"/>
  <c r="L124" i="2"/>
  <c r="K124" i="2"/>
  <c r="J124" i="2"/>
  <c r="I124" i="2"/>
  <c r="H124" i="2"/>
  <c r="G124" i="2"/>
  <c r="F124" i="2"/>
  <c r="E124" i="2"/>
  <c r="D124" i="2"/>
  <c r="C124" i="2"/>
  <c r="A124" i="2"/>
  <c r="Q123" i="2"/>
  <c r="P123" i="2"/>
  <c r="O123" i="2"/>
  <c r="N123" i="2"/>
  <c r="M123" i="2"/>
  <c r="L123" i="2"/>
  <c r="K123" i="2"/>
  <c r="J123" i="2"/>
  <c r="I123" i="2"/>
  <c r="H123" i="2"/>
  <c r="G123" i="2"/>
  <c r="F123" i="2"/>
  <c r="E123" i="2"/>
  <c r="D123" i="2"/>
  <c r="C123" i="2"/>
  <c r="A123" i="2"/>
  <c r="Q122" i="2"/>
  <c r="P122" i="2"/>
  <c r="O122" i="2"/>
  <c r="N122" i="2"/>
  <c r="M122" i="2"/>
  <c r="L122" i="2"/>
  <c r="K122" i="2"/>
  <c r="J122" i="2"/>
  <c r="I122" i="2"/>
  <c r="H122" i="2"/>
  <c r="G122" i="2"/>
  <c r="F122" i="2"/>
  <c r="E122" i="2"/>
  <c r="D122" i="2"/>
  <c r="C122" i="2"/>
  <c r="A122" i="2"/>
  <c r="Q121" i="2"/>
  <c r="P121" i="2"/>
  <c r="O121" i="2"/>
  <c r="N121" i="2"/>
  <c r="M121" i="2"/>
  <c r="L121" i="2"/>
  <c r="K121" i="2"/>
  <c r="J121" i="2"/>
  <c r="I121" i="2"/>
  <c r="H121" i="2"/>
  <c r="G121" i="2"/>
  <c r="F121" i="2"/>
  <c r="E121" i="2"/>
  <c r="D121" i="2"/>
  <c r="C121" i="2"/>
  <c r="A121" i="2"/>
  <c r="Q120" i="2"/>
  <c r="P120" i="2"/>
  <c r="O120" i="2"/>
  <c r="N120" i="2"/>
  <c r="M120" i="2"/>
  <c r="L120" i="2"/>
  <c r="K120" i="2"/>
  <c r="J120" i="2"/>
  <c r="I120" i="2"/>
  <c r="H120" i="2"/>
  <c r="G120" i="2"/>
  <c r="F120" i="2"/>
  <c r="E120" i="2"/>
  <c r="D120" i="2"/>
  <c r="C120" i="2"/>
  <c r="A120" i="2"/>
  <c r="Q119" i="2"/>
  <c r="P119" i="2"/>
  <c r="O119" i="2"/>
  <c r="N119" i="2"/>
  <c r="M119" i="2"/>
  <c r="L119" i="2"/>
  <c r="K119" i="2"/>
  <c r="J119" i="2"/>
  <c r="I119" i="2"/>
  <c r="H119" i="2"/>
  <c r="G119" i="2"/>
  <c r="F119" i="2"/>
  <c r="E119" i="2"/>
  <c r="D119" i="2"/>
  <c r="C119" i="2"/>
  <c r="A119" i="2"/>
  <c r="Q118" i="2"/>
  <c r="P118" i="2"/>
  <c r="O118" i="2"/>
  <c r="N118" i="2"/>
  <c r="M118" i="2"/>
  <c r="L118" i="2"/>
  <c r="K118" i="2"/>
  <c r="J118" i="2"/>
  <c r="I118" i="2"/>
  <c r="H118" i="2"/>
  <c r="G118" i="2"/>
  <c r="F118" i="2"/>
  <c r="E118" i="2"/>
  <c r="D118" i="2"/>
  <c r="C118" i="2"/>
  <c r="A118" i="2"/>
  <c r="Q117" i="2"/>
  <c r="P117" i="2"/>
  <c r="O117" i="2"/>
  <c r="N117" i="2"/>
  <c r="M117" i="2"/>
  <c r="L117" i="2"/>
  <c r="K117" i="2"/>
  <c r="J117" i="2"/>
  <c r="I117" i="2"/>
  <c r="H117" i="2"/>
  <c r="G117" i="2"/>
  <c r="F117" i="2"/>
  <c r="E117" i="2"/>
  <c r="D117" i="2"/>
  <c r="C117" i="2"/>
  <c r="A117" i="2"/>
  <c r="Q116" i="2"/>
  <c r="P116" i="2"/>
  <c r="O116" i="2"/>
  <c r="N116" i="2"/>
  <c r="M116" i="2"/>
  <c r="L116" i="2"/>
  <c r="K116" i="2"/>
  <c r="J116" i="2"/>
  <c r="I116" i="2"/>
  <c r="H116" i="2"/>
  <c r="G116" i="2"/>
  <c r="F116" i="2"/>
  <c r="E116" i="2"/>
  <c r="D116" i="2"/>
  <c r="C116" i="2"/>
  <c r="A116" i="2"/>
  <c r="Q115" i="2"/>
  <c r="P115" i="2"/>
  <c r="O115" i="2"/>
  <c r="N115" i="2"/>
  <c r="M115" i="2"/>
  <c r="L115" i="2"/>
  <c r="K115" i="2"/>
  <c r="J115" i="2"/>
  <c r="I115" i="2"/>
  <c r="H115" i="2"/>
  <c r="G115" i="2"/>
  <c r="F115" i="2"/>
  <c r="E115" i="2"/>
  <c r="D115" i="2"/>
  <c r="C115" i="2"/>
  <c r="A115" i="2"/>
  <c r="Q114" i="2"/>
  <c r="P114" i="2"/>
  <c r="O114" i="2"/>
  <c r="N114" i="2"/>
  <c r="M114" i="2"/>
  <c r="L114" i="2"/>
  <c r="K114" i="2"/>
  <c r="J114" i="2"/>
  <c r="I114" i="2"/>
  <c r="H114" i="2"/>
  <c r="G114" i="2"/>
  <c r="F114" i="2"/>
  <c r="E114" i="2"/>
  <c r="D114" i="2"/>
  <c r="C114" i="2"/>
  <c r="A114" i="2"/>
  <c r="Q113" i="2"/>
  <c r="P113" i="2"/>
  <c r="O113" i="2"/>
  <c r="N113" i="2"/>
  <c r="M113" i="2"/>
  <c r="L113" i="2"/>
  <c r="K113" i="2"/>
  <c r="J113" i="2"/>
  <c r="I113" i="2"/>
  <c r="H113" i="2"/>
  <c r="G113" i="2"/>
  <c r="F113" i="2"/>
  <c r="E113" i="2"/>
  <c r="D113" i="2"/>
  <c r="C113" i="2"/>
  <c r="A113" i="2"/>
  <c r="Q112" i="2"/>
  <c r="P112" i="2"/>
  <c r="O112" i="2"/>
  <c r="N112" i="2"/>
  <c r="M112" i="2"/>
  <c r="L112" i="2"/>
  <c r="K112" i="2"/>
  <c r="J112" i="2"/>
  <c r="I112" i="2"/>
  <c r="H112" i="2"/>
  <c r="G112" i="2"/>
  <c r="F112" i="2"/>
  <c r="E112" i="2"/>
  <c r="D112" i="2"/>
  <c r="C112" i="2"/>
  <c r="A112" i="2"/>
  <c r="Q111" i="2"/>
  <c r="P111" i="2"/>
  <c r="O111" i="2"/>
  <c r="N111" i="2"/>
  <c r="M111" i="2"/>
  <c r="L111" i="2"/>
  <c r="K111" i="2"/>
  <c r="J111" i="2"/>
  <c r="I111" i="2"/>
  <c r="H111" i="2"/>
  <c r="G111" i="2"/>
  <c r="F111" i="2"/>
  <c r="E111" i="2"/>
  <c r="D111" i="2"/>
  <c r="C111" i="2"/>
  <c r="A111" i="2"/>
  <c r="Q110" i="2"/>
  <c r="P110" i="2"/>
  <c r="O110" i="2"/>
  <c r="N110" i="2"/>
  <c r="M110" i="2"/>
  <c r="L110" i="2"/>
  <c r="K110" i="2"/>
  <c r="J110" i="2"/>
  <c r="I110" i="2"/>
  <c r="H110" i="2"/>
  <c r="G110" i="2"/>
  <c r="F110" i="2"/>
  <c r="E110" i="2"/>
  <c r="D110" i="2"/>
  <c r="C110" i="2"/>
  <c r="A110" i="2"/>
  <c r="Q109" i="2"/>
  <c r="P109" i="2"/>
  <c r="O109" i="2"/>
  <c r="N109" i="2"/>
  <c r="M109" i="2"/>
  <c r="L109" i="2"/>
  <c r="K109" i="2"/>
  <c r="J109" i="2"/>
  <c r="I109" i="2"/>
  <c r="H109" i="2"/>
  <c r="G109" i="2"/>
  <c r="F109" i="2"/>
  <c r="E109" i="2"/>
  <c r="D109" i="2"/>
  <c r="C109" i="2"/>
  <c r="A109" i="2"/>
  <c r="Q108" i="2"/>
  <c r="P108" i="2"/>
  <c r="O108" i="2"/>
  <c r="N108" i="2"/>
  <c r="M108" i="2"/>
  <c r="L108" i="2"/>
  <c r="K108" i="2"/>
  <c r="J108" i="2"/>
  <c r="I108" i="2"/>
  <c r="H108" i="2"/>
  <c r="G108" i="2"/>
  <c r="F108" i="2"/>
  <c r="E108" i="2"/>
  <c r="D108" i="2"/>
  <c r="C108" i="2"/>
  <c r="A108" i="2"/>
  <c r="Q107" i="2"/>
  <c r="P107" i="2"/>
  <c r="O107" i="2"/>
  <c r="N107" i="2"/>
  <c r="M107" i="2"/>
  <c r="L107" i="2"/>
  <c r="K107" i="2"/>
  <c r="J107" i="2"/>
  <c r="I107" i="2"/>
  <c r="H107" i="2"/>
  <c r="G107" i="2"/>
  <c r="F107" i="2"/>
  <c r="E107" i="2"/>
  <c r="D107" i="2"/>
  <c r="C107" i="2"/>
  <c r="A107" i="2"/>
  <c r="Q106" i="2"/>
  <c r="P106" i="2"/>
  <c r="O106" i="2"/>
  <c r="N106" i="2"/>
  <c r="M106" i="2"/>
  <c r="L106" i="2"/>
  <c r="K106" i="2"/>
  <c r="J106" i="2"/>
  <c r="I106" i="2"/>
  <c r="H106" i="2"/>
  <c r="G106" i="2"/>
  <c r="F106" i="2"/>
  <c r="E106" i="2"/>
  <c r="D106" i="2"/>
  <c r="C106" i="2"/>
  <c r="A106" i="2"/>
  <c r="Q105" i="2"/>
  <c r="P105" i="2"/>
  <c r="O105" i="2"/>
  <c r="N105" i="2"/>
  <c r="M105" i="2"/>
  <c r="L105" i="2"/>
  <c r="K105" i="2"/>
  <c r="J105" i="2"/>
  <c r="I105" i="2"/>
  <c r="H105" i="2"/>
  <c r="G105" i="2"/>
  <c r="F105" i="2"/>
  <c r="E105" i="2"/>
  <c r="D105" i="2"/>
  <c r="C105" i="2"/>
  <c r="A105" i="2"/>
  <c r="Q104" i="2"/>
  <c r="P104" i="2"/>
  <c r="O104" i="2"/>
  <c r="N104" i="2"/>
  <c r="M104" i="2"/>
  <c r="L104" i="2"/>
  <c r="K104" i="2"/>
  <c r="J104" i="2"/>
  <c r="I104" i="2"/>
  <c r="H104" i="2"/>
  <c r="G104" i="2"/>
  <c r="F104" i="2"/>
  <c r="E104" i="2"/>
  <c r="D104" i="2"/>
  <c r="C104" i="2"/>
  <c r="A104" i="2"/>
  <c r="Q103" i="2"/>
  <c r="P103" i="2"/>
  <c r="O103" i="2"/>
  <c r="N103" i="2"/>
  <c r="M103" i="2"/>
  <c r="L103" i="2"/>
  <c r="K103" i="2"/>
  <c r="J103" i="2"/>
  <c r="I103" i="2"/>
  <c r="H103" i="2"/>
  <c r="G103" i="2"/>
  <c r="F103" i="2"/>
  <c r="E103" i="2"/>
  <c r="D103" i="2"/>
  <c r="C103" i="2"/>
  <c r="A103" i="2"/>
  <c r="Q102" i="2"/>
  <c r="P102" i="2"/>
  <c r="O102" i="2"/>
  <c r="N102" i="2"/>
  <c r="M102" i="2"/>
  <c r="L102" i="2"/>
  <c r="K102" i="2"/>
  <c r="J102" i="2"/>
  <c r="I102" i="2"/>
  <c r="H102" i="2"/>
  <c r="G102" i="2"/>
  <c r="F102" i="2"/>
  <c r="E102" i="2"/>
  <c r="D102" i="2"/>
  <c r="C102" i="2"/>
  <c r="A102" i="2"/>
  <c r="Q101" i="2"/>
  <c r="P101" i="2"/>
  <c r="O101" i="2"/>
  <c r="N101" i="2"/>
  <c r="M101" i="2"/>
  <c r="L101" i="2"/>
  <c r="K101" i="2"/>
  <c r="J101" i="2"/>
  <c r="I101" i="2"/>
  <c r="H101" i="2"/>
  <c r="G101" i="2"/>
  <c r="F101" i="2"/>
  <c r="E101" i="2"/>
  <c r="D101" i="2"/>
  <c r="C101" i="2"/>
  <c r="A101" i="2"/>
  <c r="Q100" i="2"/>
  <c r="P100" i="2"/>
  <c r="O100" i="2"/>
  <c r="N100" i="2"/>
  <c r="M100" i="2"/>
  <c r="L100" i="2"/>
  <c r="K100" i="2"/>
  <c r="J100" i="2"/>
  <c r="I100" i="2"/>
  <c r="H100" i="2"/>
  <c r="G100" i="2"/>
  <c r="F100" i="2"/>
  <c r="E100" i="2"/>
  <c r="D100" i="2"/>
  <c r="C100" i="2"/>
  <c r="A100" i="2"/>
  <c r="Q99" i="2"/>
  <c r="P99" i="2"/>
  <c r="O99" i="2"/>
  <c r="N99" i="2"/>
  <c r="M99" i="2"/>
  <c r="L99" i="2"/>
  <c r="K99" i="2"/>
  <c r="J99" i="2"/>
  <c r="I99" i="2"/>
  <c r="H99" i="2"/>
  <c r="G99" i="2"/>
  <c r="F99" i="2"/>
  <c r="E99" i="2"/>
  <c r="D99" i="2"/>
  <c r="C99" i="2"/>
  <c r="A99" i="2"/>
  <c r="Q98" i="2"/>
  <c r="P98" i="2"/>
  <c r="O98" i="2"/>
  <c r="N98" i="2"/>
  <c r="M98" i="2"/>
  <c r="L98" i="2"/>
  <c r="K98" i="2"/>
  <c r="J98" i="2"/>
  <c r="I98" i="2"/>
  <c r="H98" i="2"/>
  <c r="G98" i="2"/>
  <c r="F98" i="2"/>
  <c r="E98" i="2"/>
  <c r="D98" i="2"/>
  <c r="C98" i="2"/>
  <c r="A98" i="2"/>
  <c r="Q97" i="2"/>
  <c r="P97" i="2"/>
  <c r="O97" i="2"/>
  <c r="N97" i="2"/>
  <c r="M97" i="2"/>
  <c r="L97" i="2"/>
  <c r="K97" i="2"/>
  <c r="J97" i="2"/>
  <c r="I97" i="2"/>
  <c r="H97" i="2"/>
  <c r="G97" i="2"/>
  <c r="F97" i="2"/>
  <c r="E97" i="2"/>
  <c r="D97" i="2"/>
  <c r="C97" i="2"/>
  <c r="A97" i="2"/>
  <c r="Q96" i="2"/>
  <c r="P96" i="2"/>
  <c r="O96" i="2"/>
  <c r="N96" i="2"/>
  <c r="M96" i="2"/>
  <c r="L96" i="2"/>
  <c r="K96" i="2"/>
  <c r="J96" i="2"/>
  <c r="I96" i="2"/>
  <c r="H96" i="2"/>
  <c r="G96" i="2"/>
  <c r="F96" i="2"/>
  <c r="E96" i="2"/>
  <c r="D96" i="2"/>
  <c r="C96" i="2"/>
  <c r="A96" i="2"/>
  <c r="Q95" i="2"/>
  <c r="P95" i="2"/>
  <c r="O95" i="2"/>
  <c r="N95" i="2"/>
  <c r="M95" i="2"/>
  <c r="L95" i="2"/>
  <c r="K95" i="2"/>
  <c r="J95" i="2"/>
  <c r="I95" i="2"/>
  <c r="H95" i="2"/>
  <c r="G95" i="2"/>
  <c r="F95" i="2"/>
  <c r="E95" i="2"/>
  <c r="D95" i="2"/>
  <c r="C95" i="2"/>
  <c r="A95" i="2"/>
  <c r="Q94" i="2"/>
  <c r="P94" i="2"/>
  <c r="O94" i="2"/>
  <c r="N94" i="2"/>
  <c r="M94" i="2"/>
  <c r="L94" i="2"/>
  <c r="K94" i="2"/>
  <c r="J94" i="2"/>
  <c r="I94" i="2"/>
  <c r="H94" i="2"/>
  <c r="G94" i="2"/>
  <c r="F94" i="2"/>
  <c r="E94" i="2"/>
  <c r="D94" i="2"/>
  <c r="C94" i="2"/>
  <c r="A94" i="2"/>
  <c r="Q93" i="2"/>
  <c r="P93" i="2"/>
  <c r="O93" i="2"/>
  <c r="N93" i="2"/>
  <c r="M93" i="2"/>
  <c r="L93" i="2"/>
  <c r="K93" i="2"/>
  <c r="J93" i="2"/>
  <c r="I93" i="2"/>
  <c r="H93" i="2"/>
  <c r="G93" i="2"/>
  <c r="F93" i="2"/>
  <c r="E93" i="2"/>
  <c r="D93" i="2"/>
  <c r="C93" i="2"/>
  <c r="A93" i="2"/>
  <c r="Q92" i="2"/>
  <c r="P92" i="2"/>
  <c r="O92" i="2"/>
  <c r="N92" i="2"/>
  <c r="M92" i="2"/>
  <c r="L92" i="2"/>
  <c r="K92" i="2"/>
  <c r="J92" i="2"/>
  <c r="I92" i="2"/>
  <c r="H92" i="2"/>
  <c r="G92" i="2"/>
  <c r="F92" i="2"/>
  <c r="E92" i="2"/>
  <c r="D92" i="2"/>
  <c r="C92" i="2"/>
  <c r="A92" i="2"/>
  <c r="Q91" i="2"/>
  <c r="P91" i="2"/>
  <c r="O91" i="2"/>
  <c r="N91" i="2"/>
  <c r="M91" i="2"/>
  <c r="L91" i="2"/>
  <c r="K91" i="2"/>
  <c r="J91" i="2"/>
  <c r="I91" i="2"/>
  <c r="H91" i="2"/>
  <c r="G91" i="2"/>
  <c r="F91" i="2"/>
  <c r="E91" i="2"/>
  <c r="D91" i="2"/>
  <c r="C91" i="2"/>
  <c r="A91" i="2"/>
  <c r="Q90" i="2"/>
  <c r="P90" i="2"/>
  <c r="O90" i="2"/>
  <c r="N90" i="2"/>
  <c r="M90" i="2"/>
  <c r="L90" i="2"/>
  <c r="K90" i="2"/>
  <c r="J90" i="2"/>
  <c r="I90" i="2"/>
  <c r="H90" i="2"/>
  <c r="G90" i="2"/>
  <c r="F90" i="2"/>
  <c r="E90" i="2"/>
  <c r="D90" i="2"/>
  <c r="C90" i="2"/>
  <c r="A90" i="2"/>
  <c r="Q89" i="2"/>
  <c r="P89" i="2"/>
  <c r="O89" i="2"/>
  <c r="N89" i="2"/>
  <c r="M89" i="2"/>
  <c r="L89" i="2"/>
  <c r="K89" i="2"/>
  <c r="J89" i="2"/>
  <c r="I89" i="2"/>
  <c r="H89" i="2"/>
  <c r="G89" i="2"/>
  <c r="F89" i="2"/>
  <c r="E89" i="2"/>
  <c r="D89" i="2"/>
  <c r="C89" i="2"/>
  <c r="A89" i="2"/>
  <c r="Q88" i="2"/>
  <c r="P88" i="2"/>
  <c r="O88" i="2"/>
  <c r="N88" i="2"/>
  <c r="M88" i="2"/>
  <c r="L88" i="2"/>
  <c r="K88" i="2"/>
  <c r="J88" i="2"/>
  <c r="I88" i="2"/>
  <c r="H88" i="2"/>
  <c r="G88" i="2"/>
  <c r="F88" i="2"/>
  <c r="E88" i="2"/>
  <c r="D88" i="2"/>
  <c r="C88" i="2"/>
  <c r="A88" i="2"/>
  <c r="Q87" i="2"/>
  <c r="P87" i="2"/>
  <c r="O87" i="2"/>
  <c r="N87" i="2"/>
  <c r="M87" i="2"/>
  <c r="L87" i="2"/>
  <c r="K87" i="2"/>
  <c r="J87" i="2"/>
  <c r="I87" i="2"/>
  <c r="H87" i="2"/>
  <c r="G87" i="2"/>
  <c r="F87" i="2"/>
  <c r="E87" i="2"/>
  <c r="D87" i="2"/>
  <c r="C87" i="2"/>
  <c r="A87" i="2"/>
  <c r="Q86" i="2"/>
  <c r="P86" i="2"/>
  <c r="O86" i="2"/>
  <c r="N86" i="2"/>
  <c r="M86" i="2"/>
  <c r="L86" i="2"/>
  <c r="K86" i="2"/>
  <c r="J86" i="2"/>
  <c r="I86" i="2"/>
  <c r="H86" i="2"/>
  <c r="G86" i="2"/>
  <c r="F86" i="2"/>
  <c r="E86" i="2"/>
  <c r="D86" i="2"/>
  <c r="C86" i="2"/>
  <c r="A86" i="2"/>
  <c r="Q85" i="2"/>
  <c r="P85" i="2"/>
  <c r="O85" i="2"/>
  <c r="N85" i="2"/>
  <c r="M85" i="2"/>
  <c r="L85" i="2"/>
  <c r="K85" i="2"/>
  <c r="J85" i="2"/>
  <c r="I85" i="2"/>
  <c r="H85" i="2"/>
  <c r="G85" i="2"/>
  <c r="F85" i="2"/>
  <c r="E85" i="2"/>
  <c r="D85" i="2"/>
  <c r="C85" i="2"/>
  <c r="A85" i="2"/>
  <c r="Q84" i="2"/>
  <c r="P84" i="2"/>
  <c r="O84" i="2"/>
  <c r="N84" i="2"/>
  <c r="M84" i="2"/>
  <c r="L84" i="2"/>
  <c r="K84" i="2"/>
  <c r="J84" i="2"/>
  <c r="I84" i="2"/>
  <c r="H84" i="2"/>
  <c r="G84" i="2"/>
  <c r="F84" i="2"/>
  <c r="E84" i="2"/>
  <c r="D84" i="2"/>
  <c r="C84" i="2"/>
  <c r="A84" i="2"/>
  <c r="Q83" i="2"/>
  <c r="P83" i="2"/>
  <c r="O83" i="2"/>
  <c r="N83" i="2"/>
  <c r="M83" i="2"/>
  <c r="L83" i="2"/>
  <c r="K83" i="2"/>
  <c r="J83" i="2"/>
  <c r="I83" i="2"/>
  <c r="H83" i="2"/>
  <c r="G83" i="2"/>
  <c r="F83" i="2"/>
  <c r="E83" i="2"/>
  <c r="D83" i="2"/>
  <c r="C83" i="2"/>
  <c r="A83" i="2"/>
  <c r="Q82" i="2"/>
  <c r="P82" i="2"/>
  <c r="O82" i="2"/>
  <c r="N82" i="2"/>
  <c r="M82" i="2"/>
  <c r="L82" i="2"/>
  <c r="K82" i="2"/>
  <c r="J82" i="2"/>
  <c r="I82" i="2"/>
  <c r="H82" i="2"/>
  <c r="G82" i="2"/>
  <c r="F82" i="2"/>
  <c r="E82" i="2"/>
  <c r="D82" i="2"/>
  <c r="C82" i="2"/>
  <c r="A82" i="2"/>
  <c r="Q81" i="2"/>
  <c r="P81" i="2"/>
  <c r="O81" i="2"/>
  <c r="N81" i="2"/>
  <c r="M81" i="2"/>
  <c r="L81" i="2"/>
  <c r="K81" i="2"/>
  <c r="J81" i="2"/>
  <c r="I81" i="2"/>
  <c r="H81" i="2"/>
  <c r="G81" i="2"/>
  <c r="F81" i="2"/>
  <c r="E81" i="2"/>
  <c r="D81" i="2"/>
  <c r="C81" i="2"/>
  <c r="A81" i="2"/>
  <c r="Q80" i="2"/>
  <c r="P80" i="2"/>
  <c r="O80" i="2"/>
  <c r="N80" i="2"/>
  <c r="M80" i="2"/>
  <c r="L80" i="2"/>
  <c r="K80" i="2"/>
  <c r="J80" i="2"/>
  <c r="I80" i="2"/>
  <c r="H80" i="2"/>
  <c r="G80" i="2"/>
  <c r="F80" i="2"/>
  <c r="E80" i="2"/>
  <c r="D80" i="2"/>
  <c r="C80" i="2"/>
  <c r="A80" i="2"/>
  <c r="Q79" i="2"/>
  <c r="P79" i="2"/>
  <c r="O79" i="2"/>
  <c r="N79" i="2"/>
  <c r="M79" i="2"/>
  <c r="L79" i="2"/>
  <c r="K79" i="2"/>
  <c r="J79" i="2"/>
  <c r="I79" i="2"/>
  <c r="H79" i="2"/>
  <c r="G79" i="2"/>
  <c r="F79" i="2"/>
  <c r="E79" i="2"/>
  <c r="D79" i="2"/>
  <c r="C79" i="2"/>
  <c r="A79" i="2"/>
  <c r="Q78" i="2"/>
  <c r="P78" i="2"/>
  <c r="O78" i="2"/>
  <c r="N78" i="2"/>
  <c r="M78" i="2"/>
  <c r="L78" i="2"/>
  <c r="K78" i="2"/>
  <c r="J78" i="2"/>
  <c r="I78" i="2"/>
  <c r="H78" i="2"/>
  <c r="G78" i="2"/>
  <c r="F78" i="2"/>
  <c r="E78" i="2"/>
  <c r="D78" i="2"/>
  <c r="C78" i="2"/>
  <c r="A78" i="2"/>
  <c r="Q77" i="2"/>
  <c r="P77" i="2"/>
  <c r="O77" i="2"/>
  <c r="N77" i="2"/>
  <c r="M77" i="2"/>
  <c r="L77" i="2"/>
  <c r="K77" i="2"/>
  <c r="J77" i="2"/>
  <c r="I77" i="2"/>
  <c r="H77" i="2"/>
  <c r="G77" i="2"/>
  <c r="F77" i="2"/>
  <c r="E77" i="2"/>
  <c r="D77" i="2"/>
  <c r="C77" i="2"/>
  <c r="A77" i="2"/>
  <c r="Q76" i="2"/>
  <c r="P76" i="2"/>
  <c r="O76" i="2"/>
  <c r="N76" i="2"/>
  <c r="M76" i="2"/>
  <c r="L76" i="2"/>
  <c r="K76" i="2"/>
  <c r="J76" i="2"/>
  <c r="I76" i="2"/>
  <c r="H76" i="2"/>
  <c r="G76" i="2"/>
  <c r="F76" i="2"/>
  <c r="E76" i="2"/>
  <c r="D76" i="2"/>
  <c r="C76" i="2"/>
  <c r="A76" i="2"/>
  <c r="Q75" i="2"/>
  <c r="P75" i="2"/>
  <c r="O75" i="2"/>
  <c r="N75" i="2"/>
  <c r="M75" i="2"/>
  <c r="L75" i="2"/>
  <c r="K75" i="2"/>
  <c r="J75" i="2"/>
  <c r="I75" i="2"/>
  <c r="H75" i="2"/>
  <c r="G75" i="2"/>
  <c r="F75" i="2"/>
  <c r="E75" i="2"/>
  <c r="D75" i="2"/>
  <c r="C75" i="2"/>
  <c r="A75" i="2"/>
  <c r="Q74" i="2"/>
  <c r="P74" i="2"/>
  <c r="O74" i="2"/>
  <c r="N74" i="2"/>
  <c r="M74" i="2"/>
  <c r="L74" i="2"/>
  <c r="K74" i="2"/>
  <c r="J74" i="2"/>
  <c r="I74" i="2"/>
  <c r="H74" i="2"/>
  <c r="G74" i="2"/>
  <c r="F74" i="2"/>
  <c r="E74" i="2"/>
  <c r="D74" i="2"/>
  <c r="C74" i="2"/>
  <c r="A74" i="2"/>
  <c r="Q73" i="2"/>
  <c r="P73" i="2"/>
  <c r="O73" i="2"/>
  <c r="N73" i="2"/>
  <c r="M73" i="2"/>
  <c r="L73" i="2"/>
  <c r="K73" i="2"/>
  <c r="J73" i="2"/>
  <c r="I73" i="2"/>
  <c r="H73" i="2"/>
  <c r="G73" i="2"/>
  <c r="F73" i="2"/>
  <c r="E73" i="2"/>
  <c r="D73" i="2"/>
  <c r="C73" i="2"/>
  <c r="A73" i="2"/>
  <c r="Q72" i="2"/>
  <c r="P72" i="2"/>
  <c r="O72" i="2"/>
  <c r="N72" i="2"/>
  <c r="M72" i="2"/>
  <c r="L72" i="2"/>
  <c r="K72" i="2"/>
  <c r="J72" i="2"/>
  <c r="I72" i="2"/>
  <c r="H72" i="2"/>
  <c r="G72" i="2"/>
  <c r="F72" i="2"/>
  <c r="E72" i="2"/>
  <c r="D72" i="2"/>
  <c r="C72" i="2"/>
  <c r="A72" i="2"/>
  <c r="Q71" i="2"/>
  <c r="P71" i="2"/>
  <c r="O71" i="2"/>
  <c r="N71" i="2"/>
  <c r="M71" i="2"/>
  <c r="L71" i="2"/>
  <c r="K71" i="2"/>
  <c r="J71" i="2"/>
  <c r="I71" i="2"/>
  <c r="H71" i="2"/>
  <c r="G71" i="2"/>
  <c r="F71" i="2"/>
  <c r="E71" i="2"/>
  <c r="D71" i="2"/>
  <c r="C71" i="2"/>
  <c r="A71" i="2"/>
  <c r="Q70" i="2"/>
  <c r="P70" i="2"/>
  <c r="O70" i="2"/>
  <c r="N70" i="2"/>
  <c r="M70" i="2"/>
  <c r="L70" i="2"/>
  <c r="K70" i="2"/>
  <c r="J70" i="2"/>
  <c r="I70" i="2"/>
  <c r="H70" i="2"/>
  <c r="G70" i="2"/>
  <c r="F70" i="2"/>
  <c r="E70" i="2"/>
  <c r="D70" i="2"/>
  <c r="C70" i="2"/>
  <c r="A70" i="2"/>
  <c r="Q69" i="2"/>
  <c r="P69" i="2"/>
  <c r="O69" i="2"/>
  <c r="N69" i="2"/>
  <c r="M69" i="2"/>
  <c r="L69" i="2"/>
  <c r="K69" i="2"/>
  <c r="J69" i="2"/>
  <c r="I69" i="2"/>
  <c r="H69" i="2"/>
  <c r="G69" i="2"/>
  <c r="F69" i="2"/>
  <c r="E69" i="2"/>
  <c r="D69" i="2"/>
  <c r="C69" i="2"/>
  <c r="A69" i="2"/>
  <c r="Q68" i="2"/>
  <c r="P68" i="2"/>
  <c r="O68" i="2"/>
  <c r="N68" i="2"/>
  <c r="M68" i="2"/>
  <c r="L68" i="2"/>
  <c r="K68" i="2"/>
  <c r="J68" i="2"/>
  <c r="I68" i="2"/>
  <c r="H68" i="2"/>
  <c r="G68" i="2"/>
  <c r="F68" i="2"/>
  <c r="E68" i="2"/>
  <c r="D68" i="2"/>
  <c r="C68" i="2"/>
  <c r="A68" i="2"/>
  <c r="Q67" i="2"/>
  <c r="P67" i="2"/>
  <c r="O67" i="2"/>
  <c r="N67" i="2"/>
  <c r="M67" i="2"/>
  <c r="L67" i="2"/>
  <c r="K67" i="2"/>
  <c r="J67" i="2"/>
  <c r="I67" i="2"/>
  <c r="H67" i="2"/>
  <c r="G67" i="2"/>
  <c r="F67" i="2"/>
  <c r="E67" i="2"/>
  <c r="D67" i="2"/>
  <c r="C67" i="2"/>
  <c r="A67" i="2"/>
  <c r="Q66" i="2"/>
  <c r="P66" i="2"/>
  <c r="O66" i="2"/>
  <c r="N66" i="2"/>
  <c r="M66" i="2"/>
  <c r="L66" i="2"/>
  <c r="K66" i="2"/>
  <c r="J66" i="2"/>
  <c r="I66" i="2"/>
  <c r="H66" i="2"/>
  <c r="G66" i="2"/>
  <c r="F66" i="2"/>
  <c r="E66" i="2"/>
  <c r="D66" i="2"/>
  <c r="C66" i="2"/>
  <c r="A66" i="2"/>
  <c r="Q65" i="2"/>
  <c r="P65" i="2"/>
  <c r="O65" i="2"/>
  <c r="N65" i="2"/>
  <c r="M65" i="2"/>
  <c r="L65" i="2"/>
  <c r="K65" i="2"/>
  <c r="J65" i="2"/>
  <c r="I65" i="2"/>
  <c r="H65" i="2"/>
  <c r="G65" i="2"/>
  <c r="F65" i="2"/>
  <c r="E65" i="2"/>
  <c r="D65" i="2"/>
  <c r="C65" i="2"/>
  <c r="A65" i="2"/>
  <c r="Q64" i="2"/>
  <c r="P64" i="2"/>
  <c r="O64" i="2"/>
  <c r="N64" i="2"/>
  <c r="M64" i="2"/>
  <c r="L64" i="2"/>
  <c r="K64" i="2"/>
  <c r="J64" i="2"/>
  <c r="I64" i="2"/>
  <c r="H64" i="2"/>
  <c r="G64" i="2"/>
  <c r="F64" i="2"/>
  <c r="E64" i="2"/>
  <c r="D64" i="2"/>
  <c r="C64" i="2"/>
  <c r="A64" i="2"/>
  <c r="Q63" i="2"/>
  <c r="P63" i="2"/>
  <c r="O63" i="2"/>
  <c r="N63" i="2"/>
  <c r="M63" i="2"/>
  <c r="L63" i="2"/>
  <c r="K63" i="2"/>
  <c r="J63" i="2"/>
  <c r="I63" i="2"/>
  <c r="H63" i="2"/>
  <c r="G63" i="2"/>
  <c r="F63" i="2"/>
  <c r="E63" i="2"/>
  <c r="D63" i="2"/>
  <c r="C63" i="2"/>
  <c r="A63" i="2"/>
  <c r="Q62" i="2"/>
  <c r="P62" i="2"/>
  <c r="O62" i="2"/>
  <c r="N62" i="2"/>
  <c r="M62" i="2"/>
  <c r="L62" i="2"/>
  <c r="K62" i="2"/>
  <c r="J62" i="2"/>
  <c r="I62" i="2"/>
  <c r="H62" i="2"/>
  <c r="G62" i="2"/>
  <c r="F62" i="2"/>
  <c r="E62" i="2"/>
  <c r="D62" i="2"/>
  <c r="C62" i="2"/>
  <c r="A62" i="2"/>
  <c r="Q61" i="2"/>
  <c r="P61" i="2"/>
  <c r="O61" i="2"/>
  <c r="N61" i="2"/>
  <c r="M61" i="2"/>
  <c r="L61" i="2"/>
  <c r="K61" i="2"/>
  <c r="J61" i="2"/>
  <c r="I61" i="2"/>
  <c r="H61" i="2"/>
  <c r="G61" i="2"/>
  <c r="F61" i="2"/>
  <c r="E61" i="2"/>
  <c r="D61" i="2"/>
  <c r="C61" i="2"/>
  <c r="A61" i="2"/>
  <c r="Q60" i="2"/>
  <c r="P60" i="2"/>
  <c r="O60" i="2"/>
  <c r="N60" i="2"/>
  <c r="M60" i="2"/>
  <c r="L60" i="2"/>
  <c r="K60" i="2"/>
  <c r="J60" i="2"/>
  <c r="I60" i="2"/>
  <c r="H60" i="2"/>
  <c r="G60" i="2"/>
  <c r="F60" i="2"/>
  <c r="E60" i="2"/>
  <c r="D60" i="2"/>
  <c r="C60" i="2"/>
  <c r="A60" i="2"/>
  <c r="Q59" i="2"/>
  <c r="P59" i="2"/>
  <c r="O59" i="2"/>
  <c r="N59" i="2"/>
  <c r="M59" i="2"/>
  <c r="L59" i="2"/>
  <c r="K59" i="2"/>
  <c r="J59" i="2"/>
  <c r="I59" i="2"/>
  <c r="H59" i="2"/>
  <c r="G59" i="2"/>
  <c r="F59" i="2"/>
  <c r="E59" i="2"/>
  <c r="D59" i="2"/>
  <c r="C59" i="2"/>
  <c r="A59" i="2"/>
  <c r="Q58" i="2"/>
  <c r="P58" i="2"/>
  <c r="O58" i="2"/>
  <c r="N58" i="2"/>
  <c r="M58" i="2"/>
  <c r="L58" i="2"/>
  <c r="K58" i="2"/>
  <c r="J58" i="2"/>
  <c r="I58" i="2"/>
  <c r="H58" i="2"/>
  <c r="G58" i="2"/>
  <c r="F58" i="2"/>
  <c r="E58" i="2"/>
  <c r="D58" i="2"/>
  <c r="C58" i="2"/>
  <c r="A58" i="2"/>
  <c r="Q57" i="2"/>
  <c r="P57" i="2"/>
  <c r="O57" i="2"/>
  <c r="N57" i="2"/>
  <c r="M57" i="2"/>
  <c r="L57" i="2"/>
  <c r="K57" i="2"/>
  <c r="J57" i="2"/>
  <c r="I57" i="2"/>
  <c r="H57" i="2"/>
  <c r="G57" i="2"/>
  <c r="F57" i="2"/>
  <c r="E57" i="2"/>
  <c r="D57" i="2"/>
  <c r="C57" i="2"/>
  <c r="A57" i="2"/>
  <c r="Q56" i="2"/>
  <c r="P56" i="2"/>
  <c r="O56" i="2"/>
  <c r="N56" i="2"/>
  <c r="M56" i="2"/>
  <c r="L56" i="2"/>
  <c r="K56" i="2"/>
  <c r="J56" i="2"/>
  <c r="I56" i="2"/>
  <c r="H56" i="2"/>
  <c r="G56" i="2"/>
  <c r="F56" i="2"/>
  <c r="E56" i="2"/>
  <c r="D56" i="2"/>
  <c r="C56" i="2"/>
  <c r="A56" i="2"/>
  <c r="Q55" i="2"/>
  <c r="P55" i="2"/>
  <c r="O55" i="2"/>
  <c r="N55" i="2"/>
  <c r="M55" i="2"/>
  <c r="L55" i="2"/>
  <c r="K55" i="2"/>
  <c r="J55" i="2"/>
  <c r="I55" i="2"/>
  <c r="H55" i="2"/>
  <c r="G55" i="2"/>
  <c r="F55" i="2"/>
  <c r="E55" i="2"/>
  <c r="D55" i="2"/>
  <c r="C55" i="2"/>
  <c r="A55" i="2"/>
  <c r="Q54" i="2"/>
  <c r="P54" i="2"/>
  <c r="O54" i="2"/>
  <c r="N54" i="2"/>
  <c r="M54" i="2"/>
  <c r="L54" i="2"/>
  <c r="K54" i="2"/>
  <c r="J54" i="2"/>
  <c r="I54" i="2"/>
  <c r="H54" i="2"/>
  <c r="G54" i="2"/>
  <c r="F54" i="2"/>
  <c r="E54" i="2"/>
  <c r="D54" i="2"/>
  <c r="C54" i="2"/>
  <c r="A54" i="2"/>
  <c r="Q53" i="2"/>
  <c r="P53" i="2"/>
  <c r="O53" i="2"/>
  <c r="N53" i="2"/>
  <c r="M53" i="2"/>
  <c r="L53" i="2"/>
  <c r="K53" i="2"/>
  <c r="J53" i="2"/>
  <c r="I53" i="2"/>
  <c r="H53" i="2"/>
  <c r="G53" i="2"/>
  <c r="F53" i="2"/>
  <c r="E53" i="2"/>
  <c r="D53" i="2"/>
  <c r="C53" i="2"/>
  <c r="A53" i="2"/>
  <c r="Q52" i="2"/>
  <c r="P52" i="2"/>
  <c r="O52" i="2"/>
  <c r="N52" i="2"/>
  <c r="M52" i="2"/>
  <c r="L52" i="2"/>
  <c r="K52" i="2"/>
  <c r="J52" i="2"/>
  <c r="I52" i="2"/>
  <c r="H52" i="2"/>
  <c r="G52" i="2"/>
  <c r="F52" i="2"/>
  <c r="E52" i="2"/>
  <c r="D52" i="2"/>
  <c r="C52" i="2"/>
  <c r="A52" i="2"/>
  <c r="Q51" i="2"/>
  <c r="P51" i="2"/>
  <c r="O51" i="2"/>
  <c r="N51" i="2"/>
  <c r="M51" i="2"/>
  <c r="L51" i="2"/>
  <c r="K51" i="2"/>
  <c r="J51" i="2"/>
  <c r="I51" i="2"/>
  <c r="H51" i="2"/>
  <c r="G51" i="2"/>
  <c r="F51" i="2"/>
  <c r="E51" i="2"/>
  <c r="D51" i="2"/>
  <c r="C51" i="2"/>
  <c r="A51" i="2"/>
  <c r="Q50" i="2"/>
  <c r="P50" i="2"/>
  <c r="O50" i="2"/>
  <c r="N50" i="2"/>
  <c r="M50" i="2"/>
  <c r="L50" i="2"/>
  <c r="K50" i="2"/>
  <c r="J50" i="2"/>
  <c r="I50" i="2"/>
  <c r="H50" i="2"/>
  <c r="G50" i="2"/>
  <c r="F50" i="2"/>
  <c r="E50" i="2"/>
  <c r="D50" i="2"/>
  <c r="C50" i="2"/>
  <c r="A50" i="2"/>
  <c r="Q49" i="2"/>
  <c r="P49" i="2"/>
  <c r="O49" i="2"/>
  <c r="N49" i="2"/>
  <c r="M49" i="2"/>
  <c r="L49" i="2"/>
  <c r="K49" i="2"/>
  <c r="J49" i="2"/>
  <c r="I49" i="2"/>
  <c r="H49" i="2"/>
  <c r="G49" i="2"/>
  <c r="F49" i="2"/>
  <c r="E49" i="2"/>
  <c r="D49" i="2"/>
  <c r="C49" i="2"/>
  <c r="A49" i="2"/>
  <c r="Q48" i="2"/>
  <c r="P48" i="2"/>
  <c r="O48" i="2"/>
  <c r="N48" i="2"/>
  <c r="M48" i="2"/>
  <c r="L48" i="2"/>
  <c r="K48" i="2"/>
  <c r="J48" i="2"/>
  <c r="I48" i="2"/>
  <c r="H48" i="2"/>
  <c r="G48" i="2"/>
  <c r="F48" i="2"/>
  <c r="E48" i="2"/>
  <c r="D48" i="2"/>
  <c r="C48" i="2"/>
  <c r="A48" i="2"/>
  <c r="Q47" i="2"/>
  <c r="P47" i="2"/>
  <c r="O47" i="2"/>
  <c r="N47" i="2"/>
  <c r="M47" i="2"/>
  <c r="L47" i="2"/>
  <c r="K47" i="2"/>
  <c r="J47" i="2"/>
  <c r="I47" i="2"/>
  <c r="H47" i="2"/>
  <c r="G47" i="2"/>
  <c r="F47" i="2"/>
  <c r="E47" i="2"/>
  <c r="D47" i="2"/>
  <c r="C47" i="2"/>
  <c r="A47" i="2"/>
  <c r="Q46" i="2"/>
  <c r="P46" i="2"/>
  <c r="O46" i="2"/>
  <c r="N46" i="2"/>
  <c r="M46" i="2"/>
  <c r="L46" i="2"/>
  <c r="K46" i="2"/>
  <c r="J46" i="2"/>
  <c r="I46" i="2"/>
  <c r="H46" i="2"/>
  <c r="G46" i="2"/>
  <c r="F46" i="2"/>
  <c r="E46" i="2"/>
  <c r="D46" i="2"/>
  <c r="C46" i="2"/>
  <c r="A46" i="2"/>
  <c r="Q45" i="2"/>
  <c r="P45" i="2"/>
  <c r="O45" i="2"/>
  <c r="N45" i="2"/>
  <c r="M45" i="2"/>
  <c r="L45" i="2"/>
  <c r="K45" i="2"/>
  <c r="J45" i="2"/>
  <c r="I45" i="2"/>
  <c r="H45" i="2"/>
  <c r="G45" i="2"/>
  <c r="F45" i="2"/>
  <c r="E45" i="2"/>
  <c r="D45" i="2"/>
  <c r="C45" i="2"/>
  <c r="A45" i="2"/>
  <c r="Q44" i="2"/>
  <c r="P44" i="2"/>
  <c r="O44" i="2"/>
  <c r="N44" i="2"/>
  <c r="M44" i="2"/>
  <c r="L44" i="2"/>
  <c r="K44" i="2"/>
  <c r="J44" i="2"/>
  <c r="I44" i="2"/>
  <c r="H44" i="2"/>
  <c r="G44" i="2"/>
  <c r="F44" i="2"/>
  <c r="E44" i="2"/>
  <c r="D44" i="2"/>
  <c r="C44" i="2"/>
  <c r="A44" i="2"/>
  <c r="Q43" i="2"/>
  <c r="P43" i="2"/>
  <c r="O43" i="2"/>
  <c r="N43" i="2"/>
  <c r="M43" i="2"/>
  <c r="L43" i="2"/>
  <c r="K43" i="2"/>
  <c r="J43" i="2"/>
  <c r="I43" i="2"/>
  <c r="H43" i="2"/>
  <c r="G43" i="2"/>
  <c r="F43" i="2"/>
  <c r="E43" i="2"/>
  <c r="D43" i="2"/>
  <c r="C43" i="2"/>
  <c r="A43" i="2"/>
  <c r="Q42" i="2"/>
  <c r="P42" i="2"/>
  <c r="O42" i="2"/>
  <c r="N42" i="2"/>
  <c r="M42" i="2"/>
  <c r="L42" i="2"/>
  <c r="K42" i="2"/>
  <c r="J42" i="2"/>
  <c r="I42" i="2"/>
  <c r="H42" i="2"/>
  <c r="G42" i="2"/>
  <c r="F42" i="2"/>
  <c r="E42" i="2"/>
  <c r="D42" i="2"/>
  <c r="C42" i="2"/>
  <c r="A42" i="2"/>
  <c r="Q41" i="2"/>
  <c r="P41" i="2"/>
  <c r="O41" i="2"/>
  <c r="N41" i="2"/>
  <c r="M41" i="2"/>
  <c r="L41" i="2"/>
  <c r="K41" i="2"/>
  <c r="J41" i="2"/>
  <c r="I41" i="2"/>
  <c r="H41" i="2"/>
  <c r="G41" i="2"/>
  <c r="F41" i="2"/>
  <c r="E41" i="2"/>
  <c r="D41" i="2"/>
  <c r="C41" i="2"/>
  <c r="A41" i="2"/>
  <c r="Q40" i="2"/>
  <c r="P40" i="2"/>
  <c r="O40" i="2"/>
  <c r="N40" i="2"/>
  <c r="M40" i="2"/>
  <c r="L40" i="2"/>
  <c r="K40" i="2"/>
  <c r="J40" i="2"/>
  <c r="I40" i="2"/>
  <c r="H40" i="2"/>
  <c r="G40" i="2"/>
  <c r="F40" i="2"/>
  <c r="E40" i="2"/>
  <c r="D40" i="2"/>
  <c r="C40" i="2"/>
  <c r="A40" i="2"/>
  <c r="Q39" i="2"/>
  <c r="P39" i="2"/>
  <c r="O39" i="2"/>
  <c r="N39" i="2"/>
  <c r="M39" i="2"/>
  <c r="L39" i="2"/>
  <c r="K39" i="2"/>
  <c r="J39" i="2"/>
  <c r="I39" i="2"/>
  <c r="H39" i="2"/>
  <c r="G39" i="2"/>
  <c r="F39" i="2"/>
  <c r="E39" i="2"/>
  <c r="D39" i="2"/>
  <c r="C39" i="2"/>
  <c r="A39" i="2"/>
  <c r="Q38" i="2"/>
  <c r="P38" i="2"/>
  <c r="O38" i="2"/>
  <c r="N38" i="2"/>
  <c r="M38" i="2"/>
  <c r="L38" i="2"/>
  <c r="K38" i="2"/>
  <c r="J38" i="2"/>
  <c r="I38" i="2"/>
  <c r="H38" i="2"/>
  <c r="G38" i="2"/>
  <c r="F38" i="2"/>
  <c r="E38" i="2"/>
  <c r="D38" i="2"/>
  <c r="C38" i="2"/>
  <c r="A38" i="2"/>
  <c r="Q37" i="2"/>
  <c r="P37" i="2"/>
  <c r="O37" i="2"/>
  <c r="N37" i="2"/>
  <c r="M37" i="2"/>
  <c r="L37" i="2"/>
  <c r="K37" i="2"/>
  <c r="J37" i="2"/>
  <c r="I37" i="2"/>
  <c r="H37" i="2"/>
  <c r="G37" i="2"/>
  <c r="F37" i="2"/>
  <c r="E37" i="2"/>
  <c r="D37" i="2"/>
  <c r="C37" i="2"/>
  <c r="A37" i="2"/>
  <c r="Q36" i="2"/>
  <c r="P36" i="2"/>
  <c r="O36" i="2"/>
  <c r="N36" i="2"/>
  <c r="M36" i="2"/>
  <c r="L36" i="2"/>
  <c r="K36" i="2"/>
  <c r="J36" i="2"/>
  <c r="I36" i="2"/>
  <c r="H36" i="2"/>
  <c r="G36" i="2"/>
  <c r="F36" i="2"/>
  <c r="E36" i="2"/>
  <c r="D36" i="2"/>
  <c r="C36" i="2"/>
  <c r="A36" i="2"/>
  <c r="Q35" i="2"/>
  <c r="P35" i="2"/>
  <c r="O35" i="2"/>
  <c r="N35" i="2"/>
  <c r="M35" i="2"/>
  <c r="L35" i="2"/>
  <c r="K35" i="2"/>
  <c r="J35" i="2"/>
  <c r="I35" i="2"/>
  <c r="H35" i="2"/>
  <c r="G35" i="2"/>
  <c r="F35" i="2"/>
  <c r="E35" i="2"/>
  <c r="D35" i="2"/>
  <c r="C35" i="2"/>
  <c r="A35" i="2"/>
  <c r="Q34" i="2"/>
  <c r="P34" i="2"/>
  <c r="O34" i="2"/>
  <c r="N34" i="2"/>
  <c r="M34" i="2"/>
  <c r="L34" i="2"/>
  <c r="K34" i="2"/>
  <c r="J34" i="2"/>
  <c r="I34" i="2"/>
  <c r="H34" i="2"/>
  <c r="G34" i="2"/>
  <c r="F34" i="2"/>
  <c r="E34" i="2"/>
  <c r="D34" i="2"/>
  <c r="C34" i="2"/>
  <c r="A34" i="2"/>
  <c r="Q33" i="2"/>
  <c r="P33" i="2"/>
  <c r="O33" i="2"/>
  <c r="N33" i="2"/>
  <c r="M33" i="2"/>
  <c r="L33" i="2"/>
  <c r="K33" i="2"/>
  <c r="J33" i="2"/>
  <c r="I33" i="2"/>
  <c r="H33" i="2"/>
  <c r="G33" i="2"/>
  <c r="F33" i="2"/>
  <c r="E33" i="2"/>
  <c r="D33" i="2"/>
  <c r="C33" i="2"/>
  <c r="A33" i="2"/>
  <c r="Q32" i="2"/>
  <c r="P32" i="2"/>
  <c r="O32" i="2"/>
  <c r="N32" i="2"/>
  <c r="M32" i="2"/>
  <c r="L32" i="2"/>
  <c r="K32" i="2"/>
  <c r="J32" i="2"/>
  <c r="I32" i="2"/>
  <c r="H32" i="2"/>
  <c r="G32" i="2"/>
  <c r="F32" i="2"/>
  <c r="E32" i="2"/>
  <c r="D32" i="2"/>
  <c r="C32" i="2"/>
  <c r="A32" i="2"/>
  <c r="Q31" i="2"/>
  <c r="P31" i="2"/>
  <c r="O31" i="2"/>
  <c r="N31" i="2"/>
  <c r="M31" i="2"/>
  <c r="L31" i="2"/>
  <c r="K31" i="2"/>
  <c r="J31" i="2"/>
  <c r="I31" i="2"/>
  <c r="H31" i="2"/>
  <c r="G31" i="2"/>
  <c r="F31" i="2"/>
  <c r="E31" i="2"/>
  <c r="D31" i="2"/>
  <c r="C31" i="2"/>
  <c r="A31" i="2"/>
  <c r="Q30" i="2"/>
  <c r="P30" i="2"/>
  <c r="O30" i="2"/>
  <c r="N30" i="2"/>
  <c r="M30" i="2"/>
  <c r="L30" i="2"/>
  <c r="K30" i="2"/>
  <c r="J30" i="2"/>
  <c r="I30" i="2"/>
  <c r="H30" i="2"/>
  <c r="G30" i="2"/>
  <c r="F30" i="2"/>
  <c r="E30" i="2"/>
  <c r="D30" i="2"/>
  <c r="C30" i="2"/>
  <c r="A30" i="2"/>
  <c r="Q29" i="2"/>
  <c r="P29" i="2"/>
  <c r="O29" i="2"/>
  <c r="N29" i="2"/>
  <c r="M29" i="2"/>
  <c r="L29" i="2"/>
  <c r="K29" i="2"/>
  <c r="J29" i="2"/>
  <c r="I29" i="2"/>
  <c r="H29" i="2"/>
  <c r="G29" i="2"/>
  <c r="F29" i="2"/>
  <c r="E29" i="2"/>
  <c r="D29" i="2"/>
  <c r="C29" i="2"/>
  <c r="A29" i="2"/>
  <c r="Q28" i="2"/>
  <c r="P28" i="2"/>
  <c r="O28" i="2"/>
  <c r="N28" i="2"/>
  <c r="M28" i="2"/>
  <c r="L28" i="2"/>
  <c r="K28" i="2"/>
  <c r="J28" i="2"/>
  <c r="I28" i="2"/>
  <c r="H28" i="2"/>
  <c r="G28" i="2"/>
  <c r="F28" i="2"/>
  <c r="E28" i="2"/>
  <c r="D28" i="2"/>
  <c r="C28" i="2"/>
  <c r="A28" i="2"/>
  <c r="Q27" i="2"/>
  <c r="P27" i="2"/>
  <c r="O27" i="2"/>
  <c r="N27" i="2"/>
  <c r="M27" i="2"/>
  <c r="L27" i="2"/>
  <c r="K27" i="2"/>
  <c r="J27" i="2"/>
  <c r="I27" i="2"/>
  <c r="H27" i="2"/>
  <c r="G27" i="2"/>
  <c r="F27" i="2"/>
  <c r="E27" i="2"/>
  <c r="D27" i="2"/>
  <c r="C27" i="2"/>
  <c r="A27" i="2"/>
  <c r="Q26" i="2"/>
  <c r="P26" i="2"/>
  <c r="O26" i="2"/>
  <c r="N26" i="2"/>
  <c r="M26" i="2"/>
  <c r="L26" i="2"/>
  <c r="K26" i="2"/>
  <c r="J26" i="2"/>
  <c r="I26" i="2"/>
  <c r="H26" i="2"/>
  <c r="G26" i="2"/>
  <c r="F26" i="2"/>
  <c r="E26" i="2"/>
  <c r="D26" i="2"/>
  <c r="C26" i="2"/>
  <c r="A26" i="2"/>
  <c r="Q25" i="2"/>
  <c r="P25" i="2"/>
  <c r="O25" i="2"/>
  <c r="N25" i="2"/>
  <c r="M25" i="2"/>
  <c r="L25" i="2"/>
  <c r="K25" i="2"/>
  <c r="J25" i="2"/>
  <c r="I25" i="2"/>
  <c r="H25" i="2"/>
  <c r="G25" i="2"/>
  <c r="F25" i="2"/>
  <c r="E25" i="2"/>
  <c r="D25" i="2"/>
  <c r="C25" i="2"/>
  <c r="A25" i="2"/>
  <c r="Q24" i="2"/>
  <c r="P24" i="2"/>
  <c r="O24" i="2"/>
  <c r="N24" i="2"/>
  <c r="M24" i="2"/>
  <c r="L24" i="2"/>
  <c r="K24" i="2"/>
  <c r="J24" i="2"/>
  <c r="I24" i="2"/>
  <c r="H24" i="2"/>
  <c r="G24" i="2"/>
  <c r="F24" i="2"/>
  <c r="E24" i="2"/>
  <c r="D24" i="2"/>
  <c r="C24" i="2"/>
  <c r="A24" i="2"/>
  <c r="Q23" i="2"/>
  <c r="P23" i="2"/>
  <c r="O23" i="2"/>
  <c r="N23" i="2"/>
  <c r="M23" i="2"/>
  <c r="L23" i="2"/>
  <c r="K23" i="2"/>
  <c r="J23" i="2"/>
  <c r="I23" i="2"/>
  <c r="H23" i="2"/>
  <c r="G23" i="2"/>
  <c r="F23" i="2"/>
  <c r="E23" i="2"/>
  <c r="D23" i="2"/>
  <c r="C23" i="2"/>
  <c r="A23" i="2"/>
  <c r="Q22" i="2"/>
  <c r="P22" i="2"/>
  <c r="O22" i="2"/>
  <c r="N22" i="2"/>
  <c r="M22" i="2"/>
  <c r="L22" i="2"/>
  <c r="K22" i="2"/>
  <c r="J22" i="2"/>
  <c r="I22" i="2"/>
  <c r="H22" i="2"/>
  <c r="G22" i="2"/>
  <c r="F22" i="2"/>
  <c r="E22" i="2"/>
  <c r="D22" i="2"/>
  <c r="A22" i="2"/>
  <c r="Q21" i="2"/>
  <c r="P21" i="2"/>
  <c r="O21" i="2"/>
  <c r="N21" i="2"/>
  <c r="M21" i="2"/>
  <c r="L21" i="2"/>
  <c r="K21" i="2"/>
  <c r="J21" i="2"/>
  <c r="I21" i="2"/>
  <c r="H21" i="2"/>
  <c r="G21" i="2"/>
  <c r="F21" i="2"/>
  <c r="E21" i="2"/>
  <c r="D21" i="2"/>
  <c r="A21" i="2"/>
  <c r="Q20" i="2"/>
  <c r="P20" i="2"/>
  <c r="O20" i="2"/>
  <c r="N20" i="2"/>
  <c r="M20" i="2"/>
  <c r="L20" i="2"/>
  <c r="K20" i="2"/>
  <c r="J20" i="2"/>
  <c r="I20" i="2"/>
  <c r="H20" i="2"/>
  <c r="G20" i="2"/>
  <c r="F20" i="2"/>
  <c r="E20" i="2"/>
  <c r="D20" i="2"/>
  <c r="C20" i="2"/>
  <c r="A20" i="2"/>
  <c r="Q19" i="2"/>
  <c r="P19" i="2"/>
  <c r="O19" i="2"/>
  <c r="N19" i="2"/>
  <c r="M19" i="2"/>
  <c r="L19" i="2"/>
  <c r="K19" i="2"/>
  <c r="J19" i="2"/>
  <c r="I19" i="2"/>
  <c r="H19" i="2"/>
  <c r="G19" i="2"/>
  <c r="F19" i="2"/>
  <c r="E19" i="2"/>
  <c r="D19" i="2"/>
  <c r="C19" i="2"/>
  <c r="A19" i="2"/>
  <c r="Q18" i="2"/>
  <c r="P18" i="2"/>
  <c r="O18" i="2"/>
  <c r="N18" i="2"/>
  <c r="M18" i="2"/>
  <c r="L18" i="2"/>
  <c r="K18" i="2"/>
  <c r="J18" i="2"/>
  <c r="I18" i="2"/>
  <c r="H18" i="2"/>
  <c r="G18" i="2"/>
  <c r="F18" i="2"/>
  <c r="E18" i="2"/>
  <c r="D18" i="2"/>
  <c r="A18" i="2"/>
  <c r="Q17" i="2"/>
  <c r="P17" i="2"/>
  <c r="O17" i="2"/>
  <c r="N17" i="2"/>
  <c r="M17" i="2"/>
  <c r="L17" i="2"/>
  <c r="K17" i="2"/>
  <c r="J17" i="2"/>
  <c r="I17" i="2"/>
  <c r="H17" i="2"/>
  <c r="G17" i="2"/>
  <c r="F17" i="2"/>
  <c r="E17" i="2"/>
  <c r="D17" i="2"/>
  <c r="A17" i="2"/>
  <c r="Q16" i="2"/>
  <c r="P16" i="2"/>
  <c r="O16" i="2"/>
  <c r="N16" i="2"/>
  <c r="M16" i="2"/>
  <c r="L16" i="2"/>
  <c r="K16" i="2"/>
  <c r="J16" i="2"/>
  <c r="I16" i="2"/>
  <c r="H16" i="2"/>
  <c r="G16" i="2"/>
  <c r="F16" i="2"/>
  <c r="E16" i="2"/>
  <c r="D16" i="2"/>
  <c r="A16" i="2"/>
  <c r="Q15" i="2"/>
  <c r="P15" i="2"/>
  <c r="O15" i="2"/>
  <c r="N15" i="2"/>
  <c r="M15" i="2"/>
  <c r="L15" i="2"/>
  <c r="K15" i="2"/>
  <c r="J15" i="2"/>
  <c r="I15" i="2"/>
  <c r="H15" i="2"/>
  <c r="G15" i="2"/>
  <c r="F15" i="2"/>
  <c r="E15" i="2"/>
  <c r="D15" i="2"/>
  <c r="C15" i="2"/>
  <c r="A15" i="2"/>
  <c r="Q14" i="2"/>
  <c r="P14" i="2"/>
  <c r="O14" i="2"/>
  <c r="N14" i="2"/>
  <c r="M14" i="2"/>
  <c r="L14" i="2"/>
  <c r="K14" i="2"/>
  <c r="J14" i="2"/>
  <c r="I14" i="2"/>
  <c r="H14" i="2"/>
  <c r="G14" i="2"/>
  <c r="F14" i="2"/>
  <c r="E14" i="2"/>
  <c r="D14" i="2"/>
  <c r="C14" i="2"/>
  <c r="A14" i="2"/>
  <c r="Q13" i="2"/>
  <c r="P13" i="2"/>
  <c r="O13" i="2"/>
  <c r="N13" i="2"/>
  <c r="M13" i="2"/>
  <c r="L13" i="2"/>
  <c r="K13" i="2"/>
  <c r="J13" i="2"/>
  <c r="I13" i="2"/>
  <c r="H13" i="2"/>
  <c r="G13" i="2"/>
  <c r="F13" i="2"/>
  <c r="E13" i="2"/>
  <c r="D13" i="2"/>
  <c r="A13" i="2"/>
  <c r="Q12" i="2"/>
  <c r="P12" i="2"/>
  <c r="O12" i="2"/>
  <c r="N12" i="2"/>
  <c r="M12" i="2"/>
  <c r="L12" i="2"/>
  <c r="K12" i="2"/>
  <c r="J12" i="2"/>
  <c r="I12" i="2"/>
  <c r="H12" i="2"/>
  <c r="G12" i="2"/>
  <c r="F12" i="2"/>
  <c r="E12" i="2"/>
  <c r="D12" i="2"/>
  <c r="C12" i="2"/>
  <c r="A12" i="2"/>
  <c r="Q11" i="2"/>
  <c r="P11" i="2"/>
  <c r="O11" i="2"/>
  <c r="N11" i="2"/>
  <c r="M11" i="2"/>
  <c r="L11" i="2"/>
  <c r="K11" i="2"/>
  <c r="J11" i="2"/>
  <c r="I11" i="2"/>
  <c r="H11" i="2"/>
  <c r="G11" i="2"/>
  <c r="F11" i="2"/>
  <c r="E11" i="2"/>
  <c r="D11" i="2"/>
  <c r="C11" i="2"/>
  <c r="A11" i="2"/>
  <c r="Q10" i="2"/>
  <c r="P10" i="2"/>
  <c r="O10" i="2"/>
  <c r="N10" i="2"/>
  <c r="M10" i="2"/>
  <c r="L10" i="2"/>
  <c r="K10" i="2"/>
  <c r="J10" i="2"/>
  <c r="I10" i="2"/>
  <c r="H10" i="2"/>
  <c r="G10" i="2"/>
  <c r="F10" i="2"/>
  <c r="E10" i="2"/>
  <c r="D10" i="2"/>
  <c r="C10" i="2"/>
  <c r="A10" i="2"/>
  <c r="Q9" i="2"/>
  <c r="P9" i="2"/>
  <c r="O9" i="2"/>
  <c r="N9" i="2"/>
  <c r="M9" i="2"/>
  <c r="L9" i="2"/>
  <c r="K9" i="2"/>
  <c r="J9" i="2"/>
  <c r="I9" i="2"/>
  <c r="H9" i="2"/>
  <c r="G9" i="2"/>
  <c r="F9" i="2"/>
  <c r="E9" i="2"/>
  <c r="D9" i="2"/>
  <c r="C9" i="2"/>
  <c r="A9" i="2"/>
  <c r="Q8" i="2"/>
  <c r="P8" i="2"/>
  <c r="O8" i="2"/>
  <c r="N8" i="2"/>
  <c r="M8" i="2"/>
  <c r="L8" i="2"/>
  <c r="K8" i="2"/>
  <c r="J8" i="2"/>
  <c r="I8" i="2"/>
  <c r="H8" i="2"/>
  <c r="G8" i="2"/>
  <c r="F8" i="2"/>
  <c r="E8" i="2"/>
  <c r="D8" i="2"/>
  <c r="C8" i="2"/>
  <c r="A8" i="2"/>
  <c r="Q7" i="2"/>
  <c r="P7" i="2"/>
  <c r="O7" i="2"/>
  <c r="N7" i="2"/>
  <c r="M7" i="2"/>
  <c r="L7" i="2"/>
  <c r="K7" i="2"/>
  <c r="J7" i="2"/>
  <c r="I7" i="2"/>
  <c r="H7" i="2"/>
  <c r="G7" i="2"/>
  <c r="F7" i="2"/>
  <c r="E7" i="2"/>
  <c r="D7" i="2"/>
  <c r="C7" i="2"/>
  <c r="A7" i="2"/>
  <c r="Q6" i="2"/>
  <c r="P6" i="2"/>
  <c r="O6" i="2"/>
  <c r="N6" i="2"/>
  <c r="M6" i="2"/>
  <c r="L6" i="2"/>
  <c r="K6" i="2"/>
  <c r="J6" i="2"/>
  <c r="I6" i="2"/>
  <c r="H6" i="2"/>
  <c r="G6" i="2"/>
  <c r="F6" i="2"/>
  <c r="E6" i="2"/>
  <c r="D6" i="2"/>
  <c r="C6" i="2"/>
  <c r="A6" i="2"/>
  <c r="Q5" i="2"/>
  <c r="P5" i="2"/>
  <c r="O5" i="2"/>
  <c r="N5" i="2"/>
  <c r="M5" i="2"/>
  <c r="L5" i="2"/>
  <c r="K5" i="2"/>
  <c r="J5" i="2"/>
  <c r="I5" i="2"/>
  <c r="H5" i="2"/>
  <c r="G5" i="2"/>
  <c r="F5" i="2"/>
  <c r="E5" i="2"/>
  <c r="D5" i="2"/>
  <c r="C5" i="2"/>
  <c r="A5" i="2"/>
  <c r="Q4" i="2"/>
  <c r="P4" i="2"/>
  <c r="O4" i="2"/>
  <c r="N4" i="2"/>
  <c r="M4" i="2"/>
  <c r="L4" i="2"/>
  <c r="K4" i="2"/>
  <c r="J4" i="2"/>
  <c r="I4" i="2"/>
  <c r="H4" i="2"/>
  <c r="G4" i="2"/>
  <c r="F4" i="2"/>
  <c r="E4" i="2"/>
  <c r="D4" i="2"/>
  <c r="C4" i="2"/>
  <c r="A4" i="2"/>
  <c r="Q3" i="2"/>
  <c r="P3" i="2"/>
  <c r="O3" i="2"/>
  <c r="N3" i="2"/>
  <c r="M3" i="2"/>
  <c r="L3" i="2"/>
  <c r="K3" i="2"/>
  <c r="J3" i="2"/>
  <c r="I3" i="2"/>
  <c r="H3" i="2"/>
  <c r="G3" i="2"/>
  <c r="F3" i="2"/>
  <c r="E3" i="2"/>
  <c r="D3" i="2"/>
  <c r="C3" i="2"/>
  <c r="A3" i="2"/>
  <c r="Q2" i="2"/>
  <c r="P2" i="2"/>
  <c r="O2" i="2"/>
  <c r="N2" i="2"/>
  <c r="M2" i="2"/>
  <c r="L2" i="2"/>
  <c r="K2" i="2"/>
  <c r="J2" i="2"/>
  <c r="I2" i="2"/>
  <c r="H2" i="2"/>
  <c r="G2" i="2"/>
  <c r="F2" i="2"/>
  <c r="E2" i="2"/>
  <c r="D2" i="2"/>
  <c r="C2" i="2"/>
  <c r="A2" i="2"/>
  <c r="C16" i="2" l="1"/>
  <c r="C22" i="2"/>
  <c r="C18" i="2"/>
  <c r="C21" i="2"/>
  <c r="C13" i="2"/>
  <c r="C1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theme="1"/>
            <rFont val="Arial"/>
            <family val="2"/>
            <scheme val="minor"/>
          </rPr>
          <t>======
ID#AAABzqe4G18
Onsurity    (2026-02-27 08:12:43)
Must be unique. Please do not put any duplicate employee no.</t>
        </r>
      </text>
    </comment>
    <comment ref="B1" authorId="0" shapeId="0" xr:uid="{00000000-0006-0000-0000-000002000000}">
      <text>
        <r>
          <rPr>
            <sz val="10"/>
            <color theme="1"/>
            <rFont val="Arial"/>
            <family val="2"/>
            <scheme val="minor"/>
          </rPr>
          <t>======
ID#AAABzqe4G10
Onsurity    (2026-02-27 08:12:43)
Please provide the correct name of the employee as per Govt ID Proof. This name is iimportant at the time of getting benefit under the membership. Any mismatch in the name may make the member ineligible for the benefit.</t>
        </r>
      </text>
    </comment>
    <comment ref="D1" authorId="0" shapeId="0" xr:uid="{00000000-0006-0000-0000-000003000000}">
      <text>
        <r>
          <rPr>
            <sz val="10"/>
            <color theme="1"/>
            <rFont val="Arial"/>
            <family val="2"/>
            <scheme val="minor"/>
          </rPr>
          <t>======
ID#AAABzqe4G1s
Onsurity    (2026-02-27 08:12:43)
Please provide the correct 10 digit mobile no. Any incorrect mobile number can cause unneccessary delay in the issuance of the membership.</t>
        </r>
      </text>
    </comment>
    <comment ref="F1" authorId="0" shapeId="0" xr:uid="{00000000-0006-0000-0000-000004000000}">
      <text>
        <r>
          <rPr>
            <sz val="10"/>
            <color theme="1"/>
            <rFont val="Arial"/>
            <family val="2"/>
            <scheme val="minor"/>
          </rPr>
          <t>======
ID#AAABzqe4G1o
Onsurity    (2026-02-27 08:12:43)
Date of birth should be dd/mm/yyyy. Please validate the date of birth as incorrect date of birth could create delay in the issuance of the membership.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100-000001000000}">
      <text>
        <r>
          <rPr>
            <sz val="10"/>
            <color theme="1"/>
            <rFont val="Arial"/>
            <family val="2"/>
            <scheme val="minor"/>
          </rPr>
          <t>======
ID#AAABzqe4G14
Onsurity    (2026-02-27 08:12:43)
Must be unique. Please do not put any duplicate employee no.</t>
        </r>
      </text>
    </comment>
    <comment ref="B1" authorId="0" shapeId="0" xr:uid="{00000000-0006-0000-0100-000002000000}">
      <text>
        <r>
          <rPr>
            <sz val="10"/>
            <color theme="1"/>
            <rFont val="Arial"/>
            <family val="2"/>
            <scheme val="minor"/>
          </rPr>
          <t>======
ID#AAABzqe4G1w
Onsurity    (2026-02-27 08:12:43)
Please provide the correct name of the employee as per Govt ID Proof. This name is iimportant at the time of getting benefit under the membership. Any mismatch in the name may make the member ineligible for the benefit.</t>
        </r>
      </text>
    </comment>
    <comment ref="D1" authorId="0" shapeId="0" xr:uid="{00000000-0006-0000-0100-000003000000}">
      <text>
        <r>
          <rPr>
            <sz val="10"/>
            <color theme="1"/>
            <rFont val="Arial"/>
            <family val="2"/>
            <scheme val="minor"/>
          </rPr>
          <t>======
ID#AAABzqe4G1g
Onsurity    (2026-02-27 08:12:43)
Please provide the correct 10 digit mobile no. Any incorrect mobile number can cause unneccessary delay in the issuance of the membership.</t>
        </r>
      </text>
    </comment>
    <comment ref="F1" authorId="0" shapeId="0" xr:uid="{00000000-0006-0000-0100-000004000000}">
      <text>
        <r>
          <rPr>
            <sz val="10"/>
            <color theme="1"/>
            <rFont val="Arial"/>
            <family val="2"/>
            <scheme val="minor"/>
          </rPr>
          <t>======
ID#AAABzqe4G1k
Onsurity    (2026-02-27 08:12:43)
Date of birth should be dd/mm/yyyy. Please validate the date of birth as incorrect date of birth could create delay in the issuance of the membership.</t>
        </r>
      </text>
    </comment>
  </commentList>
</comments>
</file>

<file path=xl/sharedStrings.xml><?xml version="1.0" encoding="utf-8"?>
<sst xmlns="http://schemas.openxmlformats.org/spreadsheetml/2006/main" count="194" uniqueCount="154">
  <si>
    <t>Employee No</t>
  </si>
  <si>
    <t>Name of the Employee</t>
  </si>
  <si>
    <t>Employee's Email Address</t>
  </si>
  <si>
    <t>Employee's Mobile Number</t>
  </si>
  <si>
    <t>Employee's Gender</t>
  </si>
  <si>
    <t>Employee's Date of Birth</t>
  </si>
  <si>
    <t>HealthCare Membership Type</t>
  </si>
  <si>
    <t>HealthCare Membership Name</t>
  </si>
  <si>
    <t>Employee's Nominee name</t>
  </si>
  <si>
    <t>Employee's Nominee Gender</t>
  </si>
  <si>
    <t>Employee's Nominee Date of Birth</t>
  </si>
  <si>
    <t>Employee's NOMINEE REALTIONSHIP WITH EMPLOYEE</t>
  </si>
  <si>
    <t>Employee's Child 1 Gender</t>
  </si>
  <si>
    <t>Employee's Child 1 Date of Birth</t>
  </si>
  <si>
    <t>Employee's Child 2 Name</t>
  </si>
  <si>
    <t>Employee's Child 2 Gender</t>
  </si>
  <si>
    <t>Employee's Child 2 Date of Birth</t>
  </si>
  <si>
    <t>Employee's Father Name</t>
  </si>
  <si>
    <t>Employee's Father Date of Birth</t>
  </si>
  <si>
    <t>Employee's Mother Name</t>
  </si>
  <si>
    <t>Employee's Mother Date of Birth</t>
  </si>
  <si>
    <t>Employee Date of Joining the organization</t>
  </si>
  <si>
    <t>Employee Designation</t>
  </si>
  <si>
    <t>Is Employee or their Spouse Pregnant?</t>
  </si>
  <si>
    <t>Have any of the family member has suffered Covid in past 30 days?</t>
  </si>
  <si>
    <t>Does Employee or their Spouse Smoke?</t>
  </si>
  <si>
    <t>Is Anyone in the family diabetic, high BP or Thyroid? If yes, Provide details with Relation</t>
  </si>
  <si>
    <t>Does anyone have a Critical Illness like Cancer, Tumor, etc.</t>
  </si>
  <si>
    <t>Does anyone had any surgery in last 1 year or is planning any surgery in next 1 year? If yes, please provide details.</t>
  </si>
  <si>
    <t>Is any of the following condition applicable? Bone or Joint Related disorders, Kidney or Urinary tract-related disorders including stones, Stomach, Liver, Pancreas Intestine, Gall Ballader related disorders, Mental health disorders. If yes, please provide details</t>
  </si>
  <si>
    <t>HealthCare Membership</t>
  </si>
  <si>
    <t>Employee's Spouse Name</t>
  </si>
  <si>
    <t>Employee's Spouse Gender</t>
  </si>
  <si>
    <t>Employee's Spouse Date of Birth</t>
  </si>
  <si>
    <t>Employee's Child 1 Name</t>
  </si>
  <si>
    <t>Gender List</t>
  </si>
  <si>
    <t>Nominee Relationship</t>
  </si>
  <si>
    <t>LifeCare Membership</t>
  </si>
  <si>
    <t>India State</t>
  </si>
  <si>
    <t>Income Range</t>
  </si>
  <si>
    <t>Primary Member DOB range</t>
  </si>
  <si>
    <t>Parents DOB Range</t>
  </si>
  <si>
    <t>Nominee DOB Range</t>
  </si>
  <si>
    <t>Spouse DOB Range</t>
  </si>
  <si>
    <t>Child</t>
  </si>
  <si>
    <t>Siblings</t>
  </si>
  <si>
    <t>Male</t>
  </si>
  <si>
    <t>Spouse</t>
  </si>
  <si>
    <t>Team Member</t>
  </si>
  <si>
    <t>Onyx</t>
  </si>
  <si>
    <t>Warrior</t>
  </si>
  <si>
    <t>Andhra Pradesh</t>
  </si>
  <si>
    <t>Female</t>
  </si>
  <si>
    <t>Husband</t>
  </si>
  <si>
    <t>Team Member, Spouse &amp; upto 2 Children</t>
  </si>
  <si>
    <t>Opal</t>
  </si>
  <si>
    <t>Elite</t>
  </si>
  <si>
    <t>Arunachal Pradesh</t>
  </si>
  <si>
    <t>Wife</t>
  </si>
  <si>
    <t>Ruby</t>
  </si>
  <si>
    <t>Master</t>
  </si>
  <si>
    <t>Assam</t>
  </si>
  <si>
    <t>Father</t>
  </si>
  <si>
    <t>Jade</t>
  </si>
  <si>
    <t>Supreme</t>
  </si>
  <si>
    <t>Bihar</t>
  </si>
  <si>
    <t>Mother</t>
  </si>
  <si>
    <t>Onyx+</t>
  </si>
  <si>
    <t>Chhattisgarh</t>
  </si>
  <si>
    <t>Son</t>
  </si>
  <si>
    <t>Opal+</t>
  </si>
  <si>
    <t>Goa</t>
  </si>
  <si>
    <t>Daughter</t>
  </si>
  <si>
    <t>Ruby+</t>
  </si>
  <si>
    <t>Gujarat</t>
  </si>
  <si>
    <t>Brother</t>
  </si>
  <si>
    <t>Jade+</t>
  </si>
  <si>
    <t>Haryana</t>
  </si>
  <si>
    <t>Sister</t>
  </si>
  <si>
    <t>Onyx++</t>
  </si>
  <si>
    <t>Himachal Pradesh</t>
  </si>
  <si>
    <t>Father-in-law</t>
  </si>
  <si>
    <t>Opal++</t>
  </si>
  <si>
    <t>Jharkhand</t>
  </si>
  <si>
    <t>Mother-in-law</t>
  </si>
  <si>
    <t>Ruby++</t>
  </si>
  <si>
    <t>Karnataka</t>
  </si>
  <si>
    <t>Jade++</t>
  </si>
  <si>
    <t>Kerala</t>
  </si>
  <si>
    <t>Madhya Pradesh</t>
  </si>
  <si>
    <t>Maharashtra</t>
  </si>
  <si>
    <t>Manipur</t>
  </si>
  <si>
    <t>Meghalaya</t>
  </si>
  <si>
    <t>Pluto</t>
  </si>
  <si>
    <t>Mizoram</t>
  </si>
  <si>
    <t>Mercury</t>
  </si>
  <si>
    <t>Nagaland</t>
  </si>
  <si>
    <t>Mars</t>
  </si>
  <si>
    <t>Odisha</t>
  </si>
  <si>
    <t>Venus</t>
  </si>
  <si>
    <t>Punjab</t>
  </si>
  <si>
    <t>Silver</t>
  </si>
  <si>
    <t>Rajasthan</t>
  </si>
  <si>
    <t>Gold</t>
  </si>
  <si>
    <t>Sikkim</t>
  </si>
  <si>
    <t>Diamond</t>
  </si>
  <si>
    <t>Tamil Nadu</t>
  </si>
  <si>
    <t>Platinum</t>
  </si>
  <si>
    <t>Telangana</t>
  </si>
  <si>
    <t>Ruby++Elite</t>
  </si>
  <si>
    <t>Tripura</t>
  </si>
  <si>
    <t>Onyx Ultra+</t>
  </si>
  <si>
    <t>Uttar Pradesh</t>
  </si>
  <si>
    <t>Opal Ultra+</t>
  </si>
  <si>
    <t>Uttarakhand</t>
  </si>
  <si>
    <t>Ruby Ultra+</t>
  </si>
  <si>
    <t>West Bengal</t>
  </si>
  <si>
    <t>Jade Ultra+</t>
  </si>
  <si>
    <t>Andaman and Nicobar Islands</t>
  </si>
  <si>
    <t>Onyx Ultra++</t>
  </si>
  <si>
    <t>Chandigarh</t>
  </si>
  <si>
    <t>Opal Ultra++</t>
  </si>
  <si>
    <t>Dadra &amp; Nagar Haveli and Daman &amp; Diu</t>
  </si>
  <si>
    <t>Ruby Ultra++</t>
  </si>
  <si>
    <t>Delhi</t>
  </si>
  <si>
    <t>Jade Ultra++</t>
  </si>
  <si>
    <t>Jammu and Kashmir</t>
  </si>
  <si>
    <t>Topaz</t>
  </si>
  <si>
    <t>Lakshadweep</t>
  </si>
  <si>
    <t>Puducherry</t>
  </si>
  <si>
    <t>Ladakh</t>
  </si>
  <si>
    <t xml:space="preserve">Kavuru Vanitha </t>
  </si>
  <si>
    <t xml:space="preserve">Shaik Noor Bhasa Muzeef </t>
  </si>
  <si>
    <t xml:space="preserve">Rishika Pokala </t>
  </si>
  <si>
    <t xml:space="preserve">Bavirisetty Datta Venkata Ramana </t>
  </si>
  <si>
    <t xml:space="preserve">Anagandula Prasana </t>
  </si>
  <si>
    <t xml:space="preserve">Muniganti Shiva Kumar Chary </t>
  </si>
  <si>
    <t xml:space="preserve">D Hemangi </t>
  </si>
  <si>
    <t xml:space="preserve">Harsad Shaik </t>
  </si>
  <si>
    <t xml:space="preserve">Vishnu Murthy </t>
  </si>
  <si>
    <t xml:space="preserve">D Sohan </t>
  </si>
  <si>
    <t xml:space="preserve">Dasari Srinivas Rao </t>
  </si>
  <si>
    <t>TW1003</t>
  </si>
  <si>
    <t>PN1002</t>
  </si>
  <si>
    <t>PN1003</t>
  </si>
  <si>
    <t>PN1004</t>
  </si>
  <si>
    <t>PN1005</t>
  </si>
  <si>
    <t>PN1006</t>
  </si>
  <si>
    <t>PN1007</t>
  </si>
  <si>
    <t>PN1008</t>
  </si>
  <si>
    <t>TW1004</t>
  </si>
  <si>
    <t>TW1005</t>
  </si>
  <si>
    <t>TW1006</t>
  </si>
  <si>
    <t>srinunivas432@gmail.com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</si>
</sst>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d/mmm/yyyy"/>
    <numFmt numFmtId="165" formatCode="dd/mmm/yyyy"/>
    <numFmt numFmtId="166" formatCode="mm/dd/yyyy"/>
    <numFmt numFmtId="167" formatCode="dd\-mm\-yyyy"/>
    <numFmt numFmtId="168" formatCode="d/mmmm/yyyy"/>
  </numFmts>
  <fonts count="10" x14ac:knownFonts="1">
    <font>
      <sz val="10"/>
      <color theme="1"/>
      <name val="Arial"/>
      <scheme val="minor"/>
    </font>
    <font>
      <b/>
      <sz val="10"/>
      <color theme="0"/>
      <name val="Arial"/>
      <family val="2"/>
    </font>
    <font>
      <sz val="10"/>
      <color theme="1"/>
      <name val="Arial"/>
      <family val="2"/>
    </font>
    <font>
      <sz val="10"/>
      <color rgb="FF04225B"/>
      <name val="Arial"/>
      <family val="2"/>
    </font>
    <font>
      <sz val="10"/>
      <color theme="1"/>
      <name val="Arial"/>
      <family val="2"/>
    </font>
    <font>
      <sz val="11"/>
      <color theme="1"/>
      <name val="Calibri"/>
      <family val="2"/>
    </font>
    <font>
      <sz val="10"/>
      <color rgb="FF222222"/>
      <name val="Arial"/>
      <family val="2"/>
    </font>
    <font>
      <sz val="10"/>
      <color theme="1"/>
      <name val="Arial"/>
      <family val="2"/>
      <scheme val="minor"/>
    </font>
    <font>
      <b/>
      <sz val="10"/>
      <color theme="1"/>
      <name val="Arial"/>
      <family val="2"/>
    </font>
    <font>
      <sz val="11"/>
      <color rgb="FF000000"/>
      <name val="Arial"/>
      <family val="2"/>
    </font>
  </fonts>
  <fills count="14">
    <fill>
      <patternFill patternType="none"/>
    </fill>
    <fill>
      <patternFill patternType="gray125"/>
    </fill>
    <fill>
      <patternFill patternType="solid">
        <fgColor theme="1"/>
        <bgColor theme="1"/>
      </patternFill>
    </fill>
    <fill>
      <patternFill patternType="solid">
        <fgColor rgb="FF007DFF"/>
        <bgColor rgb="FF007DFF"/>
      </patternFill>
    </fill>
    <fill>
      <patternFill patternType="solid">
        <fgColor theme="4"/>
        <bgColor theme="4"/>
      </patternFill>
    </fill>
    <fill>
      <patternFill patternType="solid">
        <fgColor theme="8"/>
        <bgColor theme="8"/>
      </patternFill>
    </fill>
    <fill>
      <patternFill patternType="solid">
        <fgColor theme="5"/>
        <bgColor theme="5"/>
      </patternFill>
    </fill>
    <fill>
      <patternFill patternType="solid">
        <fgColor rgb="FFBC79E5"/>
        <bgColor rgb="FFBC79E5"/>
      </patternFill>
    </fill>
    <fill>
      <patternFill patternType="solid">
        <fgColor rgb="FFB9E94D"/>
        <bgColor rgb="FFB9E94D"/>
      </patternFill>
    </fill>
    <fill>
      <patternFill patternType="solid">
        <fgColor rgb="FFF0F6FE"/>
        <bgColor rgb="FFF0F6FE"/>
      </patternFill>
    </fill>
    <fill>
      <patternFill patternType="solid">
        <fgColor rgb="FFFFF7F7"/>
        <bgColor rgb="FFFFF7F7"/>
      </patternFill>
    </fill>
    <fill>
      <patternFill patternType="solid">
        <fgColor rgb="FFFEF8E8"/>
        <bgColor rgb="FFFEF8E8"/>
      </patternFill>
    </fill>
    <fill>
      <patternFill patternType="solid">
        <fgColor rgb="FFF4F9F1"/>
        <bgColor rgb="FFF4F9F1"/>
      </patternFill>
    </fill>
    <fill>
      <patternFill patternType="solid">
        <fgColor rgb="FFFFFFFF"/>
        <bgColor rgb="FFFFFFFF"/>
      </patternFill>
    </fill>
  </fills>
  <borders count="5">
    <border>
      <left/>
      <right/>
      <top/>
      <bottom/>
      <diagonal/>
    </border>
    <border>
      <left style="thin">
        <color rgb="FFA5A5A5"/>
      </left>
      <right style="thin">
        <color rgb="FFA5A5A5"/>
      </right>
      <top style="thin">
        <color rgb="FFA5A5A5"/>
      </top>
      <bottom style="thin">
        <color rgb="FFA5A5A5"/>
      </bottom>
      <diagonal/>
    </border>
    <border>
      <left style="thin">
        <color rgb="FFA6A6A6"/>
      </left>
      <right style="thin">
        <color rgb="FFA6A6A6"/>
      </right>
      <top style="thin">
        <color rgb="FFA6A6A6"/>
      </top>
      <bottom style="thin">
        <color rgb="FFA6A6A6"/>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6">
    <xf numFmtId="0" fontId="0" fillId="0" borderId="0" xfId="0"/>
    <xf numFmtId="0" fontId="1" fillId="2" borderId="1" xfId="0" applyFont="1" applyFill="1" applyBorder="1" applyAlignment="1">
      <alignment horizontal="center" vertical="top" wrapText="1"/>
    </xf>
    <xf numFmtId="0" fontId="1" fillId="3" borderId="1" xfId="0" applyFont="1" applyFill="1" applyBorder="1" applyAlignment="1">
      <alignment horizontal="center" vertical="top" wrapText="1"/>
    </xf>
    <xf numFmtId="0" fontId="1" fillId="4" borderId="1" xfId="0" applyFont="1" applyFill="1" applyBorder="1" applyAlignment="1">
      <alignment horizontal="center" vertical="top" wrapText="1"/>
    </xf>
    <xf numFmtId="0" fontId="1" fillId="5" borderId="1" xfId="0" applyFont="1" applyFill="1" applyBorder="1" applyAlignment="1">
      <alignment horizontal="center" vertical="top" wrapText="1"/>
    </xf>
    <xf numFmtId="0" fontId="1" fillId="6" borderId="1" xfId="0" applyFont="1" applyFill="1" applyBorder="1" applyAlignment="1">
      <alignment horizontal="center" vertical="top" wrapText="1"/>
    </xf>
    <xf numFmtId="2" fontId="1" fillId="7" borderId="1" xfId="0" applyNumberFormat="1" applyFont="1" applyFill="1" applyBorder="1" applyAlignment="1">
      <alignment horizontal="center" vertical="top" wrapText="1"/>
    </xf>
    <xf numFmtId="0" fontId="1" fillId="8" borderId="1" xfId="0" applyFont="1" applyFill="1" applyBorder="1" applyAlignment="1">
      <alignment horizontal="center" vertical="top" wrapText="1"/>
    </xf>
    <xf numFmtId="2" fontId="1" fillId="8" borderId="1" xfId="0" applyNumberFormat="1" applyFont="1" applyFill="1" applyBorder="1" applyAlignment="1">
      <alignment horizontal="center" vertical="top" wrapText="1"/>
    </xf>
    <xf numFmtId="0" fontId="2" fillId="0" borderId="0" xfId="0" applyFont="1"/>
    <xf numFmtId="0" fontId="3" fillId="0" borderId="1" xfId="0" applyFont="1" applyBorder="1"/>
    <xf numFmtId="164" fontId="2" fillId="0" borderId="0" xfId="0" applyNumberFormat="1" applyFont="1"/>
    <xf numFmtId="0" fontId="4" fillId="9" borderId="1" xfId="0" applyFont="1" applyFill="1" applyBorder="1"/>
    <xf numFmtId="0" fontId="3" fillId="10" borderId="1" xfId="0" applyFont="1" applyFill="1" applyBorder="1"/>
    <xf numFmtId="165" fontId="3" fillId="11" borderId="1" xfId="0" applyNumberFormat="1" applyFont="1" applyFill="1" applyBorder="1"/>
    <xf numFmtId="0" fontId="3" fillId="12" borderId="1" xfId="0" applyFont="1" applyFill="1" applyBorder="1"/>
    <xf numFmtId="0" fontId="4" fillId="12" borderId="1" xfId="0" applyFont="1" applyFill="1" applyBorder="1"/>
    <xf numFmtId="165" fontId="4" fillId="12" borderId="1" xfId="0" applyNumberFormat="1" applyFont="1" applyFill="1" applyBorder="1"/>
    <xf numFmtId="0" fontId="4" fillId="11" borderId="1" xfId="0" applyFont="1" applyFill="1" applyBorder="1"/>
    <xf numFmtId="165" fontId="4" fillId="11" borderId="1" xfId="0" applyNumberFormat="1" applyFont="1" applyFill="1" applyBorder="1"/>
    <xf numFmtId="2" fontId="4" fillId="11" borderId="1" xfId="0" applyNumberFormat="1" applyFont="1" applyFill="1" applyBorder="1"/>
    <xf numFmtId="166" fontId="2" fillId="0" borderId="0" xfId="0" applyNumberFormat="1" applyFont="1"/>
    <xf numFmtId="0" fontId="3" fillId="9" borderId="1" xfId="0" applyFont="1" applyFill="1" applyBorder="1"/>
    <xf numFmtId="165" fontId="3" fillId="0" borderId="1" xfId="0" applyNumberFormat="1" applyFont="1" applyBorder="1"/>
    <xf numFmtId="0" fontId="4" fillId="13" borderId="3" xfId="0" applyFont="1" applyFill="1" applyBorder="1" applyAlignment="1">
      <alignment horizontal="left"/>
    </xf>
    <xf numFmtId="0" fontId="3" fillId="11" borderId="1" xfId="0" applyFont="1" applyFill="1" applyBorder="1"/>
    <xf numFmtId="164" fontId="3" fillId="9" borderId="1" xfId="0" applyNumberFormat="1" applyFont="1" applyFill="1" applyBorder="1"/>
    <xf numFmtId="165" fontId="3" fillId="9" borderId="1" xfId="0" applyNumberFormat="1" applyFont="1" applyFill="1" applyBorder="1"/>
    <xf numFmtId="165" fontId="3" fillId="10" borderId="1" xfId="0" applyNumberFormat="1" applyFont="1" applyFill="1" applyBorder="1"/>
    <xf numFmtId="14" fontId="2" fillId="0" borderId="0" xfId="0" applyNumberFormat="1" applyFont="1"/>
    <xf numFmtId="0" fontId="5" fillId="0" borderId="0" xfId="0" applyFont="1" applyAlignment="1">
      <alignment horizontal="right"/>
    </xf>
    <xf numFmtId="164" fontId="3" fillId="10" borderId="1" xfId="0" applyNumberFormat="1" applyFont="1" applyFill="1" applyBorder="1"/>
    <xf numFmtId="168" fontId="2" fillId="0" borderId="0" xfId="0" applyNumberFormat="1" applyFont="1"/>
    <xf numFmtId="0" fontId="6" fillId="13" borderId="0" xfId="0" applyFont="1" applyFill="1"/>
    <xf numFmtId="165" fontId="2" fillId="0" borderId="0" xfId="0" applyNumberFormat="1" applyFont="1"/>
    <xf numFmtId="0" fontId="3" fillId="0" borderId="2" xfId="0" applyFont="1" applyBorder="1"/>
    <xf numFmtId="0" fontId="4" fillId="0" borderId="1" xfId="0" applyFont="1" applyBorder="1"/>
    <xf numFmtId="165" fontId="4" fillId="0" borderId="1" xfId="0" applyNumberFormat="1" applyFont="1" applyBorder="1"/>
    <xf numFmtId="0" fontId="4" fillId="10" borderId="1" xfId="0" applyFont="1" applyFill="1" applyBorder="1"/>
    <xf numFmtId="165" fontId="4" fillId="10" borderId="1" xfId="0" applyNumberFormat="1" applyFont="1" applyFill="1" applyBorder="1"/>
    <xf numFmtId="0" fontId="7" fillId="0" borderId="0" xfId="0" applyFont="1"/>
    <xf numFmtId="3" fontId="1" fillId="6" borderId="1" xfId="0" applyNumberFormat="1" applyFont="1" applyFill="1" applyBorder="1" applyAlignment="1">
      <alignment horizontal="center" vertical="top" wrapText="1"/>
    </xf>
    <xf numFmtId="0" fontId="4" fillId="0" borderId="0" xfId="0" applyFont="1" applyAlignment="1">
      <alignment vertical="top"/>
    </xf>
    <xf numFmtId="3" fontId="4" fillId="12" borderId="1" xfId="0" applyNumberFormat="1" applyFont="1" applyFill="1" applyBorder="1"/>
    <xf numFmtId="3" fontId="4" fillId="11" borderId="1" xfId="0" applyNumberFormat="1" applyFont="1" applyFill="1" applyBorder="1"/>
    <xf numFmtId="0" fontId="8" fillId="0" borderId="0" xfId="0" applyFont="1"/>
    <xf numFmtId="3" fontId="4" fillId="0" borderId="0" xfId="0" applyNumberFormat="1" applyFont="1"/>
    <xf numFmtId="0" fontId="9" fillId="0" borderId="0" xfId="0" applyFont="1"/>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6" borderId="1" xfId="0" applyFont="1" applyFill="1" applyBorder="1" applyAlignment="1">
      <alignment horizontal="left" vertical="top" wrapText="1"/>
    </xf>
    <xf numFmtId="0" fontId="1" fillId="7" borderId="1" xfId="0" applyFont="1" applyFill="1" applyBorder="1" applyAlignment="1">
      <alignment horizontal="left" vertical="top" wrapText="1"/>
    </xf>
    <xf numFmtId="0" fontId="0" fillId="0" borderId="4" xfId="0" applyBorder="1" applyAlignment="1">
      <alignment horizontal="left"/>
    </xf>
    <xf numFmtId="15" fontId="0" fillId="0" borderId="4" xfId="0" applyNumberFormat="1" applyBorder="1" applyAlignment="1">
      <alignment horizontal="left"/>
    </xf>
    <xf numFmtId="0" fontId="2" fillId="0" borderId="0" xfId="0" applyFont="1" applyAlignment="1">
      <alignment horizontal="left"/>
    </xf>
    <xf numFmtId="0" fontId="3" fillId="0" borderId="1" xfId="0" applyFont="1" applyBorder="1" applyAlignment="1">
      <alignment horizontal="left"/>
    </xf>
    <xf numFmtId="0" fontId="4" fillId="9" borderId="1" xfId="0" applyFont="1" applyFill="1" applyBorder="1" applyAlignment="1">
      <alignment horizontal="left"/>
    </xf>
    <xf numFmtId="0" fontId="3" fillId="10" borderId="1" xfId="0" applyFont="1" applyFill="1" applyBorder="1" applyAlignment="1">
      <alignment horizontal="left"/>
    </xf>
    <xf numFmtId="165" fontId="3" fillId="11" borderId="1" xfId="0" applyNumberFormat="1" applyFont="1" applyFill="1" applyBorder="1" applyAlignment="1">
      <alignment horizontal="left"/>
    </xf>
    <xf numFmtId="0" fontId="3" fillId="12" borderId="1" xfId="0" applyFont="1" applyFill="1" applyBorder="1" applyAlignment="1">
      <alignment horizontal="left"/>
    </xf>
    <xf numFmtId="0" fontId="4" fillId="12" borderId="1" xfId="0" applyFont="1" applyFill="1" applyBorder="1" applyAlignment="1">
      <alignment horizontal="left"/>
    </xf>
    <xf numFmtId="165" fontId="4" fillId="12" borderId="1" xfId="0" applyNumberFormat="1" applyFont="1" applyFill="1" applyBorder="1" applyAlignment="1">
      <alignment horizontal="left"/>
    </xf>
    <xf numFmtId="0" fontId="4" fillId="11" borderId="1" xfId="0" applyFont="1" applyFill="1" applyBorder="1" applyAlignment="1">
      <alignment horizontal="left"/>
    </xf>
    <xf numFmtId="165" fontId="4" fillId="11" borderId="1" xfId="0" applyNumberFormat="1" applyFont="1" applyFill="1" applyBorder="1" applyAlignment="1">
      <alignment horizontal="left"/>
    </xf>
    <xf numFmtId="0" fontId="0" fillId="0" borderId="0" xfId="0" applyAlignment="1">
      <alignment horizontal="left"/>
    </xf>
    <xf numFmtId="164" fontId="2" fillId="0" borderId="0" xfId="0" applyNumberFormat="1" applyFont="1" applyAlignment="1">
      <alignment horizontal="left"/>
    </xf>
    <xf numFmtId="167" fontId="2" fillId="0" borderId="0" xfId="0" applyNumberFormat="1" applyFont="1" applyAlignment="1">
      <alignment horizontal="left"/>
    </xf>
    <xf numFmtId="0" fontId="3" fillId="11" borderId="1" xfId="0" applyFont="1" applyFill="1" applyBorder="1" applyAlignment="1">
      <alignment horizontal="left"/>
    </xf>
    <xf numFmtId="0" fontId="2" fillId="0" borderId="0" xfId="0" applyFont="1" applyAlignment="1">
      <alignment horizontal="left" wrapText="1"/>
    </xf>
    <xf numFmtId="14" fontId="0" fillId="0" borderId="4" xfId="0" applyNumberFormat="1" applyBorder="1" applyAlignment="1">
      <alignment horizontal="left"/>
    </xf>
    <xf numFmtId="165" fontId="3" fillId="10" borderId="1" xfId="0" applyNumberFormat="1" applyFont="1" applyFill="1" applyBorder="1" applyAlignment="1">
      <alignment horizontal="left"/>
    </xf>
    <xf numFmtId="165" fontId="3" fillId="12" borderId="1" xfId="0" applyNumberFormat="1" applyFont="1" applyFill="1" applyBorder="1" applyAlignment="1">
      <alignment horizontal="left"/>
    </xf>
    <xf numFmtId="14" fontId="2" fillId="0" borderId="0" xfId="0" applyNumberFormat="1" applyFont="1" applyAlignment="1">
      <alignment horizontal="left"/>
    </xf>
    <xf numFmtId="0" fontId="5"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D:\Employee%20sheet%20.xlsx" TargetMode="External"/><Relationship Id="rId1" Type="http://schemas.openxmlformats.org/officeDocument/2006/relationships/externalLinkPath" Target="file:///D:\Employee%20sheet%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ctive Sheet "/>
      <sheetName val="Feb Attendance "/>
      <sheetName val="Sheet1"/>
    </sheetNames>
    <sheetDataSet>
      <sheetData sheetId="0">
        <row r="1">
          <cell r="A1" t="str">
            <v>S.no</v>
          </cell>
          <cell r="B1" t="str">
            <v xml:space="preserve">Employee Name </v>
          </cell>
          <cell r="C1" t="str">
            <v>DOB</v>
          </cell>
          <cell r="D1" t="str">
            <v>DOJ</v>
          </cell>
          <cell r="F1" t="str">
            <v xml:space="preserve">Emails </v>
          </cell>
        </row>
        <row r="2">
          <cell r="A2" t="str">
            <v>TW1003</v>
          </cell>
          <cell r="B2" t="str">
            <v xml:space="preserve">Muniganti Shiva Kumar Chary </v>
          </cell>
          <cell r="C2">
            <v>36024</v>
          </cell>
          <cell r="D2">
            <v>45938</v>
          </cell>
          <cell r="F2" t="str">
            <v xml:space="preserve">shivacharymunganti@gmail.com </v>
          </cell>
        </row>
        <row r="3">
          <cell r="A3" t="str">
            <v>PN1002</v>
          </cell>
          <cell r="B3" t="str">
            <v xml:space="preserve">Shaik Noor Bhasa Muzeef </v>
          </cell>
          <cell r="C3">
            <v>35863</v>
          </cell>
          <cell r="D3">
            <v>45946</v>
          </cell>
          <cell r="F3" t="str">
            <v>shaikmuzeef9999@gmail.com</v>
          </cell>
        </row>
        <row r="4">
          <cell r="A4" t="str">
            <v>PN1003</v>
          </cell>
          <cell r="B4" t="str">
            <v xml:space="preserve">Bavirisetty Datta Venkata Ramana </v>
          </cell>
          <cell r="C4">
            <v>35776</v>
          </cell>
          <cell r="D4">
            <v>45949</v>
          </cell>
          <cell r="F4" t="str">
            <v>bavirisettidvramana@gmail.com</v>
          </cell>
        </row>
        <row r="5">
          <cell r="A5" t="str">
            <v>PN1004</v>
          </cell>
          <cell r="B5" t="str">
            <v xml:space="preserve">Anagandula Prasana </v>
          </cell>
          <cell r="C5">
            <v>36161</v>
          </cell>
          <cell r="D5">
            <v>45957</v>
          </cell>
          <cell r="F5" t="str">
            <v>prasanna@propenu.com</v>
          </cell>
        </row>
        <row r="6">
          <cell r="A6" t="str">
            <v>PN1005</v>
          </cell>
          <cell r="B6" t="str">
            <v xml:space="preserve">Rishika Pokala </v>
          </cell>
          <cell r="C6">
            <v>36695</v>
          </cell>
          <cell r="D6">
            <v>45978</v>
          </cell>
          <cell r="F6" t="str">
            <v>rishika@propenu.com</v>
          </cell>
        </row>
        <row r="7">
          <cell r="A7" t="str">
            <v>PN1006</v>
          </cell>
          <cell r="B7" t="str">
            <v xml:space="preserve">Harsad Shaik </v>
          </cell>
          <cell r="C7">
            <v>38226</v>
          </cell>
          <cell r="D7">
            <v>46002</v>
          </cell>
          <cell r="F7" t="str">
            <v>shaikharshad2728@gmail.com</v>
          </cell>
        </row>
        <row r="8">
          <cell r="A8" t="str">
            <v>PN1007</v>
          </cell>
          <cell r="B8" t="str">
            <v xml:space="preserve">Kavuru Vanitha </v>
          </cell>
          <cell r="C8">
            <v>35221</v>
          </cell>
          <cell r="D8">
            <v>46009</v>
          </cell>
          <cell r="F8" t="str">
            <v>kavuruvanitha@gmail.com</v>
          </cell>
        </row>
        <row r="9">
          <cell r="B9" t="str">
            <v xml:space="preserve">Molagasi Manideep </v>
          </cell>
          <cell r="C9">
            <v>38575</v>
          </cell>
          <cell r="D9">
            <v>46055</v>
          </cell>
          <cell r="F9" t="str">
            <v>molagasimanideep11@gmail.com</v>
          </cell>
        </row>
        <row r="10">
          <cell r="A10" t="str">
            <v>PN1008</v>
          </cell>
          <cell r="B10" t="str">
            <v xml:space="preserve">D Hemangi </v>
          </cell>
          <cell r="C10">
            <v>37202</v>
          </cell>
          <cell r="D10">
            <v>46062</v>
          </cell>
          <cell r="F10" t="str">
            <v>darlahemangi071@gmail.com</v>
          </cell>
        </row>
        <row r="11">
          <cell r="A11" t="str">
            <v>TW1004</v>
          </cell>
          <cell r="B11" t="str">
            <v xml:space="preserve">Vishnu Murthy </v>
          </cell>
          <cell r="C11">
            <v>37438</v>
          </cell>
          <cell r="D11">
            <v>46083</v>
          </cell>
          <cell r="F11" t="str">
            <v xml:space="preserve">vishnumurthy0116@gmail.com </v>
          </cell>
        </row>
        <row r="12">
          <cell r="A12" t="str">
            <v>TW1005</v>
          </cell>
          <cell r="B12" t="str">
            <v xml:space="preserve">D Sohan </v>
          </cell>
          <cell r="C12">
            <v>35333</v>
          </cell>
          <cell r="D12">
            <v>46083</v>
          </cell>
          <cell r="F12" t="str">
            <v xml:space="preserve">decondasohan1996@gmail.com </v>
          </cell>
        </row>
        <row r="13">
          <cell r="A13" t="str">
            <v>TW1006</v>
          </cell>
          <cell r="B13" t="str">
            <v xml:space="preserve">Dasari Srinivas Rao </v>
          </cell>
          <cell r="C13">
            <v>35569</v>
          </cell>
          <cell r="D13">
            <v>46090</v>
          </cell>
          <cell r="F13" t="str">
            <v>srinunivas432@gmail.com</v>
          </cell>
        </row>
        <row r="14">
          <cell r="B14" t="str">
            <v xml:space="preserve">Bilal Hafeez Rasheed </v>
          </cell>
          <cell r="C14">
            <v>37798</v>
          </cell>
          <cell r="F14" t="str">
            <v xml:space="preserve">  </v>
          </cell>
        </row>
        <row r="15">
          <cell r="B15" t="str">
            <v xml:space="preserve">Vamshi Dumpala </v>
          </cell>
          <cell r="C15">
            <v>37427</v>
          </cell>
        </row>
        <row r="16">
          <cell r="B16" t="str">
            <v xml:space="preserve">Chalagunda sai Kiran </v>
          </cell>
          <cell r="C16">
            <v>33734</v>
          </cell>
        </row>
        <row r="17">
          <cell r="B17" t="str">
            <v xml:space="preserve">Masarapu Avinash </v>
          </cell>
          <cell r="C17">
            <v>31808</v>
          </cell>
        </row>
      </sheetData>
      <sheetData sheetId="1"/>
      <sheetData sheetId="2"/>
    </sheetDataSet>
  </externalBook>
</externalLink>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4225B"/>
      </a:dk1>
      <a:lt1>
        <a:srgbClr val="FFFFFF"/>
      </a:lt1>
      <a:dk2>
        <a:srgbClr val="04225B"/>
      </a:dk2>
      <a:lt2>
        <a:srgbClr val="FFFFFF"/>
      </a:lt2>
      <a:accent1>
        <a:srgbClr val="F66769"/>
      </a:accent1>
      <a:accent2>
        <a:srgbClr val="FCC22E"/>
      </a:accent2>
      <a:accent3>
        <a:srgbClr val="BFBFBF"/>
      </a:accent3>
      <a:accent4>
        <a:srgbClr val="FD9248"/>
      </a:accent4>
      <a:accent5>
        <a:srgbClr val="73BE7B"/>
      </a:accent5>
      <a:accent6>
        <a:srgbClr val="70AD47"/>
      </a:accent6>
      <a:hlink>
        <a:srgbClr val="007DFF"/>
      </a:hlink>
      <a:folHlink>
        <a:srgbClr val="007D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95"/>
  <sheetViews>
    <sheetView tabSelected="1" workbookViewId="0">
      <pane xSplit="2" ySplit="1" topLeftCell="C2" activePane="bottomRight" state="frozen"/>
      <selection pane="topRight" activeCell="C1" sqref="C1"/>
      <selection pane="bottomLeft" activeCell="A2" sqref="A2"/>
      <selection pane="bottomRight" activeCell="D16" sqref="D16"/>
    </sheetView>
  </sheetViews>
  <sheetFormatPr defaultColWidth="12.6328125" defaultRowHeight="15" customHeight="1" x14ac:dyDescent="0.25"/>
  <cols>
    <col min="1" max="1" width="11.453125" customWidth="1"/>
    <col min="2" max="2" width="29.26953125" bestFit="1" customWidth="1"/>
    <col min="3" max="3" width="29.6328125" customWidth="1"/>
    <col min="4" max="4" width="15.90625" customWidth="1"/>
    <col min="5" max="5" width="16.453125" customWidth="1"/>
    <col min="6" max="6" width="20.6328125" customWidth="1"/>
    <col min="7" max="8" width="20.7265625" customWidth="1"/>
    <col min="9" max="9" width="35.26953125" customWidth="1"/>
    <col min="10" max="25" width="20.7265625" customWidth="1"/>
    <col min="26" max="26" width="37.26953125" customWidth="1"/>
    <col min="27" max="27" width="35.7265625" customWidth="1"/>
    <col min="28" max="28" width="38.26953125" customWidth="1"/>
    <col min="29" max="29" width="44.36328125" customWidth="1"/>
    <col min="30" max="30" width="25.90625" customWidth="1"/>
    <col min="31" max="31" width="44.90625" customWidth="1"/>
    <col min="32" max="32" width="48.90625" customWidth="1"/>
  </cols>
  <sheetData>
    <row r="1" spans="1:32" ht="69" customHeight="1" x14ac:dyDescent="0.25">
      <c r="A1" s="48" t="s">
        <v>0</v>
      </c>
      <c r="B1" s="48" t="s">
        <v>1</v>
      </c>
      <c r="C1" s="48" t="s">
        <v>2</v>
      </c>
      <c r="D1" s="48" t="s">
        <v>3</v>
      </c>
      <c r="E1" s="48" t="s">
        <v>4</v>
      </c>
      <c r="F1" s="48" t="s">
        <v>5</v>
      </c>
      <c r="G1" s="49" t="s">
        <v>6</v>
      </c>
      <c r="H1" s="49" t="s">
        <v>7</v>
      </c>
      <c r="I1" s="50" t="s">
        <v>8</v>
      </c>
      <c r="J1" s="50" t="s">
        <v>9</v>
      </c>
      <c r="K1" s="50" t="s">
        <v>10</v>
      </c>
      <c r="L1" s="51" t="s">
        <v>11</v>
      </c>
      <c r="M1" s="51" t="s">
        <v>12</v>
      </c>
      <c r="N1" s="51" t="s">
        <v>13</v>
      </c>
      <c r="O1" s="52" t="s">
        <v>14</v>
      </c>
      <c r="P1" s="52" t="s">
        <v>15</v>
      </c>
      <c r="Q1" s="52" t="s">
        <v>16</v>
      </c>
      <c r="R1" s="53" t="s">
        <v>17</v>
      </c>
      <c r="S1" s="53" t="s">
        <v>18</v>
      </c>
      <c r="T1" s="6"/>
      <c r="U1" s="7" t="s">
        <v>19</v>
      </c>
      <c r="V1" s="7" t="s">
        <v>20</v>
      </c>
      <c r="W1" s="8"/>
      <c r="X1" s="2" t="s">
        <v>21</v>
      </c>
      <c r="Y1" s="2" t="s">
        <v>22</v>
      </c>
      <c r="Z1" s="2" t="s">
        <v>23</v>
      </c>
      <c r="AA1" s="2" t="s">
        <v>24</v>
      </c>
      <c r="AB1" s="2" t="s">
        <v>25</v>
      </c>
      <c r="AC1" s="2" t="s">
        <v>26</v>
      </c>
      <c r="AD1" s="2" t="s">
        <v>27</v>
      </c>
      <c r="AE1" s="2" t="s">
        <v>28</v>
      </c>
      <c r="AF1" s="2" t="s">
        <v>29</v>
      </c>
    </row>
    <row r="2" spans="1:32" ht="12.75" customHeight="1" x14ac:dyDescent="0.25">
      <c r="A2" s="54" t="s">
        <v>142</v>
      </c>
      <c r="B2" s="54" t="s">
        <v>136</v>
      </c>
      <c r="C2" s="55" t="str">
        <f>VLOOKUP(A2,'[1]Active Sheet '!$A:$F,6,0)</f>
        <v xml:space="preserve">shivacharymunganti@gmail.com </v>
      </c>
      <c r="D2" s="56">
        <v>9182060292</v>
      </c>
      <c r="E2" s="57" t="s">
        <v>46</v>
      </c>
      <c r="F2" s="55">
        <v>36024</v>
      </c>
      <c r="G2" s="58" t="s">
        <v>48</v>
      </c>
      <c r="H2" s="58"/>
      <c r="I2" s="56"/>
      <c r="J2" s="59"/>
      <c r="K2" s="60"/>
      <c r="L2" s="61"/>
      <c r="M2" s="62"/>
      <c r="N2" s="63"/>
      <c r="O2" s="64"/>
      <c r="P2" s="64"/>
      <c r="Q2" s="65"/>
      <c r="R2" s="56"/>
      <c r="S2" s="60"/>
      <c r="T2" s="20"/>
      <c r="U2" s="9"/>
      <c r="V2" s="14"/>
      <c r="W2" s="20"/>
      <c r="X2" s="21"/>
      <c r="Y2" s="9"/>
      <c r="Z2" s="22"/>
      <c r="AA2" s="22"/>
      <c r="AB2" s="22"/>
      <c r="AC2" s="9"/>
      <c r="AD2" s="22"/>
      <c r="AE2" s="22"/>
      <c r="AF2" s="9"/>
    </row>
    <row r="3" spans="1:32" ht="12.75" customHeight="1" x14ac:dyDescent="0.25">
      <c r="A3" s="54" t="s">
        <v>143</v>
      </c>
      <c r="B3" s="54" t="s">
        <v>132</v>
      </c>
      <c r="C3" s="55" t="str">
        <f>VLOOKUP(A3,'[1]Active Sheet '!$A:$F,6,0)</f>
        <v>shaikmuzeef9999@gmail.com</v>
      </c>
      <c r="D3" s="56">
        <v>9959456647</v>
      </c>
      <c r="E3" s="57" t="s">
        <v>46</v>
      </c>
      <c r="F3" s="55">
        <v>35863</v>
      </c>
      <c r="G3" s="58" t="s">
        <v>48</v>
      </c>
      <c r="H3" s="58"/>
      <c r="I3" s="56"/>
      <c r="J3" s="59"/>
      <c r="K3" s="60"/>
      <c r="L3" s="61"/>
      <c r="M3" s="62"/>
      <c r="N3" s="63"/>
      <c r="O3" s="64"/>
      <c r="P3" s="64"/>
      <c r="Q3" s="65"/>
      <c r="R3" s="56"/>
      <c r="S3" s="60"/>
      <c r="T3" s="20"/>
      <c r="U3" s="9"/>
      <c r="V3" s="14"/>
      <c r="W3" s="20"/>
      <c r="X3" s="21"/>
      <c r="Y3" s="9"/>
      <c r="Z3" s="22"/>
      <c r="AA3" s="22"/>
      <c r="AB3" s="22"/>
      <c r="AC3" s="9"/>
      <c r="AD3" s="22"/>
      <c r="AE3" s="22"/>
      <c r="AF3" s="9"/>
    </row>
    <row r="4" spans="1:32" ht="12.75" customHeight="1" x14ac:dyDescent="0.25">
      <c r="A4" s="54" t="s">
        <v>144</v>
      </c>
      <c r="B4" s="54" t="s">
        <v>134</v>
      </c>
      <c r="C4" s="55" t="str">
        <f>VLOOKUP(A4,'[1]Active Sheet '!$A:$F,6,0)</f>
        <v>bavirisettidvramana@gmail.com</v>
      </c>
      <c r="D4" s="66">
        <v>9390919698</v>
      </c>
      <c r="E4" s="57" t="s">
        <v>46</v>
      </c>
      <c r="F4" s="55">
        <v>35776</v>
      </c>
      <c r="G4" s="58" t="s">
        <v>48</v>
      </c>
      <c r="H4" s="58"/>
      <c r="I4" s="24"/>
      <c r="J4" s="59"/>
      <c r="K4" s="67"/>
      <c r="L4" s="61"/>
      <c r="M4" s="61"/>
      <c r="N4" s="68"/>
      <c r="O4" s="24"/>
      <c r="P4" s="69"/>
      <c r="Q4" s="56"/>
      <c r="R4" s="65"/>
      <c r="S4" s="65"/>
      <c r="T4" s="20"/>
      <c r="U4" s="19"/>
      <c r="V4" s="19"/>
      <c r="W4" s="20"/>
      <c r="X4" s="26"/>
      <c r="Y4" s="9"/>
      <c r="Z4" s="22"/>
      <c r="AA4" s="22"/>
      <c r="AB4" s="22"/>
      <c r="AC4" s="22"/>
      <c r="AD4" s="22"/>
      <c r="AE4" s="22"/>
      <c r="AF4" s="22"/>
    </row>
    <row r="5" spans="1:32" ht="12.75" customHeight="1" x14ac:dyDescent="0.25">
      <c r="A5" s="54" t="s">
        <v>145</v>
      </c>
      <c r="B5" s="54" t="s">
        <v>135</v>
      </c>
      <c r="C5" s="55" t="str">
        <f>VLOOKUP(A5,'[1]Active Sheet '!$A:$F,6,0)</f>
        <v>prasanna@propenu.com</v>
      </c>
      <c r="D5" s="70">
        <v>8185094463</v>
      </c>
      <c r="E5" s="57" t="s">
        <v>52</v>
      </c>
      <c r="F5" s="55">
        <v>36161</v>
      </c>
      <c r="G5" s="58" t="s">
        <v>48</v>
      </c>
      <c r="H5" s="58"/>
      <c r="I5" s="69"/>
      <c r="J5" s="59"/>
      <c r="K5" s="60"/>
      <c r="L5" s="61"/>
      <c r="M5" s="61"/>
      <c r="N5" s="63"/>
      <c r="O5" s="64"/>
      <c r="P5" s="64"/>
      <c r="Q5" s="65"/>
      <c r="R5" s="69"/>
      <c r="S5" s="60"/>
      <c r="T5" s="20"/>
      <c r="U5" s="25"/>
      <c r="V5" s="14"/>
      <c r="W5" s="20"/>
      <c r="X5" s="26"/>
      <c r="Y5" s="9"/>
      <c r="Z5" s="22"/>
      <c r="AA5" s="22"/>
      <c r="AB5" s="22"/>
      <c r="AC5" s="22"/>
      <c r="AD5" s="12"/>
      <c r="AE5" s="22"/>
      <c r="AF5" s="22"/>
    </row>
    <row r="6" spans="1:32" ht="12.75" customHeight="1" x14ac:dyDescent="0.25">
      <c r="A6" s="54" t="s">
        <v>146</v>
      </c>
      <c r="B6" s="54" t="s">
        <v>133</v>
      </c>
      <c r="C6" s="55" t="str">
        <f>VLOOKUP(A6,'[1]Active Sheet '!$A:$F,6,0)</f>
        <v>rishika@propenu.com</v>
      </c>
      <c r="D6" s="56">
        <v>7670818560</v>
      </c>
      <c r="E6" s="57" t="s">
        <v>52</v>
      </c>
      <c r="F6" s="55">
        <v>36695</v>
      </c>
      <c r="G6" s="58" t="s">
        <v>48</v>
      </c>
      <c r="H6" s="58"/>
      <c r="I6" s="69"/>
      <c r="J6" s="59"/>
      <c r="K6" s="60"/>
      <c r="L6" s="61"/>
      <c r="M6" s="62"/>
      <c r="N6" s="63"/>
      <c r="O6" s="64"/>
      <c r="P6" s="64"/>
      <c r="Q6" s="65"/>
      <c r="R6" s="69"/>
      <c r="S6" s="60"/>
      <c r="T6" s="20"/>
      <c r="U6" s="25"/>
      <c r="V6" s="14"/>
      <c r="W6" s="20"/>
      <c r="X6" s="26"/>
      <c r="Y6" s="9"/>
      <c r="Z6" s="22"/>
      <c r="AA6" s="22"/>
      <c r="AB6" s="22"/>
      <c r="AC6" s="22"/>
      <c r="AD6" s="12"/>
      <c r="AE6" s="22"/>
      <c r="AF6" s="22"/>
    </row>
    <row r="7" spans="1:32" ht="12.75" customHeight="1" x14ac:dyDescent="0.25">
      <c r="A7" s="54" t="s">
        <v>147</v>
      </c>
      <c r="B7" s="54" t="s">
        <v>138</v>
      </c>
      <c r="C7" s="55" t="str">
        <f>VLOOKUP(A7,'[1]Active Sheet '!$A:$F,6,0)</f>
        <v>shaikharshad2728@gmail.com</v>
      </c>
      <c r="D7" s="56">
        <v>7993371356</v>
      </c>
      <c r="E7" s="57" t="s">
        <v>46</v>
      </c>
      <c r="F7" s="71">
        <v>38226</v>
      </c>
      <c r="G7" s="58" t="s">
        <v>48</v>
      </c>
      <c r="H7" s="58"/>
      <c r="I7" s="69"/>
      <c r="J7" s="59"/>
      <c r="K7" s="60"/>
      <c r="L7" s="61"/>
      <c r="M7" s="61"/>
      <c r="N7" s="63"/>
      <c r="O7" s="64"/>
      <c r="P7" s="64"/>
      <c r="Q7" s="65"/>
      <c r="R7" s="69"/>
      <c r="S7" s="60"/>
      <c r="T7" s="20"/>
      <c r="U7" s="25"/>
      <c r="V7" s="14"/>
      <c r="W7" s="20"/>
      <c r="X7" s="27"/>
      <c r="Y7" s="9"/>
      <c r="Z7" s="22"/>
      <c r="AA7" s="22"/>
      <c r="AB7" s="22"/>
      <c r="AC7" s="22"/>
      <c r="AD7" s="22"/>
      <c r="AE7" s="22"/>
      <c r="AF7" s="22"/>
    </row>
    <row r="8" spans="1:32" ht="12.75" customHeight="1" x14ac:dyDescent="0.25">
      <c r="A8" s="54" t="s">
        <v>148</v>
      </c>
      <c r="B8" s="54" t="s">
        <v>131</v>
      </c>
      <c r="C8" s="55" t="str">
        <f>VLOOKUP(A8,'[1]Active Sheet '!$A:$F,6,0)</f>
        <v>kavuruvanitha@gmail.com</v>
      </c>
      <c r="D8" s="56">
        <v>7382369238</v>
      </c>
      <c r="E8" s="57" t="s">
        <v>52</v>
      </c>
      <c r="F8" s="55">
        <v>35221</v>
      </c>
      <c r="G8" s="58" t="s">
        <v>48</v>
      </c>
      <c r="H8" s="58"/>
      <c r="I8" s="56"/>
      <c r="J8" s="59"/>
      <c r="K8" s="72"/>
      <c r="L8" s="61"/>
      <c r="M8" s="61"/>
      <c r="N8" s="73"/>
      <c r="O8" s="69"/>
      <c r="P8" s="69"/>
      <c r="Q8" s="60"/>
      <c r="R8" s="69"/>
      <c r="S8" s="60"/>
      <c r="T8" s="20"/>
      <c r="U8" s="25"/>
      <c r="V8" s="14"/>
      <c r="W8" s="20"/>
      <c r="X8" s="26"/>
      <c r="Y8" s="22"/>
      <c r="Z8" s="22"/>
      <c r="AA8" s="22"/>
      <c r="AB8" s="22"/>
      <c r="AC8" s="22"/>
      <c r="AD8" s="22"/>
      <c r="AE8" s="22"/>
      <c r="AF8" s="22"/>
    </row>
    <row r="9" spans="1:32" ht="12.75" customHeight="1" x14ac:dyDescent="0.25">
      <c r="A9" s="54" t="s">
        <v>149</v>
      </c>
      <c r="B9" s="54" t="s">
        <v>137</v>
      </c>
      <c r="C9" s="55" t="str">
        <f>VLOOKUP(A9,'[1]Active Sheet '!$A:$F,6,0)</f>
        <v>darlahemangi071@gmail.com</v>
      </c>
      <c r="D9" s="56">
        <v>8247805962</v>
      </c>
      <c r="E9" s="57" t="s">
        <v>52</v>
      </c>
      <c r="F9" s="55">
        <v>37202</v>
      </c>
      <c r="G9" s="58" t="s">
        <v>48</v>
      </c>
      <c r="H9" s="58"/>
      <c r="I9" s="56"/>
      <c r="J9" s="59"/>
      <c r="K9" s="72"/>
      <c r="L9" s="61"/>
      <c r="M9" s="61"/>
      <c r="N9" s="73"/>
      <c r="O9" s="69"/>
      <c r="P9" s="69"/>
      <c r="Q9" s="60"/>
      <c r="R9" s="69"/>
      <c r="S9" s="60"/>
      <c r="T9" s="20"/>
      <c r="U9" s="25"/>
      <c r="V9" s="14"/>
      <c r="W9" s="20"/>
      <c r="X9" s="26"/>
      <c r="Y9" s="22"/>
      <c r="Z9" s="22"/>
      <c r="AA9" s="22"/>
      <c r="AB9" s="22"/>
      <c r="AC9" s="22"/>
      <c r="AD9" s="22"/>
      <c r="AE9" s="22"/>
      <c r="AF9" s="22"/>
    </row>
    <row r="10" spans="1:32" ht="12.75" customHeight="1" x14ac:dyDescent="0.25">
      <c r="A10" s="54" t="s">
        <v>150</v>
      </c>
      <c r="B10" s="54" t="s">
        <v>139</v>
      </c>
      <c r="C10" s="55" t="str">
        <f>VLOOKUP(A10,'[1]Active Sheet '!$A:$F,6,0)</f>
        <v xml:space="preserve">vishnumurthy0116@gmail.com </v>
      </c>
      <c r="D10" s="56">
        <v>9573526844</v>
      </c>
      <c r="E10" s="57" t="s">
        <v>46</v>
      </c>
      <c r="F10" s="71">
        <v>37438</v>
      </c>
      <c r="G10" s="58" t="s">
        <v>48</v>
      </c>
      <c r="H10" s="58"/>
      <c r="I10" s="56"/>
      <c r="J10" s="59"/>
      <c r="K10" s="72"/>
      <c r="L10" s="61"/>
      <c r="M10" s="62"/>
      <c r="N10" s="63"/>
      <c r="O10" s="64"/>
      <c r="P10" s="64"/>
      <c r="Q10" s="65"/>
      <c r="R10" s="65"/>
      <c r="S10" s="65"/>
      <c r="T10" s="20"/>
      <c r="U10" s="19"/>
      <c r="V10" s="19"/>
      <c r="W10" s="20"/>
      <c r="X10" s="26"/>
      <c r="Y10" s="9"/>
      <c r="Z10" s="22"/>
      <c r="AA10" s="22"/>
      <c r="AB10" s="22"/>
      <c r="AC10" s="22"/>
      <c r="AD10" s="22"/>
      <c r="AE10" s="22"/>
      <c r="AF10" s="22"/>
    </row>
    <row r="11" spans="1:32" ht="12.75" customHeight="1" x14ac:dyDescent="0.25">
      <c r="A11" s="54" t="s">
        <v>151</v>
      </c>
      <c r="B11" s="54" t="s">
        <v>140</v>
      </c>
      <c r="C11" s="55" t="str">
        <f>VLOOKUP(A11,'[1]Active Sheet '!$A:$F,6,0)</f>
        <v xml:space="preserve">decondasohan1996@gmail.com </v>
      </c>
      <c r="D11" s="54">
        <v>8886860400</v>
      </c>
      <c r="E11" s="57" t="s">
        <v>46</v>
      </c>
      <c r="F11" s="71">
        <v>35333</v>
      </c>
      <c r="G11" s="58" t="s">
        <v>48</v>
      </c>
      <c r="H11" s="58"/>
      <c r="I11" s="56"/>
      <c r="J11" s="59"/>
      <c r="K11" s="72"/>
      <c r="L11" s="61"/>
      <c r="M11" s="61"/>
      <c r="N11" s="74"/>
      <c r="O11" s="56"/>
      <c r="P11" s="69"/>
      <c r="Q11" s="60"/>
      <c r="R11" s="56"/>
      <c r="S11" s="60"/>
      <c r="T11" s="20"/>
      <c r="U11" s="9"/>
      <c r="V11" s="14"/>
      <c r="W11" s="20"/>
      <c r="X11" s="27"/>
      <c r="Y11" s="9"/>
      <c r="Z11" s="22"/>
      <c r="AA11" s="22"/>
      <c r="AB11" s="22"/>
      <c r="AC11" s="22"/>
      <c r="AD11" s="22"/>
      <c r="AE11" s="22"/>
      <c r="AF11" s="22"/>
    </row>
    <row r="12" spans="1:32" ht="12.75" customHeight="1" x14ac:dyDescent="0.35">
      <c r="A12" s="54" t="s">
        <v>152</v>
      </c>
      <c r="B12" s="54" t="s">
        <v>141</v>
      </c>
      <c r="C12" s="55" t="s">
        <v>153</v>
      </c>
      <c r="D12" s="75">
        <v>630125943</v>
      </c>
      <c r="E12" s="57" t="s">
        <v>46</v>
      </c>
      <c r="F12" s="71">
        <v>35569</v>
      </c>
      <c r="G12" s="58" t="s">
        <v>48</v>
      </c>
      <c r="H12" s="58"/>
      <c r="I12" s="56"/>
      <c r="J12" s="59"/>
      <c r="K12" s="72"/>
      <c r="L12" s="61"/>
      <c r="M12" s="61"/>
      <c r="N12" s="74"/>
      <c r="O12" s="56"/>
      <c r="P12" s="69"/>
      <c r="Q12" s="60"/>
      <c r="R12" s="56"/>
      <c r="S12" s="60"/>
      <c r="T12" s="20"/>
      <c r="U12" s="9"/>
      <c r="V12" s="14"/>
      <c r="W12" s="20"/>
      <c r="X12" s="27"/>
      <c r="Y12" s="9"/>
      <c r="Z12" s="22"/>
      <c r="AA12" s="22"/>
      <c r="AB12" s="22"/>
      <c r="AC12" s="22"/>
      <c r="AD12" s="22"/>
      <c r="AE12" s="22"/>
      <c r="AF12" s="22"/>
    </row>
    <row r="13" spans="1:32" ht="12.75" customHeight="1" x14ac:dyDescent="0.35">
      <c r="A13" s="9"/>
      <c r="D13" s="30"/>
      <c r="E13" s="10"/>
      <c r="F13" s="23"/>
      <c r="G13" s="12"/>
      <c r="H13" s="12"/>
      <c r="I13" s="9"/>
      <c r="J13" s="13"/>
      <c r="K13" s="31"/>
      <c r="L13" s="15"/>
      <c r="M13" s="15"/>
      <c r="N13" s="29"/>
      <c r="O13" s="9"/>
      <c r="P13" s="25"/>
      <c r="Q13" s="14"/>
      <c r="R13" s="9"/>
      <c r="S13" s="14"/>
      <c r="T13" s="20"/>
      <c r="U13" s="9"/>
      <c r="V13" s="14"/>
      <c r="W13" s="20"/>
      <c r="X13" s="27"/>
      <c r="Y13" s="9"/>
      <c r="Z13" s="22"/>
      <c r="AA13" s="22"/>
      <c r="AB13" s="22"/>
      <c r="AC13" s="22"/>
      <c r="AD13" s="22"/>
      <c r="AE13" s="22"/>
      <c r="AF13" s="22"/>
    </row>
    <row r="14" spans="1:32" ht="12.75" customHeight="1" x14ac:dyDescent="0.35">
      <c r="A14" s="9"/>
      <c r="D14" s="30"/>
      <c r="E14" s="10"/>
      <c r="F14" s="23"/>
      <c r="G14" s="12"/>
      <c r="H14" s="12"/>
      <c r="I14" s="9"/>
      <c r="J14" s="13"/>
      <c r="K14" s="32"/>
      <c r="L14" s="15"/>
      <c r="M14" s="16"/>
      <c r="N14" s="17"/>
      <c r="O14" s="18"/>
      <c r="P14" s="18"/>
      <c r="Q14" s="19"/>
      <c r="R14" s="25"/>
      <c r="S14" s="19"/>
      <c r="T14" s="20"/>
      <c r="U14" s="25"/>
      <c r="V14" s="19"/>
      <c r="W14" s="20"/>
      <c r="X14" s="27"/>
      <c r="Y14" s="9"/>
      <c r="Z14" s="22"/>
      <c r="AA14" s="22"/>
      <c r="AB14" s="22"/>
      <c r="AC14" s="22"/>
      <c r="AD14" s="22"/>
      <c r="AE14" s="22"/>
      <c r="AF14" s="22"/>
    </row>
    <row r="15" spans="1:32" ht="12.75" customHeight="1" x14ac:dyDescent="0.25">
      <c r="A15" s="9"/>
      <c r="B15" s="9"/>
      <c r="C15" s="10"/>
      <c r="D15" s="33"/>
      <c r="E15" s="10"/>
      <c r="F15" s="34"/>
      <c r="G15" s="12"/>
      <c r="H15" s="12"/>
      <c r="I15" s="9"/>
      <c r="J15" s="13"/>
      <c r="K15" s="28"/>
      <c r="L15" s="15"/>
      <c r="M15" s="16"/>
      <c r="N15" s="17"/>
      <c r="O15" s="18"/>
      <c r="P15" s="18"/>
      <c r="Q15" s="19"/>
      <c r="R15" s="9"/>
      <c r="S15" s="11"/>
      <c r="T15" s="20"/>
      <c r="U15" s="9"/>
      <c r="V15" s="11"/>
      <c r="W15" s="20"/>
      <c r="X15" s="34"/>
      <c r="Y15" s="9"/>
      <c r="Z15" s="22"/>
      <c r="AA15" s="22"/>
      <c r="AB15" s="22"/>
      <c r="AC15" s="22"/>
      <c r="AD15" s="22"/>
      <c r="AE15" s="22"/>
      <c r="AF15" s="22"/>
    </row>
    <row r="16" spans="1:32" ht="12.75" customHeight="1" x14ac:dyDescent="0.25">
      <c r="A16" s="35"/>
      <c r="B16" s="10"/>
      <c r="C16" s="36"/>
      <c r="D16" s="36"/>
      <c r="E16" s="36"/>
      <c r="F16" s="37"/>
      <c r="G16" s="12"/>
      <c r="H16" s="12"/>
      <c r="I16" s="9"/>
      <c r="J16" s="13"/>
      <c r="K16" s="11"/>
      <c r="L16" s="15"/>
      <c r="M16" s="16"/>
      <c r="N16" s="17"/>
      <c r="O16" s="18"/>
      <c r="P16" s="18"/>
      <c r="Q16" s="19"/>
      <c r="R16" s="9"/>
      <c r="S16" s="11"/>
      <c r="T16" s="20"/>
      <c r="U16" s="9"/>
      <c r="V16" s="11"/>
      <c r="W16" s="20"/>
      <c r="X16" s="34"/>
      <c r="Y16" s="9"/>
      <c r="Z16" s="22"/>
      <c r="AA16" s="22"/>
      <c r="AB16" s="22"/>
      <c r="AC16" s="22"/>
      <c r="AD16" s="22"/>
      <c r="AE16" s="22"/>
      <c r="AF16" s="22"/>
    </row>
    <row r="17" spans="1:32" ht="12.75" customHeight="1" x14ac:dyDescent="0.25">
      <c r="A17" s="10"/>
      <c r="C17" s="36"/>
      <c r="D17" s="36"/>
      <c r="E17" s="36"/>
      <c r="F17" s="37"/>
      <c r="G17" s="12"/>
      <c r="H17" s="12"/>
      <c r="I17" s="38"/>
      <c r="J17" s="38"/>
      <c r="K17" s="39"/>
      <c r="L17" s="16"/>
      <c r="M17" s="16"/>
      <c r="N17" s="17"/>
      <c r="O17" s="18"/>
      <c r="P17" s="18"/>
      <c r="Q17" s="19"/>
      <c r="R17" s="19"/>
      <c r="S17" s="19"/>
      <c r="T17" s="20"/>
      <c r="U17" s="19"/>
      <c r="V17" s="19"/>
      <c r="W17" s="20"/>
      <c r="X17" s="12"/>
      <c r="Y17" s="12"/>
      <c r="Z17" s="12"/>
      <c r="AA17" s="12"/>
      <c r="AB17" s="12"/>
      <c r="AC17" s="12"/>
      <c r="AD17" s="12"/>
      <c r="AE17" s="12"/>
      <c r="AF17" s="12"/>
    </row>
    <row r="18" spans="1:32" ht="12.75" customHeight="1" x14ac:dyDescent="0.25">
      <c r="A18" s="35"/>
      <c r="B18" s="36"/>
      <c r="C18" s="36"/>
      <c r="D18" s="36"/>
      <c r="E18" s="36"/>
      <c r="F18" s="37"/>
      <c r="G18" s="12"/>
      <c r="H18" s="12"/>
      <c r="I18" s="38"/>
      <c r="J18" s="38"/>
      <c r="K18" s="39"/>
      <c r="L18" s="16"/>
      <c r="M18" s="16"/>
      <c r="N18" s="17"/>
      <c r="O18" s="18"/>
      <c r="P18" s="18"/>
      <c r="Q18" s="19"/>
      <c r="R18" s="19"/>
      <c r="S18" s="19"/>
      <c r="T18" s="20"/>
      <c r="U18" s="19"/>
      <c r="V18" s="19"/>
      <c r="W18" s="20"/>
      <c r="X18" s="12"/>
      <c r="Y18" s="12"/>
      <c r="Z18" s="12"/>
      <c r="AA18" s="12"/>
      <c r="AB18" s="12"/>
      <c r="AC18" s="12"/>
      <c r="AD18" s="12"/>
      <c r="AE18" s="12"/>
      <c r="AF18" s="12"/>
    </row>
    <row r="19" spans="1:32" ht="12.75" customHeight="1" x14ac:dyDescent="0.25">
      <c r="A19" s="10"/>
      <c r="B19" s="36"/>
      <c r="C19" s="36"/>
      <c r="D19" s="36"/>
      <c r="E19" s="36"/>
      <c r="F19" s="37"/>
      <c r="G19" s="12"/>
      <c r="H19" s="12"/>
      <c r="I19" s="38"/>
      <c r="J19" s="38"/>
      <c r="K19" s="39"/>
      <c r="L19" s="16"/>
      <c r="M19" s="16"/>
      <c r="N19" s="17"/>
      <c r="O19" s="18"/>
      <c r="P19" s="18"/>
      <c r="Q19" s="19"/>
      <c r="R19" s="19"/>
      <c r="S19" s="19"/>
      <c r="T19" s="20"/>
      <c r="U19" s="19"/>
      <c r="V19" s="19"/>
      <c r="W19" s="20"/>
      <c r="X19" s="12"/>
      <c r="Y19" s="12"/>
      <c r="Z19" s="12"/>
      <c r="AA19" s="12"/>
      <c r="AB19" s="12"/>
      <c r="AC19" s="12"/>
      <c r="AD19" s="12"/>
      <c r="AE19" s="12"/>
      <c r="AF19" s="12"/>
    </row>
    <row r="20" spans="1:32" ht="12.75" customHeight="1" x14ac:dyDescent="0.25">
      <c r="A20" s="35"/>
      <c r="B20" s="36"/>
      <c r="C20" s="36"/>
      <c r="D20" s="36"/>
      <c r="E20" s="36"/>
      <c r="F20" s="37"/>
      <c r="G20" s="12"/>
      <c r="H20" s="12"/>
      <c r="I20" s="38"/>
      <c r="J20" s="38"/>
      <c r="K20" s="39"/>
      <c r="L20" s="16"/>
      <c r="M20" s="16"/>
      <c r="N20" s="17"/>
      <c r="O20" s="18"/>
      <c r="P20" s="18"/>
      <c r="Q20" s="19"/>
      <c r="R20" s="19"/>
      <c r="S20" s="19"/>
      <c r="T20" s="20"/>
      <c r="U20" s="19"/>
      <c r="V20" s="19"/>
      <c r="W20" s="20"/>
      <c r="X20" s="12"/>
      <c r="Y20" s="12"/>
      <c r="Z20" s="12"/>
      <c r="AA20" s="12"/>
      <c r="AB20" s="12"/>
      <c r="AC20" s="12"/>
      <c r="AD20" s="12"/>
      <c r="AE20" s="12"/>
      <c r="AF20" s="12"/>
    </row>
    <row r="21" spans="1:32" ht="12.75" customHeight="1" x14ac:dyDescent="0.25">
      <c r="A21" s="10"/>
      <c r="B21" s="36"/>
      <c r="C21" s="36"/>
      <c r="D21" s="36"/>
      <c r="E21" s="36"/>
      <c r="F21" s="37"/>
      <c r="G21" s="12"/>
      <c r="H21" s="12"/>
      <c r="I21" s="38"/>
      <c r="J21" s="38"/>
      <c r="K21" s="39"/>
      <c r="L21" s="16"/>
      <c r="M21" s="16"/>
      <c r="N21" s="17"/>
      <c r="O21" s="18"/>
      <c r="P21" s="18"/>
      <c r="Q21" s="19"/>
      <c r="R21" s="19"/>
      <c r="S21" s="19"/>
      <c r="T21" s="20"/>
      <c r="U21" s="19"/>
      <c r="V21" s="19"/>
      <c r="W21" s="20"/>
      <c r="X21" s="12"/>
      <c r="Y21" s="12"/>
      <c r="Z21" s="12"/>
      <c r="AA21" s="12"/>
      <c r="AB21" s="12"/>
      <c r="AC21" s="12"/>
      <c r="AD21" s="12"/>
      <c r="AE21" s="12"/>
      <c r="AF21" s="12"/>
    </row>
    <row r="22" spans="1:32" ht="12.75" customHeight="1" x14ac:dyDescent="0.25">
      <c r="A22" s="36"/>
      <c r="B22" s="36"/>
      <c r="C22" s="36"/>
      <c r="D22" s="36"/>
      <c r="E22" s="36"/>
      <c r="F22" s="37"/>
      <c r="G22" s="12"/>
      <c r="H22" s="12"/>
      <c r="I22" s="38"/>
      <c r="J22" s="38"/>
      <c r="K22" s="39"/>
      <c r="L22" s="16"/>
      <c r="M22" s="16"/>
      <c r="N22" s="17"/>
      <c r="O22" s="18"/>
      <c r="P22" s="18"/>
      <c r="Q22" s="19"/>
      <c r="R22" s="19"/>
      <c r="S22" s="19"/>
      <c r="T22" s="20"/>
      <c r="U22" s="19"/>
      <c r="V22" s="19"/>
      <c r="W22" s="20"/>
      <c r="X22" s="12"/>
      <c r="Y22" s="12"/>
      <c r="Z22" s="12"/>
      <c r="AA22" s="12"/>
      <c r="AB22" s="12"/>
      <c r="AC22" s="12"/>
      <c r="AD22" s="12"/>
      <c r="AE22" s="12"/>
      <c r="AF22" s="12"/>
    </row>
    <row r="23" spans="1:32" ht="12.75" customHeight="1" x14ac:dyDescent="0.25">
      <c r="A23" s="36"/>
      <c r="B23" s="36"/>
      <c r="C23" s="36"/>
      <c r="D23" s="36"/>
      <c r="E23" s="36"/>
      <c r="F23" s="37"/>
      <c r="G23" s="12"/>
      <c r="H23" s="12"/>
      <c r="I23" s="38"/>
      <c r="J23" s="38"/>
      <c r="K23" s="39"/>
      <c r="L23" s="16"/>
      <c r="M23" s="16"/>
      <c r="N23" s="17"/>
      <c r="O23" s="18"/>
      <c r="P23" s="18"/>
      <c r="Q23" s="19"/>
      <c r="R23" s="19"/>
      <c r="S23" s="19"/>
      <c r="T23" s="20"/>
      <c r="U23" s="19"/>
      <c r="V23" s="19"/>
      <c r="W23" s="20"/>
      <c r="X23" s="12"/>
      <c r="Y23" s="12"/>
      <c r="Z23" s="12"/>
      <c r="AA23" s="12"/>
      <c r="AB23" s="12"/>
      <c r="AC23" s="12"/>
      <c r="AD23" s="12"/>
      <c r="AE23" s="12"/>
      <c r="AF23" s="12"/>
    </row>
    <row r="24" spans="1:32" ht="12.75" customHeight="1" x14ac:dyDescent="0.25">
      <c r="A24" s="36"/>
      <c r="B24" s="36"/>
      <c r="C24" s="36"/>
      <c r="D24" s="36"/>
      <c r="E24" s="36"/>
      <c r="F24" s="37"/>
      <c r="G24" s="12"/>
      <c r="H24" s="12"/>
      <c r="I24" s="38"/>
      <c r="J24" s="38"/>
      <c r="K24" s="39"/>
      <c r="L24" s="16"/>
      <c r="M24" s="16"/>
      <c r="N24" s="17"/>
      <c r="O24" s="18"/>
      <c r="P24" s="18"/>
      <c r="Q24" s="19"/>
      <c r="R24" s="19"/>
      <c r="S24" s="19"/>
      <c r="T24" s="20"/>
      <c r="U24" s="19"/>
      <c r="V24" s="19"/>
      <c r="W24" s="20"/>
      <c r="X24" s="12"/>
      <c r="Y24" s="12"/>
      <c r="Z24" s="12"/>
      <c r="AA24" s="12"/>
      <c r="AB24" s="12"/>
      <c r="AC24" s="12"/>
      <c r="AD24" s="12"/>
      <c r="AE24" s="12"/>
      <c r="AF24" s="12"/>
    </row>
    <row r="25" spans="1:32" ht="12.75" customHeight="1" x14ac:dyDescent="0.25">
      <c r="A25" s="36"/>
      <c r="B25" s="36"/>
      <c r="C25" s="36"/>
      <c r="D25" s="36"/>
      <c r="E25" s="36"/>
      <c r="F25" s="37"/>
      <c r="G25" s="12"/>
      <c r="H25" s="12"/>
      <c r="I25" s="38"/>
      <c r="J25" s="38"/>
      <c r="K25" s="39"/>
      <c r="L25" s="16"/>
      <c r="M25" s="16"/>
      <c r="N25" s="17"/>
      <c r="O25" s="18"/>
      <c r="P25" s="18"/>
      <c r="Q25" s="19"/>
      <c r="R25" s="19"/>
      <c r="S25" s="19"/>
      <c r="T25" s="20"/>
      <c r="U25" s="19"/>
      <c r="V25" s="19"/>
      <c r="W25" s="20"/>
      <c r="X25" s="12"/>
      <c r="Y25" s="12"/>
      <c r="Z25" s="12"/>
      <c r="AA25" s="12"/>
      <c r="AB25" s="12"/>
      <c r="AC25" s="12"/>
      <c r="AD25" s="12"/>
      <c r="AE25" s="12"/>
      <c r="AF25" s="12"/>
    </row>
    <row r="26" spans="1:32" ht="12.75" customHeight="1" x14ac:dyDescent="0.25">
      <c r="A26" s="36"/>
      <c r="B26" s="36"/>
      <c r="C26" s="36"/>
      <c r="D26" s="36"/>
      <c r="E26" s="36"/>
      <c r="F26" s="37"/>
      <c r="G26" s="12"/>
      <c r="H26" s="12"/>
      <c r="I26" s="38"/>
      <c r="J26" s="38"/>
      <c r="K26" s="39"/>
      <c r="L26" s="16"/>
      <c r="M26" s="16"/>
      <c r="N26" s="17"/>
      <c r="O26" s="18"/>
      <c r="P26" s="18"/>
      <c r="Q26" s="19"/>
      <c r="R26" s="19"/>
      <c r="S26" s="19"/>
      <c r="T26" s="20"/>
      <c r="U26" s="19"/>
      <c r="V26" s="19"/>
      <c r="W26" s="20"/>
      <c r="X26" s="12"/>
      <c r="Y26" s="12"/>
      <c r="Z26" s="12"/>
      <c r="AA26" s="12"/>
      <c r="AB26" s="12"/>
      <c r="AC26" s="12"/>
      <c r="AD26" s="12"/>
      <c r="AE26" s="12"/>
      <c r="AF26" s="12"/>
    </row>
    <row r="27" spans="1:32" ht="12.75" customHeight="1" x14ac:dyDescent="0.25">
      <c r="A27" s="36"/>
      <c r="B27" s="36"/>
      <c r="C27" s="36"/>
      <c r="D27" s="36"/>
      <c r="E27" s="36"/>
      <c r="F27" s="37"/>
      <c r="G27" s="12"/>
      <c r="H27" s="12"/>
      <c r="I27" s="38"/>
      <c r="J27" s="38"/>
      <c r="K27" s="39"/>
      <c r="L27" s="16"/>
      <c r="M27" s="16"/>
      <c r="N27" s="17"/>
      <c r="O27" s="18"/>
      <c r="P27" s="18"/>
      <c r="Q27" s="19"/>
      <c r="R27" s="19"/>
      <c r="S27" s="19"/>
      <c r="T27" s="20"/>
      <c r="U27" s="19"/>
      <c r="V27" s="19"/>
      <c r="W27" s="20"/>
      <c r="X27" s="12"/>
      <c r="Y27" s="12"/>
      <c r="Z27" s="12"/>
      <c r="AA27" s="12"/>
      <c r="AB27" s="12"/>
      <c r="AC27" s="12"/>
      <c r="AD27" s="12"/>
      <c r="AE27" s="12"/>
      <c r="AF27" s="12"/>
    </row>
    <row r="28" spans="1:32" ht="12.75" customHeight="1" x14ac:dyDescent="0.25">
      <c r="A28" s="36"/>
      <c r="B28" s="36"/>
      <c r="C28" s="36"/>
      <c r="D28" s="36"/>
      <c r="E28" s="36"/>
      <c r="F28" s="37"/>
      <c r="G28" s="12"/>
      <c r="H28" s="12"/>
      <c r="I28" s="38"/>
      <c r="J28" s="38"/>
      <c r="K28" s="39"/>
      <c r="L28" s="16"/>
      <c r="M28" s="16"/>
      <c r="N28" s="17"/>
      <c r="O28" s="18"/>
      <c r="P28" s="18"/>
      <c r="Q28" s="19"/>
      <c r="R28" s="19"/>
      <c r="S28" s="19"/>
      <c r="T28" s="20"/>
      <c r="U28" s="19"/>
      <c r="V28" s="19"/>
      <c r="W28" s="20"/>
      <c r="X28" s="12"/>
      <c r="Y28" s="12"/>
      <c r="Z28" s="12"/>
      <c r="AA28" s="12"/>
      <c r="AB28" s="12"/>
      <c r="AC28" s="12"/>
      <c r="AD28" s="12"/>
      <c r="AE28" s="12"/>
      <c r="AF28" s="12"/>
    </row>
    <row r="29" spans="1:32" ht="12.75" customHeight="1" x14ac:dyDescent="0.25">
      <c r="A29" s="36"/>
      <c r="B29" s="36"/>
      <c r="C29" s="36"/>
      <c r="D29" s="36"/>
      <c r="E29" s="36"/>
      <c r="F29" s="37"/>
      <c r="G29" s="12"/>
      <c r="H29" s="12"/>
      <c r="I29" s="38"/>
      <c r="J29" s="38"/>
      <c r="K29" s="39"/>
      <c r="L29" s="16"/>
      <c r="M29" s="16"/>
      <c r="N29" s="17"/>
      <c r="O29" s="18"/>
      <c r="P29" s="18"/>
      <c r="Q29" s="19"/>
      <c r="R29" s="19"/>
      <c r="S29" s="19"/>
      <c r="T29" s="20"/>
      <c r="U29" s="19"/>
      <c r="V29" s="19"/>
      <c r="W29" s="20"/>
      <c r="X29" s="12"/>
      <c r="Y29" s="12"/>
      <c r="Z29" s="12"/>
      <c r="AA29" s="12"/>
      <c r="AB29" s="12"/>
      <c r="AC29" s="12"/>
      <c r="AD29" s="12"/>
      <c r="AE29" s="12"/>
      <c r="AF29" s="12"/>
    </row>
    <row r="30" spans="1:32" ht="12.75" customHeight="1" x14ac:dyDescent="0.25">
      <c r="A30" s="36"/>
      <c r="B30" s="36"/>
      <c r="C30" s="36"/>
      <c r="D30" s="36"/>
      <c r="E30" s="36"/>
      <c r="F30" s="37"/>
      <c r="G30" s="12"/>
      <c r="H30" s="12"/>
      <c r="I30" s="38"/>
      <c r="J30" s="38"/>
      <c r="K30" s="39"/>
      <c r="L30" s="16"/>
      <c r="M30" s="16"/>
      <c r="N30" s="17"/>
      <c r="O30" s="18"/>
      <c r="P30" s="18"/>
      <c r="Q30" s="19"/>
      <c r="R30" s="19"/>
      <c r="S30" s="19"/>
      <c r="T30" s="20"/>
      <c r="U30" s="19"/>
      <c r="V30" s="19"/>
      <c r="W30" s="20"/>
      <c r="X30" s="12"/>
      <c r="Y30" s="12"/>
      <c r="Z30" s="12"/>
      <c r="AA30" s="12"/>
      <c r="AB30" s="12"/>
      <c r="AC30" s="12"/>
      <c r="AD30" s="12"/>
      <c r="AE30" s="12"/>
      <c r="AF30" s="12"/>
    </row>
    <row r="31" spans="1:32" ht="12.75" customHeight="1" x14ac:dyDescent="0.25">
      <c r="A31" s="36"/>
      <c r="B31" s="36"/>
      <c r="C31" s="36"/>
      <c r="D31" s="36"/>
      <c r="E31" s="36"/>
      <c r="F31" s="37"/>
      <c r="G31" s="12"/>
      <c r="H31" s="12"/>
      <c r="I31" s="38"/>
      <c r="J31" s="38"/>
      <c r="K31" s="39"/>
      <c r="L31" s="16"/>
      <c r="M31" s="16"/>
      <c r="N31" s="17"/>
      <c r="O31" s="18"/>
      <c r="P31" s="18"/>
      <c r="Q31" s="19"/>
      <c r="R31" s="19"/>
      <c r="S31" s="19"/>
      <c r="T31" s="20"/>
      <c r="U31" s="19"/>
      <c r="V31" s="19"/>
      <c r="W31" s="20"/>
      <c r="X31" s="12"/>
      <c r="Y31" s="12"/>
      <c r="Z31" s="12"/>
      <c r="AA31" s="12"/>
      <c r="AB31" s="12"/>
      <c r="AC31" s="12"/>
      <c r="AD31" s="12"/>
      <c r="AE31" s="12"/>
      <c r="AF31" s="12"/>
    </row>
    <row r="32" spans="1:32" ht="12.75" customHeight="1" x14ac:dyDescent="0.25">
      <c r="A32" s="36"/>
      <c r="B32" s="36"/>
      <c r="C32" s="36"/>
      <c r="D32" s="36"/>
      <c r="E32" s="36"/>
      <c r="F32" s="37"/>
      <c r="G32" s="12"/>
      <c r="H32" s="12"/>
      <c r="I32" s="38"/>
      <c r="J32" s="38"/>
      <c r="K32" s="39"/>
      <c r="L32" s="16"/>
      <c r="M32" s="16"/>
      <c r="N32" s="17"/>
      <c r="O32" s="18"/>
      <c r="P32" s="18"/>
      <c r="Q32" s="19"/>
      <c r="R32" s="19"/>
      <c r="S32" s="19"/>
      <c r="T32" s="20"/>
      <c r="U32" s="19"/>
      <c r="V32" s="19"/>
      <c r="W32" s="20"/>
      <c r="X32" s="12"/>
      <c r="Y32" s="12"/>
      <c r="Z32" s="12"/>
      <c r="AA32" s="12"/>
      <c r="AB32" s="12"/>
      <c r="AC32" s="12"/>
      <c r="AD32" s="12"/>
      <c r="AE32" s="12"/>
      <c r="AF32" s="12"/>
    </row>
    <row r="33" spans="1:32" ht="12.75" customHeight="1" x14ac:dyDescent="0.25">
      <c r="A33" s="36"/>
      <c r="B33" s="36"/>
      <c r="C33" s="36"/>
      <c r="D33" s="36"/>
      <c r="E33" s="36"/>
      <c r="F33" s="37"/>
      <c r="G33" s="12"/>
      <c r="H33" s="12"/>
      <c r="I33" s="38"/>
      <c r="J33" s="38"/>
      <c r="K33" s="39"/>
      <c r="L33" s="16"/>
      <c r="M33" s="16"/>
      <c r="N33" s="17"/>
      <c r="O33" s="18"/>
      <c r="P33" s="18"/>
      <c r="Q33" s="19"/>
      <c r="R33" s="19"/>
      <c r="S33" s="19"/>
      <c r="T33" s="20"/>
      <c r="U33" s="19"/>
      <c r="V33" s="19"/>
      <c r="W33" s="20"/>
      <c r="X33" s="12"/>
      <c r="Y33" s="12"/>
      <c r="Z33" s="12"/>
      <c r="AA33" s="12"/>
      <c r="AB33" s="12"/>
      <c r="AC33" s="12"/>
      <c r="AD33" s="12"/>
      <c r="AE33" s="12"/>
      <c r="AF33" s="12"/>
    </row>
    <row r="34" spans="1:32" ht="12.75" customHeight="1" x14ac:dyDescent="0.25">
      <c r="A34" s="36"/>
      <c r="B34" s="36"/>
      <c r="C34" s="36"/>
      <c r="D34" s="36"/>
      <c r="E34" s="36"/>
      <c r="F34" s="37"/>
      <c r="G34" s="12"/>
      <c r="H34" s="12"/>
      <c r="I34" s="38"/>
      <c r="J34" s="38"/>
      <c r="K34" s="39"/>
      <c r="L34" s="16"/>
      <c r="M34" s="16"/>
      <c r="N34" s="17"/>
      <c r="O34" s="18"/>
      <c r="P34" s="18"/>
      <c r="Q34" s="19"/>
      <c r="R34" s="19"/>
      <c r="S34" s="19"/>
      <c r="T34" s="20"/>
      <c r="U34" s="19"/>
      <c r="V34" s="19"/>
      <c r="W34" s="20"/>
      <c r="X34" s="12"/>
      <c r="Y34" s="12"/>
      <c r="Z34" s="12"/>
      <c r="AA34" s="12"/>
      <c r="AB34" s="12"/>
      <c r="AC34" s="12"/>
      <c r="AD34" s="12"/>
      <c r="AE34" s="12"/>
      <c r="AF34" s="12"/>
    </row>
    <row r="35" spans="1:32" ht="12.75" customHeight="1" x14ac:dyDescent="0.25">
      <c r="A35" s="36"/>
      <c r="B35" s="36"/>
      <c r="C35" s="36"/>
      <c r="D35" s="36"/>
      <c r="E35" s="36"/>
      <c r="F35" s="37"/>
      <c r="G35" s="12"/>
      <c r="H35" s="12"/>
      <c r="I35" s="38"/>
      <c r="J35" s="38"/>
      <c r="K35" s="39"/>
      <c r="L35" s="16"/>
      <c r="M35" s="16"/>
      <c r="N35" s="17"/>
      <c r="O35" s="18"/>
      <c r="P35" s="18"/>
      <c r="Q35" s="19"/>
      <c r="R35" s="19"/>
      <c r="S35" s="19"/>
      <c r="T35" s="20"/>
      <c r="U35" s="19"/>
      <c r="V35" s="19"/>
      <c r="W35" s="20"/>
      <c r="X35" s="12"/>
      <c r="Y35" s="12"/>
      <c r="Z35" s="12"/>
      <c r="AA35" s="12"/>
      <c r="AB35" s="12"/>
      <c r="AC35" s="12"/>
      <c r="AD35" s="12"/>
      <c r="AE35" s="12"/>
      <c r="AF35" s="12"/>
    </row>
    <row r="36" spans="1:32" ht="12.75" customHeight="1" x14ac:dyDescent="0.25">
      <c r="A36" s="36"/>
      <c r="B36" s="36"/>
      <c r="C36" s="36"/>
      <c r="D36" s="36"/>
      <c r="E36" s="36"/>
      <c r="F36" s="37"/>
      <c r="G36" s="12"/>
      <c r="H36" s="12"/>
      <c r="I36" s="38"/>
      <c r="J36" s="38"/>
      <c r="K36" s="39"/>
      <c r="L36" s="16"/>
      <c r="M36" s="16"/>
      <c r="N36" s="17"/>
      <c r="O36" s="18"/>
      <c r="P36" s="18"/>
      <c r="Q36" s="19"/>
      <c r="R36" s="19"/>
      <c r="S36" s="19"/>
      <c r="T36" s="20"/>
      <c r="U36" s="19"/>
      <c r="V36" s="19"/>
      <c r="W36" s="20"/>
      <c r="X36" s="12"/>
      <c r="Y36" s="12"/>
      <c r="Z36" s="12"/>
      <c r="AA36" s="12"/>
      <c r="AB36" s="12"/>
      <c r="AC36" s="12"/>
      <c r="AD36" s="12"/>
      <c r="AE36" s="12"/>
      <c r="AF36" s="12"/>
    </row>
    <row r="37" spans="1:32" ht="12.75" customHeight="1" x14ac:dyDescent="0.25">
      <c r="A37" s="36"/>
      <c r="B37" s="36"/>
      <c r="C37" s="36"/>
      <c r="D37" s="36"/>
      <c r="E37" s="36"/>
      <c r="F37" s="37"/>
      <c r="G37" s="12"/>
      <c r="H37" s="12"/>
      <c r="I37" s="38"/>
      <c r="J37" s="38"/>
      <c r="K37" s="39"/>
      <c r="L37" s="16"/>
      <c r="M37" s="16"/>
      <c r="N37" s="17"/>
      <c r="O37" s="18"/>
      <c r="P37" s="18"/>
      <c r="Q37" s="19"/>
      <c r="R37" s="19"/>
      <c r="S37" s="19"/>
      <c r="T37" s="20"/>
      <c r="U37" s="19"/>
      <c r="V37" s="19"/>
      <c r="W37" s="20"/>
      <c r="X37" s="12"/>
      <c r="Y37" s="12"/>
      <c r="Z37" s="12"/>
      <c r="AA37" s="12"/>
      <c r="AB37" s="12"/>
      <c r="AC37" s="12"/>
      <c r="AD37" s="12"/>
      <c r="AE37" s="12"/>
      <c r="AF37" s="12"/>
    </row>
    <row r="38" spans="1:32" ht="12.75" customHeight="1" x14ac:dyDescent="0.25">
      <c r="A38" s="36"/>
      <c r="B38" s="36"/>
      <c r="C38" s="36"/>
      <c r="D38" s="36"/>
      <c r="E38" s="36"/>
      <c r="F38" s="37"/>
      <c r="G38" s="12"/>
      <c r="H38" s="12"/>
      <c r="I38" s="38"/>
      <c r="J38" s="38"/>
      <c r="K38" s="39"/>
      <c r="L38" s="16"/>
      <c r="M38" s="16"/>
      <c r="N38" s="17"/>
      <c r="O38" s="18"/>
      <c r="P38" s="18"/>
      <c r="Q38" s="19"/>
      <c r="R38" s="19"/>
      <c r="S38" s="19"/>
      <c r="T38" s="20"/>
      <c r="U38" s="19"/>
      <c r="V38" s="19"/>
      <c r="W38" s="20"/>
      <c r="X38" s="12"/>
      <c r="Y38" s="12"/>
      <c r="Z38" s="12"/>
      <c r="AA38" s="12"/>
      <c r="AB38" s="12"/>
      <c r="AC38" s="12"/>
      <c r="AD38" s="12"/>
      <c r="AE38" s="12"/>
      <c r="AF38" s="12"/>
    </row>
    <row r="39" spans="1:32" ht="12.75" customHeight="1" x14ac:dyDescent="0.25">
      <c r="A39" s="36"/>
      <c r="B39" s="36"/>
      <c r="C39" s="36"/>
      <c r="D39" s="36"/>
      <c r="E39" s="36"/>
      <c r="F39" s="37"/>
      <c r="G39" s="12"/>
      <c r="H39" s="12"/>
      <c r="I39" s="38"/>
      <c r="J39" s="38"/>
      <c r="K39" s="39"/>
      <c r="L39" s="16"/>
      <c r="M39" s="16"/>
      <c r="N39" s="17"/>
      <c r="O39" s="18"/>
      <c r="P39" s="18"/>
      <c r="Q39" s="19"/>
      <c r="R39" s="19"/>
      <c r="S39" s="19"/>
      <c r="T39" s="20"/>
      <c r="U39" s="19"/>
      <c r="V39" s="19"/>
      <c r="W39" s="20"/>
      <c r="X39" s="12"/>
      <c r="Y39" s="12"/>
      <c r="Z39" s="12"/>
      <c r="AA39" s="12"/>
      <c r="AB39" s="12"/>
      <c r="AC39" s="12"/>
      <c r="AD39" s="12"/>
      <c r="AE39" s="12"/>
      <c r="AF39" s="12"/>
    </row>
    <row r="40" spans="1:32" ht="12.75" customHeight="1" x14ac:dyDescent="0.25">
      <c r="A40" s="36"/>
      <c r="B40" s="36"/>
      <c r="C40" s="36"/>
      <c r="D40" s="36"/>
      <c r="E40" s="36"/>
      <c r="F40" s="37"/>
      <c r="G40" s="12"/>
      <c r="H40" s="12"/>
      <c r="I40" s="38"/>
      <c r="J40" s="38"/>
      <c r="K40" s="39"/>
      <c r="L40" s="16"/>
      <c r="M40" s="16"/>
      <c r="N40" s="17"/>
      <c r="O40" s="18"/>
      <c r="P40" s="18"/>
      <c r="Q40" s="19"/>
      <c r="R40" s="19"/>
      <c r="S40" s="19"/>
      <c r="T40" s="20"/>
      <c r="U40" s="19"/>
      <c r="V40" s="19"/>
      <c r="W40" s="20"/>
      <c r="X40" s="12"/>
      <c r="Y40" s="12"/>
      <c r="Z40" s="12"/>
      <c r="AA40" s="12"/>
      <c r="AB40" s="12"/>
      <c r="AC40" s="12"/>
      <c r="AD40" s="12"/>
      <c r="AE40" s="12"/>
      <c r="AF40" s="12"/>
    </row>
    <row r="41" spans="1:32" ht="12.75" customHeight="1" x14ac:dyDescent="0.25">
      <c r="A41" s="36"/>
      <c r="B41" s="36"/>
      <c r="C41" s="36"/>
      <c r="D41" s="36"/>
      <c r="E41" s="36"/>
      <c r="F41" s="37"/>
      <c r="G41" s="12"/>
      <c r="H41" s="12"/>
      <c r="I41" s="38"/>
      <c r="J41" s="38"/>
      <c r="K41" s="39"/>
      <c r="L41" s="16"/>
      <c r="M41" s="16"/>
      <c r="N41" s="17"/>
      <c r="O41" s="18"/>
      <c r="P41" s="18"/>
      <c r="Q41" s="19"/>
      <c r="R41" s="19"/>
      <c r="S41" s="19"/>
      <c r="T41" s="20"/>
      <c r="U41" s="19"/>
      <c r="V41" s="19"/>
      <c r="W41" s="20"/>
      <c r="X41" s="12"/>
      <c r="Y41" s="12"/>
      <c r="Z41" s="12"/>
      <c r="AA41" s="12"/>
      <c r="AB41" s="12"/>
      <c r="AC41" s="12"/>
      <c r="AD41" s="12"/>
      <c r="AE41" s="12"/>
      <c r="AF41" s="12"/>
    </row>
    <row r="42" spans="1:32" ht="12.75" customHeight="1" x14ac:dyDescent="0.25">
      <c r="A42" s="36"/>
      <c r="B42" s="36"/>
      <c r="C42" s="36"/>
      <c r="D42" s="36"/>
      <c r="E42" s="36"/>
      <c r="F42" s="37"/>
      <c r="G42" s="12"/>
      <c r="H42" s="12"/>
      <c r="I42" s="38"/>
      <c r="J42" s="38"/>
      <c r="K42" s="39"/>
      <c r="L42" s="16"/>
      <c r="M42" s="16"/>
      <c r="N42" s="17"/>
      <c r="O42" s="18"/>
      <c r="P42" s="18"/>
      <c r="Q42" s="19"/>
      <c r="R42" s="19"/>
      <c r="S42" s="19"/>
      <c r="T42" s="20"/>
      <c r="U42" s="19"/>
      <c r="V42" s="19"/>
      <c r="W42" s="20"/>
      <c r="X42" s="12"/>
      <c r="Y42" s="12"/>
      <c r="Z42" s="12"/>
      <c r="AA42" s="12"/>
      <c r="AB42" s="12"/>
      <c r="AC42" s="12"/>
      <c r="AD42" s="12"/>
      <c r="AE42" s="12"/>
      <c r="AF42" s="12"/>
    </row>
    <row r="43" spans="1:32" ht="12.75" customHeight="1" x14ac:dyDescent="0.25">
      <c r="A43" s="36"/>
      <c r="B43" s="36"/>
      <c r="C43" s="36"/>
      <c r="D43" s="36"/>
      <c r="E43" s="36"/>
      <c r="F43" s="37"/>
      <c r="G43" s="12"/>
      <c r="H43" s="12"/>
      <c r="I43" s="38"/>
      <c r="J43" s="38"/>
      <c r="K43" s="39"/>
      <c r="L43" s="16"/>
      <c r="M43" s="16"/>
      <c r="N43" s="17"/>
      <c r="O43" s="18"/>
      <c r="P43" s="18"/>
      <c r="Q43" s="19"/>
      <c r="R43" s="19"/>
      <c r="S43" s="19"/>
      <c r="T43" s="20"/>
      <c r="U43" s="19"/>
      <c r="V43" s="19"/>
      <c r="W43" s="20"/>
      <c r="X43" s="12"/>
      <c r="Y43" s="12"/>
      <c r="Z43" s="12"/>
      <c r="AA43" s="12"/>
      <c r="AB43" s="12"/>
      <c r="AC43" s="12"/>
      <c r="AD43" s="12"/>
      <c r="AE43" s="12"/>
      <c r="AF43" s="12"/>
    </row>
    <row r="44" spans="1:32" ht="12.75" customHeight="1" x14ac:dyDescent="0.25">
      <c r="A44" s="36"/>
      <c r="B44" s="36"/>
      <c r="C44" s="36"/>
      <c r="D44" s="36"/>
      <c r="E44" s="36"/>
      <c r="F44" s="37"/>
      <c r="G44" s="12"/>
      <c r="H44" s="12"/>
      <c r="I44" s="38"/>
      <c r="J44" s="38"/>
      <c r="K44" s="39"/>
      <c r="L44" s="16"/>
      <c r="M44" s="16"/>
      <c r="N44" s="17"/>
      <c r="O44" s="18"/>
      <c r="P44" s="18"/>
      <c r="Q44" s="19"/>
      <c r="R44" s="19"/>
      <c r="S44" s="19"/>
      <c r="T44" s="20"/>
      <c r="U44" s="19"/>
      <c r="V44" s="19"/>
      <c r="W44" s="20"/>
      <c r="X44" s="12"/>
      <c r="Y44" s="12"/>
      <c r="Z44" s="12"/>
      <c r="AA44" s="12"/>
      <c r="AB44" s="12"/>
      <c r="AC44" s="12"/>
      <c r="AD44" s="12"/>
      <c r="AE44" s="12"/>
      <c r="AF44" s="12"/>
    </row>
    <row r="45" spans="1:32" ht="12.75" customHeight="1" x14ac:dyDescent="0.25">
      <c r="A45" s="36"/>
      <c r="B45" s="36"/>
      <c r="C45" s="36"/>
      <c r="D45" s="36"/>
      <c r="E45" s="36"/>
      <c r="F45" s="37"/>
      <c r="G45" s="12"/>
      <c r="H45" s="12"/>
      <c r="I45" s="38"/>
      <c r="J45" s="38"/>
      <c r="K45" s="39"/>
      <c r="L45" s="16"/>
      <c r="M45" s="16"/>
      <c r="N45" s="17"/>
      <c r="O45" s="18"/>
      <c r="P45" s="18"/>
      <c r="Q45" s="19"/>
      <c r="R45" s="19"/>
      <c r="S45" s="19"/>
      <c r="T45" s="20"/>
      <c r="U45" s="19"/>
      <c r="V45" s="19"/>
      <c r="W45" s="20"/>
      <c r="X45" s="12"/>
      <c r="Y45" s="12"/>
      <c r="Z45" s="12"/>
      <c r="AA45" s="12"/>
      <c r="AB45" s="12"/>
      <c r="AC45" s="12"/>
      <c r="AD45" s="12"/>
      <c r="AE45" s="12"/>
      <c r="AF45" s="12"/>
    </row>
    <row r="46" spans="1:32" ht="12.75" customHeight="1" x14ac:dyDescent="0.25">
      <c r="A46" s="36"/>
      <c r="B46" s="36"/>
      <c r="C46" s="36"/>
      <c r="D46" s="36"/>
      <c r="E46" s="36"/>
      <c r="F46" s="37"/>
      <c r="G46" s="12"/>
      <c r="H46" s="12"/>
      <c r="I46" s="38"/>
      <c r="J46" s="38"/>
      <c r="K46" s="39"/>
      <c r="L46" s="16"/>
      <c r="M46" s="16"/>
      <c r="N46" s="17"/>
      <c r="O46" s="18"/>
      <c r="P46" s="18"/>
      <c r="Q46" s="19"/>
      <c r="R46" s="19"/>
      <c r="S46" s="19"/>
      <c r="T46" s="20"/>
      <c r="U46" s="19"/>
      <c r="V46" s="19"/>
      <c r="W46" s="20"/>
      <c r="X46" s="12"/>
      <c r="Y46" s="12"/>
      <c r="Z46" s="12"/>
      <c r="AA46" s="12"/>
      <c r="AB46" s="12"/>
      <c r="AC46" s="12"/>
      <c r="AD46" s="12"/>
      <c r="AE46" s="12"/>
      <c r="AF46" s="12"/>
    </row>
    <row r="47" spans="1:32" ht="12.75" customHeight="1" x14ac:dyDescent="0.25">
      <c r="A47" s="36"/>
      <c r="B47" s="36"/>
      <c r="C47" s="36"/>
      <c r="D47" s="36"/>
      <c r="E47" s="36"/>
      <c r="F47" s="37"/>
      <c r="G47" s="12"/>
      <c r="H47" s="12"/>
      <c r="I47" s="38"/>
      <c r="J47" s="38"/>
      <c r="K47" s="39"/>
      <c r="L47" s="16"/>
      <c r="M47" s="16"/>
      <c r="N47" s="17"/>
      <c r="O47" s="18"/>
      <c r="P47" s="18"/>
      <c r="Q47" s="19"/>
      <c r="R47" s="19"/>
      <c r="S47" s="19"/>
      <c r="T47" s="20"/>
      <c r="U47" s="19"/>
      <c r="V47" s="19"/>
      <c r="W47" s="20"/>
      <c r="X47" s="12"/>
      <c r="Y47" s="12"/>
      <c r="Z47" s="12"/>
      <c r="AA47" s="12"/>
      <c r="AB47" s="12"/>
      <c r="AC47" s="12"/>
      <c r="AD47" s="12"/>
      <c r="AE47" s="12"/>
      <c r="AF47" s="12"/>
    </row>
    <row r="48" spans="1:32" ht="12.75" customHeight="1" x14ac:dyDescent="0.25">
      <c r="A48" s="36"/>
      <c r="B48" s="36"/>
      <c r="C48" s="36"/>
      <c r="D48" s="36"/>
      <c r="E48" s="36"/>
      <c r="F48" s="37"/>
      <c r="G48" s="12"/>
      <c r="H48" s="12"/>
      <c r="I48" s="38"/>
      <c r="J48" s="38"/>
      <c r="K48" s="39"/>
      <c r="L48" s="16"/>
      <c r="M48" s="16"/>
      <c r="N48" s="17"/>
      <c r="O48" s="18"/>
      <c r="P48" s="18"/>
      <c r="Q48" s="19"/>
      <c r="R48" s="19"/>
      <c r="S48" s="19"/>
      <c r="T48" s="20"/>
      <c r="U48" s="19"/>
      <c r="V48" s="19"/>
      <c r="W48" s="20"/>
      <c r="X48" s="12"/>
      <c r="Y48" s="12"/>
      <c r="Z48" s="12"/>
      <c r="AA48" s="12"/>
      <c r="AB48" s="12"/>
      <c r="AC48" s="12"/>
      <c r="AD48" s="12"/>
      <c r="AE48" s="12"/>
      <c r="AF48" s="12"/>
    </row>
    <row r="49" spans="1:32" ht="12.75" customHeight="1" x14ac:dyDescent="0.25">
      <c r="A49" s="36"/>
      <c r="B49" s="36"/>
      <c r="C49" s="36"/>
      <c r="D49" s="36"/>
      <c r="E49" s="36"/>
      <c r="F49" s="37"/>
      <c r="G49" s="12"/>
      <c r="H49" s="12"/>
      <c r="I49" s="38"/>
      <c r="J49" s="38"/>
      <c r="K49" s="39"/>
      <c r="L49" s="16"/>
      <c r="M49" s="16"/>
      <c r="N49" s="17"/>
      <c r="O49" s="18"/>
      <c r="P49" s="18"/>
      <c r="Q49" s="19"/>
      <c r="R49" s="19"/>
      <c r="S49" s="19"/>
      <c r="T49" s="20"/>
      <c r="U49" s="19"/>
      <c r="V49" s="19"/>
      <c r="W49" s="20"/>
      <c r="X49" s="12"/>
      <c r="Y49" s="12"/>
      <c r="Z49" s="12"/>
      <c r="AA49" s="12"/>
      <c r="AB49" s="12"/>
      <c r="AC49" s="12"/>
      <c r="AD49" s="12"/>
      <c r="AE49" s="12"/>
      <c r="AF49" s="12"/>
    </row>
    <row r="50" spans="1:32" ht="12.75" customHeight="1" x14ac:dyDescent="0.25">
      <c r="A50" s="36"/>
      <c r="B50" s="36"/>
      <c r="C50" s="36"/>
      <c r="D50" s="36"/>
      <c r="E50" s="36"/>
      <c r="F50" s="37"/>
      <c r="G50" s="12"/>
      <c r="H50" s="12"/>
      <c r="I50" s="38"/>
      <c r="J50" s="38"/>
      <c r="K50" s="39"/>
      <c r="L50" s="16"/>
      <c r="M50" s="16"/>
      <c r="N50" s="17"/>
      <c r="O50" s="18"/>
      <c r="P50" s="18"/>
      <c r="Q50" s="19"/>
      <c r="R50" s="19"/>
      <c r="S50" s="19"/>
      <c r="T50" s="20"/>
      <c r="U50" s="19"/>
      <c r="V50" s="19"/>
      <c r="W50" s="20"/>
      <c r="X50" s="12"/>
      <c r="Y50" s="12"/>
      <c r="Z50" s="12"/>
      <c r="AA50" s="12"/>
      <c r="AB50" s="12"/>
      <c r="AC50" s="12"/>
      <c r="AD50" s="12"/>
      <c r="AE50" s="12"/>
      <c r="AF50" s="12"/>
    </row>
    <row r="51" spans="1:32" ht="12.75" customHeight="1" x14ac:dyDescent="0.25">
      <c r="A51" s="36"/>
      <c r="B51" s="36"/>
      <c r="C51" s="36"/>
      <c r="D51" s="36"/>
      <c r="E51" s="36"/>
      <c r="F51" s="37"/>
      <c r="G51" s="12"/>
      <c r="H51" s="12"/>
      <c r="I51" s="38"/>
      <c r="J51" s="38"/>
      <c r="K51" s="39"/>
      <c r="L51" s="16"/>
      <c r="M51" s="16"/>
      <c r="N51" s="17"/>
      <c r="O51" s="18"/>
      <c r="P51" s="18"/>
      <c r="Q51" s="19"/>
      <c r="R51" s="19"/>
      <c r="S51" s="19"/>
      <c r="T51" s="20"/>
      <c r="U51" s="19"/>
      <c r="V51" s="19"/>
      <c r="W51" s="20"/>
      <c r="X51" s="12"/>
      <c r="Y51" s="12"/>
      <c r="Z51" s="12"/>
      <c r="AA51" s="12"/>
      <c r="AB51" s="12"/>
      <c r="AC51" s="12"/>
      <c r="AD51" s="12"/>
      <c r="AE51" s="12"/>
      <c r="AF51" s="12"/>
    </row>
    <row r="52" spans="1:32" ht="12.75" customHeight="1" x14ac:dyDescent="0.25">
      <c r="A52" s="36"/>
      <c r="B52" s="36"/>
      <c r="C52" s="36"/>
      <c r="D52" s="36"/>
      <c r="E52" s="36"/>
      <c r="F52" s="37"/>
      <c r="G52" s="12"/>
      <c r="H52" s="12"/>
      <c r="I52" s="38"/>
      <c r="J52" s="38"/>
      <c r="K52" s="39"/>
      <c r="L52" s="16"/>
      <c r="M52" s="16"/>
      <c r="N52" s="17"/>
      <c r="O52" s="18"/>
      <c r="P52" s="18"/>
      <c r="Q52" s="19"/>
      <c r="R52" s="19"/>
      <c r="S52" s="19"/>
      <c r="T52" s="20"/>
      <c r="U52" s="19"/>
      <c r="V52" s="19"/>
      <c r="W52" s="20"/>
      <c r="X52" s="12"/>
      <c r="Y52" s="12"/>
      <c r="Z52" s="12"/>
      <c r="AA52" s="12"/>
      <c r="AB52" s="12"/>
      <c r="AC52" s="12"/>
      <c r="AD52" s="12"/>
      <c r="AE52" s="12"/>
      <c r="AF52" s="12"/>
    </row>
    <row r="53" spans="1:32" ht="12.75" customHeight="1" x14ac:dyDescent="0.25">
      <c r="A53" s="36"/>
      <c r="B53" s="36"/>
      <c r="C53" s="36"/>
      <c r="D53" s="36"/>
      <c r="E53" s="36"/>
      <c r="F53" s="37"/>
      <c r="G53" s="12"/>
      <c r="H53" s="12"/>
      <c r="I53" s="38"/>
      <c r="J53" s="38"/>
      <c r="K53" s="39"/>
      <c r="L53" s="16"/>
      <c r="M53" s="16"/>
      <c r="N53" s="17"/>
      <c r="O53" s="18"/>
      <c r="P53" s="18"/>
      <c r="Q53" s="19"/>
      <c r="R53" s="19"/>
      <c r="S53" s="19"/>
      <c r="T53" s="20"/>
      <c r="U53" s="19"/>
      <c r="V53" s="19"/>
      <c r="W53" s="20"/>
      <c r="X53" s="12"/>
      <c r="Y53" s="12"/>
      <c r="Z53" s="12"/>
      <c r="AA53" s="12"/>
      <c r="AB53" s="12"/>
      <c r="AC53" s="12"/>
      <c r="AD53" s="12"/>
      <c r="AE53" s="12"/>
      <c r="AF53" s="12"/>
    </row>
    <row r="54" spans="1:32" ht="12.75" customHeight="1" x14ac:dyDescent="0.25">
      <c r="A54" s="36"/>
      <c r="B54" s="36"/>
      <c r="C54" s="36"/>
      <c r="D54" s="36"/>
      <c r="E54" s="36"/>
      <c r="F54" s="37"/>
      <c r="G54" s="12"/>
      <c r="H54" s="12"/>
      <c r="I54" s="38"/>
      <c r="J54" s="38"/>
      <c r="K54" s="39"/>
      <c r="L54" s="16"/>
      <c r="M54" s="16"/>
      <c r="N54" s="17"/>
      <c r="O54" s="18"/>
      <c r="P54" s="18"/>
      <c r="Q54" s="19"/>
      <c r="R54" s="19"/>
      <c r="S54" s="19"/>
      <c r="T54" s="20"/>
      <c r="U54" s="19"/>
      <c r="V54" s="19"/>
      <c r="W54" s="20"/>
      <c r="X54" s="12"/>
      <c r="Y54" s="12"/>
      <c r="Z54" s="12"/>
      <c r="AA54" s="12"/>
      <c r="AB54" s="12"/>
      <c r="AC54" s="12"/>
      <c r="AD54" s="12"/>
      <c r="AE54" s="12"/>
      <c r="AF54" s="12"/>
    </row>
    <row r="55" spans="1:32" ht="12.75" customHeight="1" x14ac:dyDescent="0.25">
      <c r="A55" s="36"/>
      <c r="B55" s="36"/>
      <c r="C55" s="36"/>
      <c r="D55" s="36"/>
      <c r="E55" s="36"/>
      <c r="F55" s="37"/>
      <c r="G55" s="12"/>
      <c r="H55" s="12"/>
      <c r="I55" s="38"/>
      <c r="J55" s="38"/>
      <c r="K55" s="39"/>
      <c r="L55" s="16"/>
      <c r="M55" s="16"/>
      <c r="N55" s="17"/>
      <c r="O55" s="18"/>
      <c r="P55" s="18"/>
      <c r="Q55" s="19"/>
      <c r="R55" s="19"/>
      <c r="S55" s="19"/>
      <c r="T55" s="20"/>
      <c r="U55" s="19"/>
      <c r="V55" s="19"/>
      <c r="W55" s="20"/>
      <c r="X55" s="12"/>
      <c r="Y55" s="12"/>
      <c r="Z55" s="12"/>
      <c r="AA55" s="12"/>
      <c r="AB55" s="12"/>
      <c r="AC55" s="12"/>
      <c r="AD55" s="12"/>
      <c r="AE55" s="12"/>
      <c r="AF55" s="12"/>
    </row>
    <row r="56" spans="1:32" ht="12.75" customHeight="1" x14ac:dyDescent="0.25">
      <c r="A56" s="36"/>
      <c r="B56" s="36"/>
      <c r="C56" s="36"/>
      <c r="D56" s="36"/>
      <c r="E56" s="36"/>
      <c r="F56" s="37"/>
      <c r="G56" s="12"/>
      <c r="H56" s="12"/>
      <c r="I56" s="38"/>
      <c r="J56" s="38"/>
      <c r="K56" s="39"/>
      <c r="L56" s="16"/>
      <c r="M56" s="16"/>
      <c r="N56" s="17"/>
      <c r="O56" s="18"/>
      <c r="P56" s="18"/>
      <c r="Q56" s="19"/>
      <c r="R56" s="19"/>
      <c r="S56" s="19"/>
      <c r="T56" s="20"/>
      <c r="U56" s="19"/>
      <c r="V56" s="19"/>
      <c r="W56" s="20"/>
      <c r="X56" s="12"/>
      <c r="Y56" s="12"/>
      <c r="Z56" s="12"/>
      <c r="AA56" s="12"/>
      <c r="AB56" s="12"/>
      <c r="AC56" s="12"/>
      <c r="AD56" s="12"/>
      <c r="AE56" s="12"/>
      <c r="AF56" s="12"/>
    </row>
    <row r="57" spans="1:32" ht="12.75" customHeight="1" x14ac:dyDescent="0.25">
      <c r="A57" s="36"/>
      <c r="B57" s="36"/>
      <c r="C57" s="36"/>
      <c r="D57" s="36"/>
      <c r="E57" s="36"/>
      <c r="F57" s="37"/>
      <c r="G57" s="12"/>
      <c r="H57" s="12"/>
      <c r="I57" s="38"/>
      <c r="J57" s="38"/>
      <c r="K57" s="39"/>
      <c r="L57" s="16"/>
      <c r="M57" s="16"/>
      <c r="N57" s="17"/>
      <c r="O57" s="18"/>
      <c r="P57" s="18"/>
      <c r="Q57" s="19"/>
      <c r="R57" s="19"/>
      <c r="S57" s="19"/>
      <c r="T57" s="20"/>
      <c r="U57" s="19"/>
      <c r="V57" s="19"/>
      <c r="W57" s="20"/>
      <c r="X57" s="12"/>
      <c r="Y57" s="12"/>
      <c r="Z57" s="12"/>
      <c r="AA57" s="12"/>
      <c r="AB57" s="12"/>
      <c r="AC57" s="12"/>
      <c r="AD57" s="12"/>
      <c r="AE57" s="12"/>
      <c r="AF57" s="12"/>
    </row>
    <row r="58" spans="1:32" ht="12.75" customHeight="1" x14ac:dyDescent="0.25">
      <c r="A58" s="36"/>
      <c r="B58" s="36"/>
      <c r="C58" s="36"/>
      <c r="D58" s="36"/>
      <c r="E58" s="36"/>
      <c r="F58" s="37"/>
      <c r="G58" s="12"/>
      <c r="H58" s="12"/>
      <c r="I58" s="38"/>
      <c r="J58" s="38"/>
      <c r="K58" s="39"/>
      <c r="L58" s="16"/>
      <c r="M58" s="16"/>
      <c r="N58" s="17"/>
      <c r="O58" s="18"/>
      <c r="P58" s="18"/>
      <c r="Q58" s="19"/>
      <c r="R58" s="19"/>
      <c r="S58" s="19"/>
      <c r="T58" s="20"/>
      <c r="U58" s="19"/>
      <c r="V58" s="19"/>
      <c r="W58" s="20"/>
      <c r="X58" s="12"/>
      <c r="Y58" s="12"/>
      <c r="Z58" s="12"/>
      <c r="AA58" s="12"/>
      <c r="AB58" s="12"/>
      <c r="AC58" s="12"/>
      <c r="AD58" s="12"/>
      <c r="AE58" s="12"/>
      <c r="AF58" s="12"/>
    </row>
    <row r="59" spans="1:32" ht="12.75" customHeight="1" x14ac:dyDescent="0.25">
      <c r="A59" s="36"/>
      <c r="B59" s="36"/>
      <c r="C59" s="36"/>
      <c r="D59" s="36"/>
      <c r="E59" s="36"/>
      <c r="F59" s="37"/>
      <c r="G59" s="12"/>
      <c r="H59" s="12"/>
      <c r="I59" s="38"/>
      <c r="J59" s="38"/>
      <c r="K59" s="39"/>
      <c r="L59" s="16"/>
      <c r="M59" s="16"/>
      <c r="N59" s="17"/>
      <c r="O59" s="18"/>
      <c r="P59" s="18"/>
      <c r="Q59" s="19"/>
      <c r="R59" s="19"/>
      <c r="S59" s="19"/>
      <c r="T59" s="20"/>
      <c r="U59" s="19"/>
      <c r="V59" s="19"/>
      <c r="W59" s="20"/>
      <c r="X59" s="12"/>
      <c r="Y59" s="12"/>
      <c r="Z59" s="12"/>
      <c r="AA59" s="12"/>
      <c r="AB59" s="12"/>
      <c r="AC59" s="12"/>
      <c r="AD59" s="12"/>
      <c r="AE59" s="12"/>
      <c r="AF59" s="12"/>
    </row>
    <row r="60" spans="1:32" ht="12.75" customHeight="1" x14ac:dyDescent="0.25">
      <c r="A60" s="36"/>
      <c r="B60" s="36"/>
      <c r="C60" s="36"/>
      <c r="D60" s="36"/>
      <c r="E60" s="36"/>
      <c r="F60" s="37"/>
      <c r="G60" s="12"/>
      <c r="H60" s="12"/>
      <c r="I60" s="38"/>
      <c r="J60" s="38"/>
      <c r="K60" s="39"/>
      <c r="L60" s="16"/>
      <c r="M60" s="16"/>
      <c r="N60" s="17"/>
      <c r="O60" s="18"/>
      <c r="P60" s="18"/>
      <c r="Q60" s="19"/>
      <c r="R60" s="19"/>
      <c r="S60" s="19"/>
      <c r="T60" s="20"/>
      <c r="U60" s="19"/>
      <c r="V60" s="19"/>
      <c r="W60" s="20"/>
      <c r="X60" s="12"/>
      <c r="Y60" s="12"/>
      <c r="Z60" s="12"/>
      <c r="AA60" s="12"/>
      <c r="AB60" s="12"/>
      <c r="AC60" s="12"/>
      <c r="AD60" s="12"/>
      <c r="AE60" s="12"/>
      <c r="AF60" s="12"/>
    </row>
    <row r="61" spans="1:32" ht="12.75" customHeight="1" x14ac:dyDescent="0.25">
      <c r="A61" s="36"/>
      <c r="B61" s="36"/>
      <c r="C61" s="36"/>
      <c r="D61" s="36"/>
      <c r="E61" s="36"/>
      <c r="F61" s="37"/>
      <c r="G61" s="12"/>
      <c r="H61" s="12"/>
      <c r="I61" s="38"/>
      <c r="J61" s="38"/>
      <c r="K61" s="39"/>
      <c r="L61" s="16"/>
      <c r="M61" s="16"/>
      <c r="N61" s="17"/>
      <c r="O61" s="18"/>
      <c r="P61" s="18"/>
      <c r="Q61" s="19"/>
      <c r="R61" s="19"/>
      <c r="S61" s="19"/>
      <c r="T61" s="20"/>
      <c r="U61" s="19"/>
      <c r="V61" s="19"/>
      <c r="W61" s="20"/>
      <c r="X61" s="12"/>
      <c r="Y61" s="12"/>
      <c r="Z61" s="12"/>
      <c r="AA61" s="12"/>
      <c r="AB61" s="12"/>
      <c r="AC61" s="12"/>
      <c r="AD61" s="12"/>
      <c r="AE61" s="12"/>
      <c r="AF61" s="12"/>
    </row>
    <row r="62" spans="1:32" ht="12.75" customHeight="1" x14ac:dyDescent="0.25">
      <c r="A62" s="36"/>
      <c r="B62" s="36"/>
      <c r="C62" s="36"/>
      <c r="D62" s="36"/>
      <c r="E62" s="36"/>
      <c r="F62" s="37"/>
      <c r="G62" s="12"/>
      <c r="H62" s="12"/>
      <c r="I62" s="38"/>
      <c r="J62" s="38"/>
      <c r="K62" s="39"/>
      <c r="L62" s="16"/>
      <c r="M62" s="16"/>
      <c r="N62" s="17"/>
      <c r="O62" s="18"/>
      <c r="P62" s="18"/>
      <c r="Q62" s="19"/>
      <c r="R62" s="19"/>
      <c r="S62" s="19"/>
      <c r="T62" s="20"/>
      <c r="U62" s="19"/>
      <c r="V62" s="19"/>
      <c r="W62" s="20"/>
      <c r="X62" s="12"/>
      <c r="Y62" s="12"/>
      <c r="Z62" s="12"/>
      <c r="AA62" s="12"/>
      <c r="AB62" s="12"/>
      <c r="AC62" s="12"/>
      <c r="AD62" s="12"/>
      <c r="AE62" s="12"/>
      <c r="AF62" s="12"/>
    </row>
    <row r="63" spans="1:32" ht="12.75" customHeight="1" x14ac:dyDescent="0.25">
      <c r="A63" s="36"/>
      <c r="B63" s="36"/>
      <c r="C63" s="36"/>
      <c r="D63" s="36"/>
      <c r="E63" s="36"/>
      <c r="F63" s="37"/>
      <c r="G63" s="12"/>
      <c r="H63" s="12"/>
      <c r="I63" s="38"/>
      <c r="J63" s="38"/>
      <c r="K63" s="39"/>
      <c r="L63" s="16"/>
      <c r="M63" s="16"/>
      <c r="N63" s="17"/>
      <c r="O63" s="18"/>
      <c r="P63" s="18"/>
      <c r="Q63" s="19"/>
      <c r="R63" s="19"/>
      <c r="S63" s="19"/>
      <c r="T63" s="20"/>
      <c r="U63" s="19"/>
      <c r="V63" s="19"/>
      <c r="W63" s="20"/>
      <c r="X63" s="12"/>
      <c r="Y63" s="12"/>
      <c r="Z63" s="12"/>
      <c r="AA63" s="12"/>
      <c r="AB63" s="12"/>
      <c r="AC63" s="12"/>
      <c r="AD63" s="12"/>
      <c r="AE63" s="12"/>
      <c r="AF63" s="12"/>
    </row>
    <row r="64" spans="1:32" ht="12.75" customHeight="1" x14ac:dyDescent="0.25">
      <c r="A64" s="36"/>
      <c r="B64" s="36"/>
      <c r="C64" s="36"/>
      <c r="D64" s="36"/>
      <c r="E64" s="36"/>
      <c r="F64" s="37"/>
      <c r="G64" s="12"/>
      <c r="H64" s="12"/>
      <c r="I64" s="38"/>
      <c r="J64" s="38"/>
      <c r="K64" s="39"/>
      <c r="L64" s="16"/>
      <c r="M64" s="16"/>
      <c r="N64" s="17"/>
      <c r="O64" s="18"/>
      <c r="P64" s="18"/>
      <c r="Q64" s="19"/>
      <c r="R64" s="19"/>
      <c r="S64" s="19"/>
      <c r="T64" s="20"/>
      <c r="U64" s="19"/>
      <c r="V64" s="19"/>
      <c r="W64" s="20"/>
      <c r="X64" s="12"/>
      <c r="Y64" s="12"/>
      <c r="Z64" s="12"/>
      <c r="AA64" s="12"/>
      <c r="AB64" s="12"/>
      <c r="AC64" s="12"/>
      <c r="AD64" s="12"/>
      <c r="AE64" s="12"/>
      <c r="AF64" s="12"/>
    </row>
    <row r="65" spans="1:32" ht="12.75" customHeight="1" x14ac:dyDescent="0.25">
      <c r="A65" s="36"/>
      <c r="B65" s="36"/>
      <c r="C65" s="36"/>
      <c r="D65" s="36"/>
      <c r="E65" s="36"/>
      <c r="F65" s="37"/>
      <c r="G65" s="12"/>
      <c r="H65" s="12"/>
      <c r="I65" s="38"/>
      <c r="J65" s="38"/>
      <c r="K65" s="39"/>
      <c r="L65" s="16"/>
      <c r="M65" s="16"/>
      <c r="N65" s="17"/>
      <c r="O65" s="18"/>
      <c r="P65" s="18"/>
      <c r="Q65" s="19"/>
      <c r="R65" s="19"/>
      <c r="S65" s="19"/>
      <c r="T65" s="20"/>
      <c r="U65" s="19"/>
      <c r="V65" s="19"/>
      <c r="W65" s="20"/>
      <c r="X65" s="12"/>
      <c r="Y65" s="12"/>
      <c r="Z65" s="12"/>
      <c r="AA65" s="12"/>
      <c r="AB65" s="12"/>
      <c r="AC65" s="12"/>
      <c r="AD65" s="12"/>
      <c r="AE65" s="12"/>
      <c r="AF65" s="12"/>
    </row>
    <row r="66" spans="1:32" ht="12.75" customHeight="1" x14ac:dyDescent="0.25">
      <c r="A66" s="36"/>
      <c r="B66" s="36"/>
      <c r="C66" s="36"/>
      <c r="D66" s="36"/>
      <c r="E66" s="36"/>
      <c r="F66" s="37"/>
      <c r="G66" s="12"/>
      <c r="H66" s="12"/>
      <c r="I66" s="38"/>
      <c r="J66" s="38"/>
      <c r="K66" s="39"/>
      <c r="L66" s="16"/>
      <c r="M66" s="16"/>
      <c r="N66" s="17"/>
      <c r="O66" s="18"/>
      <c r="P66" s="18"/>
      <c r="Q66" s="19"/>
      <c r="R66" s="19"/>
      <c r="S66" s="19"/>
      <c r="T66" s="20"/>
      <c r="U66" s="19"/>
      <c r="V66" s="19"/>
      <c r="W66" s="20"/>
      <c r="X66" s="12"/>
      <c r="Y66" s="12"/>
      <c r="Z66" s="12"/>
      <c r="AA66" s="12"/>
      <c r="AB66" s="12"/>
      <c r="AC66" s="12"/>
      <c r="AD66" s="12"/>
      <c r="AE66" s="12"/>
      <c r="AF66" s="12"/>
    </row>
    <row r="67" spans="1:32" ht="12.75" customHeight="1" x14ac:dyDescent="0.25">
      <c r="A67" s="36"/>
      <c r="B67" s="36"/>
      <c r="C67" s="36"/>
      <c r="D67" s="36"/>
      <c r="E67" s="36"/>
      <c r="F67" s="37"/>
      <c r="G67" s="12"/>
      <c r="H67" s="12"/>
      <c r="I67" s="38"/>
      <c r="J67" s="38"/>
      <c r="K67" s="39"/>
      <c r="L67" s="16"/>
      <c r="M67" s="16"/>
      <c r="N67" s="17"/>
      <c r="O67" s="18"/>
      <c r="P67" s="18"/>
      <c r="Q67" s="19"/>
      <c r="R67" s="19"/>
      <c r="S67" s="19"/>
      <c r="T67" s="20"/>
      <c r="U67" s="19"/>
      <c r="V67" s="19"/>
      <c r="W67" s="20"/>
      <c r="X67" s="12"/>
      <c r="Y67" s="12"/>
      <c r="Z67" s="12"/>
      <c r="AA67" s="12"/>
      <c r="AB67" s="12"/>
      <c r="AC67" s="12"/>
      <c r="AD67" s="12"/>
      <c r="AE67" s="12"/>
      <c r="AF67" s="12"/>
    </row>
    <row r="68" spans="1:32" ht="12.75" customHeight="1" x14ac:dyDescent="0.25">
      <c r="A68" s="36"/>
      <c r="B68" s="36"/>
      <c r="C68" s="36"/>
      <c r="D68" s="36"/>
      <c r="E68" s="36"/>
      <c r="F68" s="37"/>
      <c r="G68" s="12"/>
      <c r="H68" s="12"/>
      <c r="I68" s="38"/>
      <c r="J68" s="38"/>
      <c r="K68" s="39"/>
      <c r="L68" s="16"/>
      <c r="M68" s="16"/>
      <c r="N68" s="17"/>
      <c r="O68" s="18"/>
      <c r="P68" s="18"/>
      <c r="Q68" s="19"/>
      <c r="R68" s="19"/>
      <c r="S68" s="19"/>
      <c r="T68" s="20"/>
      <c r="U68" s="19"/>
      <c r="V68" s="19"/>
      <c r="W68" s="20"/>
      <c r="X68" s="12"/>
      <c r="Y68" s="12"/>
      <c r="Z68" s="12"/>
      <c r="AA68" s="12"/>
      <c r="AB68" s="12"/>
      <c r="AC68" s="12"/>
      <c r="AD68" s="12"/>
      <c r="AE68" s="12"/>
      <c r="AF68" s="12"/>
    </row>
    <row r="69" spans="1:32" ht="12.75" customHeight="1" x14ac:dyDescent="0.25">
      <c r="A69" s="36"/>
      <c r="B69" s="36"/>
      <c r="C69" s="36"/>
      <c r="D69" s="36"/>
      <c r="E69" s="36"/>
      <c r="F69" s="37"/>
      <c r="G69" s="12"/>
      <c r="H69" s="12"/>
      <c r="I69" s="38"/>
      <c r="J69" s="38"/>
      <c r="K69" s="39"/>
      <c r="L69" s="16"/>
      <c r="M69" s="16"/>
      <c r="N69" s="17"/>
      <c r="O69" s="18"/>
      <c r="P69" s="18"/>
      <c r="Q69" s="19"/>
      <c r="R69" s="19"/>
      <c r="S69" s="19"/>
      <c r="T69" s="20"/>
      <c r="U69" s="19"/>
      <c r="V69" s="19"/>
      <c r="W69" s="20"/>
      <c r="X69" s="12"/>
      <c r="Y69" s="12"/>
      <c r="Z69" s="12"/>
      <c r="AA69" s="12"/>
      <c r="AB69" s="12"/>
      <c r="AC69" s="12"/>
      <c r="AD69" s="12"/>
      <c r="AE69" s="12"/>
      <c r="AF69" s="12"/>
    </row>
    <row r="70" spans="1:32" ht="12.75" customHeight="1" x14ac:dyDescent="0.25">
      <c r="A70" s="36"/>
      <c r="B70" s="36"/>
      <c r="C70" s="36"/>
      <c r="D70" s="36"/>
      <c r="E70" s="36"/>
      <c r="F70" s="37"/>
      <c r="G70" s="12"/>
      <c r="H70" s="12"/>
      <c r="I70" s="38"/>
      <c r="J70" s="38"/>
      <c r="K70" s="39"/>
      <c r="L70" s="16"/>
      <c r="M70" s="16"/>
      <c r="N70" s="17"/>
      <c r="O70" s="18"/>
      <c r="P70" s="18"/>
      <c r="Q70" s="19"/>
      <c r="R70" s="19"/>
      <c r="S70" s="19"/>
      <c r="T70" s="20"/>
      <c r="U70" s="19"/>
      <c r="V70" s="19"/>
      <c r="W70" s="20"/>
      <c r="X70" s="12"/>
      <c r="Y70" s="12"/>
      <c r="Z70" s="12"/>
      <c r="AA70" s="12"/>
      <c r="AB70" s="12"/>
      <c r="AC70" s="12"/>
      <c r="AD70" s="12"/>
      <c r="AE70" s="12"/>
      <c r="AF70" s="12"/>
    </row>
    <row r="71" spans="1:32" ht="12.75" customHeight="1" x14ac:dyDescent="0.25">
      <c r="A71" s="36"/>
      <c r="B71" s="36"/>
      <c r="C71" s="36"/>
      <c r="D71" s="36"/>
      <c r="E71" s="36"/>
      <c r="F71" s="37"/>
      <c r="G71" s="12"/>
      <c r="H71" s="12"/>
      <c r="I71" s="38"/>
      <c r="J71" s="38"/>
      <c r="K71" s="39"/>
      <c r="L71" s="16"/>
      <c r="M71" s="16"/>
      <c r="N71" s="17"/>
      <c r="O71" s="18"/>
      <c r="P71" s="18"/>
      <c r="Q71" s="19"/>
      <c r="R71" s="19"/>
      <c r="S71" s="19"/>
      <c r="T71" s="20"/>
      <c r="U71" s="19"/>
      <c r="V71" s="19"/>
      <c r="W71" s="20"/>
      <c r="X71" s="12"/>
      <c r="Y71" s="12"/>
      <c r="Z71" s="12"/>
      <c r="AA71" s="12"/>
      <c r="AB71" s="12"/>
      <c r="AC71" s="12"/>
      <c r="AD71" s="12"/>
      <c r="AE71" s="12"/>
      <c r="AF71" s="12"/>
    </row>
    <row r="72" spans="1:32" ht="12.75" customHeight="1" x14ac:dyDescent="0.25">
      <c r="A72" s="36"/>
      <c r="B72" s="36"/>
      <c r="C72" s="36"/>
      <c r="D72" s="36"/>
      <c r="E72" s="36"/>
      <c r="F72" s="37"/>
      <c r="G72" s="12"/>
      <c r="H72" s="12"/>
      <c r="I72" s="38"/>
      <c r="J72" s="38"/>
      <c r="K72" s="39"/>
      <c r="L72" s="16"/>
      <c r="M72" s="16"/>
      <c r="N72" s="17"/>
      <c r="O72" s="18"/>
      <c r="P72" s="18"/>
      <c r="Q72" s="19"/>
      <c r="R72" s="19"/>
      <c r="S72" s="19"/>
      <c r="T72" s="20"/>
      <c r="U72" s="19"/>
      <c r="V72" s="19"/>
      <c r="W72" s="20"/>
      <c r="X72" s="12"/>
      <c r="Y72" s="12"/>
      <c r="Z72" s="12"/>
      <c r="AA72" s="12"/>
      <c r="AB72" s="12"/>
      <c r="AC72" s="12"/>
      <c r="AD72" s="12"/>
      <c r="AE72" s="12"/>
      <c r="AF72" s="12"/>
    </row>
    <row r="73" spans="1:32" ht="12.75" customHeight="1" x14ac:dyDescent="0.25">
      <c r="A73" s="36"/>
      <c r="B73" s="36"/>
      <c r="C73" s="36"/>
      <c r="D73" s="36"/>
      <c r="E73" s="36"/>
      <c r="F73" s="37"/>
      <c r="G73" s="12"/>
      <c r="H73" s="12"/>
      <c r="I73" s="38"/>
      <c r="J73" s="38"/>
      <c r="K73" s="39"/>
      <c r="L73" s="16"/>
      <c r="M73" s="16"/>
      <c r="N73" s="17"/>
      <c r="O73" s="18"/>
      <c r="P73" s="18"/>
      <c r="Q73" s="19"/>
      <c r="R73" s="19"/>
      <c r="S73" s="19"/>
      <c r="T73" s="20"/>
      <c r="U73" s="19"/>
      <c r="V73" s="19"/>
      <c r="W73" s="20"/>
      <c r="X73" s="12"/>
      <c r="Y73" s="12"/>
      <c r="Z73" s="12"/>
      <c r="AA73" s="12"/>
      <c r="AB73" s="12"/>
      <c r="AC73" s="12"/>
      <c r="AD73" s="12"/>
      <c r="AE73" s="12"/>
      <c r="AF73" s="12"/>
    </row>
    <row r="74" spans="1:32" ht="12.75" customHeight="1" x14ac:dyDescent="0.25">
      <c r="A74" s="36"/>
      <c r="B74" s="36"/>
      <c r="C74" s="36"/>
      <c r="D74" s="36"/>
      <c r="E74" s="36"/>
      <c r="F74" s="37"/>
      <c r="G74" s="12"/>
      <c r="H74" s="12"/>
      <c r="I74" s="38"/>
      <c r="J74" s="38"/>
      <c r="K74" s="39"/>
      <c r="L74" s="16"/>
      <c r="M74" s="16"/>
      <c r="N74" s="17"/>
      <c r="O74" s="18"/>
      <c r="P74" s="18"/>
      <c r="Q74" s="19"/>
      <c r="R74" s="19"/>
      <c r="S74" s="19"/>
      <c r="T74" s="20"/>
      <c r="U74" s="19"/>
      <c r="V74" s="19"/>
      <c r="W74" s="20"/>
      <c r="X74" s="12"/>
      <c r="Y74" s="12"/>
      <c r="Z74" s="12"/>
      <c r="AA74" s="12"/>
      <c r="AB74" s="12"/>
      <c r="AC74" s="12"/>
      <c r="AD74" s="12"/>
      <c r="AE74" s="12"/>
      <c r="AF74" s="12"/>
    </row>
    <row r="75" spans="1:32" ht="12.75" customHeight="1" x14ac:dyDescent="0.25">
      <c r="A75" s="36"/>
      <c r="B75" s="36"/>
      <c r="C75" s="36"/>
      <c r="D75" s="36"/>
      <c r="E75" s="36"/>
      <c r="F75" s="37"/>
      <c r="G75" s="12"/>
      <c r="H75" s="12"/>
      <c r="I75" s="38"/>
      <c r="J75" s="38"/>
      <c r="K75" s="39"/>
      <c r="L75" s="16"/>
      <c r="M75" s="16"/>
      <c r="N75" s="17"/>
      <c r="O75" s="18"/>
      <c r="P75" s="18"/>
      <c r="Q75" s="19"/>
      <c r="R75" s="19"/>
      <c r="S75" s="19"/>
      <c r="T75" s="20"/>
      <c r="U75" s="19"/>
      <c r="V75" s="19"/>
      <c r="W75" s="20"/>
      <c r="X75" s="12"/>
      <c r="Y75" s="12"/>
      <c r="Z75" s="12"/>
      <c r="AA75" s="12"/>
      <c r="AB75" s="12"/>
      <c r="AC75" s="12"/>
      <c r="AD75" s="12"/>
      <c r="AE75" s="12"/>
      <c r="AF75" s="12"/>
    </row>
    <row r="76" spans="1:32" ht="12.75" customHeight="1" x14ac:dyDescent="0.25">
      <c r="A76" s="36"/>
      <c r="B76" s="36"/>
      <c r="C76" s="36"/>
      <c r="D76" s="36"/>
      <c r="E76" s="36"/>
      <c r="F76" s="37"/>
      <c r="G76" s="12"/>
      <c r="H76" s="12"/>
      <c r="I76" s="38"/>
      <c r="J76" s="38"/>
      <c r="K76" s="39"/>
      <c r="L76" s="16"/>
      <c r="M76" s="16"/>
      <c r="N76" s="17"/>
      <c r="O76" s="18"/>
      <c r="P76" s="18"/>
      <c r="Q76" s="19"/>
      <c r="R76" s="19"/>
      <c r="S76" s="19"/>
      <c r="T76" s="20"/>
      <c r="U76" s="19"/>
      <c r="V76" s="19"/>
      <c r="W76" s="20"/>
      <c r="X76" s="12"/>
      <c r="Y76" s="12"/>
      <c r="Z76" s="12"/>
      <c r="AA76" s="12"/>
      <c r="AB76" s="12"/>
      <c r="AC76" s="12"/>
      <c r="AD76" s="12"/>
      <c r="AE76" s="12"/>
      <c r="AF76" s="12"/>
    </row>
    <row r="77" spans="1:32" ht="12.75" customHeight="1" x14ac:dyDescent="0.25">
      <c r="A77" s="36"/>
      <c r="B77" s="36"/>
      <c r="C77" s="36"/>
      <c r="D77" s="36"/>
      <c r="E77" s="36"/>
      <c r="F77" s="37"/>
      <c r="G77" s="12"/>
      <c r="H77" s="12"/>
      <c r="I77" s="38"/>
      <c r="J77" s="38"/>
      <c r="K77" s="39"/>
      <c r="L77" s="16"/>
      <c r="M77" s="16"/>
      <c r="N77" s="17"/>
      <c r="O77" s="18"/>
      <c r="P77" s="18"/>
      <c r="Q77" s="19"/>
      <c r="R77" s="19"/>
      <c r="S77" s="19"/>
      <c r="T77" s="20"/>
      <c r="U77" s="19"/>
      <c r="V77" s="19"/>
      <c r="W77" s="20"/>
      <c r="X77" s="12"/>
      <c r="Y77" s="12"/>
      <c r="Z77" s="12"/>
      <c r="AA77" s="12"/>
      <c r="AB77" s="12"/>
      <c r="AC77" s="12"/>
      <c r="AD77" s="12"/>
      <c r="AE77" s="12"/>
      <c r="AF77" s="12"/>
    </row>
    <row r="78" spans="1:32" ht="12.75" customHeight="1" x14ac:dyDescent="0.25">
      <c r="A78" s="36"/>
      <c r="B78" s="36"/>
      <c r="C78" s="36"/>
      <c r="D78" s="36"/>
      <c r="E78" s="36"/>
      <c r="F78" s="37"/>
      <c r="G78" s="12"/>
      <c r="H78" s="12"/>
      <c r="I78" s="38"/>
      <c r="J78" s="38"/>
      <c r="K78" s="39"/>
      <c r="L78" s="16"/>
      <c r="M78" s="16"/>
      <c r="N78" s="17"/>
      <c r="O78" s="18"/>
      <c r="P78" s="18"/>
      <c r="Q78" s="19"/>
      <c r="R78" s="19"/>
      <c r="S78" s="19"/>
      <c r="T78" s="20"/>
      <c r="U78" s="19"/>
      <c r="V78" s="19"/>
      <c r="W78" s="20"/>
      <c r="X78" s="12"/>
      <c r="Y78" s="12"/>
      <c r="Z78" s="12"/>
      <c r="AA78" s="12"/>
      <c r="AB78" s="12"/>
      <c r="AC78" s="12"/>
      <c r="AD78" s="12"/>
      <c r="AE78" s="12"/>
      <c r="AF78" s="12"/>
    </row>
    <row r="79" spans="1:32" ht="12.75" customHeight="1" x14ac:dyDescent="0.25">
      <c r="A79" s="36"/>
      <c r="B79" s="36"/>
      <c r="C79" s="36"/>
      <c r="D79" s="36"/>
      <c r="E79" s="36"/>
      <c r="F79" s="37"/>
      <c r="G79" s="12"/>
      <c r="H79" s="12"/>
      <c r="I79" s="38"/>
      <c r="J79" s="38"/>
      <c r="K79" s="39"/>
      <c r="L79" s="16"/>
      <c r="M79" s="16"/>
      <c r="N79" s="17"/>
      <c r="O79" s="18"/>
      <c r="P79" s="18"/>
      <c r="Q79" s="19"/>
      <c r="R79" s="19"/>
      <c r="S79" s="19"/>
      <c r="T79" s="20"/>
      <c r="U79" s="19"/>
      <c r="V79" s="19"/>
      <c r="W79" s="20"/>
      <c r="X79" s="12"/>
      <c r="Y79" s="12"/>
      <c r="Z79" s="12"/>
      <c r="AA79" s="12"/>
      <c r="AB79" s="12"/>
      <c r="AC79" s="12"/>
      <c r="AD79" s="12"/>
      <c r="AE79" s="12"/>
      <c r="AF79" s="12"/>
    </row>
    <row r="80" spans="1:32" ht="12.75" customHeight="1" x14ac:dyDescent="0.25">
      <c r="A80" s="36"/>
      <c r="B80" s="36"/>
      <c r="C80" s="36"/>
      <c r="D80" s="36"/>
      <c r="E80" s="36"/>
      <c r="F80" s="37"/>
      <c r="G80" s="12"/>
      <c r="H80" s="12"/>
      <c r="I80" s="38"/>
      <c r="J80" s="38"/>
      <c r="K80" s="39"/>
      <c r="L80" s="16"/>
      <c r="M80" s="16"/>
      <c r="N80" s="17"/>
      <c r="O80" s="18"/>
      <c r="P80" s="18"/>
      <c r="Q80" s="19"/>
      <c r="R80" s="19"/>
      <c r="S80" s="19"/>
      <c r="T80" s="20"/>
      <c r="U80" s="19"/>
      <c r="V80" s="19"/>
      <c r="W80" s="20"/>
      <c r="X80" s="12"/>
      <c r="Y80" s="12"/>
      <c r="Z80" s="12"/>
      <c r="AA80" s="12"/>
      <c r="AB80" s="12"/>
      <c r="AC80" s="12"/>
      <c r="AD80" s="12"/>
      <c r="AE80" s="12"/>
      <c r="AF80" s="12"/>
    </row>
    <row r="81" spans="1:32" ht="12.75" customHeight="1" x14ac:dyDescent="0.25">
      <c r="A81" s="36"/>
      <c r="B81" s="36"/>
      <c r="C81" s="36"/>
      <c r="D81" s="36"/>
      <c r="E81" s="36"/>
      <c r="F81" s="37"/>
      <c r="G81" s="12"/>
      <c r="H81" s="12"/>
      <c r="I81" s="38"/>
      <c r="J81" s="38"/>
      <c r="K81" s="39"/>
      <c r="L81" s="16"/>
      <c r="M81" s="16"/>
      <c r="N81" s="17"/>
      <c r="O81" s="18"/>
      <c r="P81" s="18"/>
      <c r="Q81" s="19"/>
      <c r="R81" s="19"/>
      <c r="S81" s="19"/>
      <c r="T81" s="20"/>
      <c r="U81" s="19"/>
      <c r="V81" s="19"/>
      <c r="W81" s="20"/>
      <c r="X81" s="12"/>
      <c r="Y81" s="12"/>
      <c r="Z81" s="12"/>
      <c r="AA81" s="12"/>
      <c r="AB81" s="12"/>
      <c r="AC81" s="12"/>
      <c r="AD81" s="12"/>
      <c r="AE81" s="12"/>
      <c r="AF81" s="12"/>
    </row>
    <row r="82" spans="1:32" ht="12.75" customHeight="1" x14ac:dyDescent="0.25">
      <c r="A82" s="36"/>
      <c r="B82" s="36"/>
      <c r="C82" s="36"/>
      <c r="D82" s="36"/>
      <c r="E82" s="36"/>
      <c r="F82" s="37"/>
      <c r="G82" s="12"/>
      <c r="H82" s="12"/>
      <c r="I82" s="38"/>
      <c r="J82" s="38"/>
      <c r="K82" s="39"/>
      <c r="L82" s="16"/>
      <c r="M82" s="16"/>
      <c r="N82" s="17"/>
      <c r="O82" s="18"/>
      <c r="P82" s="18"/>
      <c r="Q82" s="19"/>
      <c r="R82" s="19"/>
      <c r="S82" s="19"/>
      <c r="T82" s="20"/>
      <c r="U82" s="19"/>
      <c r="V82" s="19"/>
      <c r="W82" s="20"/>
      <c r="X82" s="12"/>
      <c r="Y82" s="12"/>
      <c r="Z82" s="12"/>
      <c r="AA82" s="12"/>
      <c r="AB82" s="12"/>
      <c r="AC82" s="12"/>
      <c r="AD82" s="12"/>
      <c r="AE82" s="12"/>
      <c r="AF82" s="12"/>
    </row>
    <row r="83" spans="1:32" ht="12.75" customHeight="1" x14ac:dyDescent="0.25">
      <c r="A83" s="36"/>
      <c r="B83" s="36"/>
      <c r="C83" s="36"/>
      <c r="D83" s="36"/>
      <c r="E83" s="36"/>
      <c r="F83" s="37"/>
      <c r="G83" s="12"/>
      <c r="H83" s="12"/>
      <c r="I83" s="38"/>
      <c r="J83" s="38"/>
      <c r="K83" s="39"/>
      <c r="L83" s="16"/>
      <c r="M83" s="16"/>
      <c r="N83" s="17"/>
      <c r="O83" s="18"/>
      <c r="P83" s="18"/>
      <c r="Q83" s="19"/>
      <c r="R83" s="19"/>
      <c r="S83" s="19"/>
      <c r="T83" s="20"/>
      <c r="U83" s="19"/>
      <c r="V83" s="19"/>
      <c r="W83" s="20"/>
      <c r="X83" s="12"/>
      <c r="Y83" s="12"/>
      <c r="Z83" s="12"/>
      <c r="AA83" s="12"/>
      <c r="AB83" s="12"/>
      <c r="AC83" s="12"/>
      <c r="AD83" s="12"/>
      <c r="AE83" s="12"/>
      <c r="AF83" s="12"/>
    </row>
    <row r="84" spans="1:32" ht="12.75" customHeight="1" x14ac:dyDescent="0.25">
      <c r="A84" s="36"/>
      <c r="B84" s="36"/>
      <c r="C84" s="36"/>
      <c r="D84" s="36"/>
      <c r="E84" s="36"/>
      <c r="F84" s="37"/>
      <c r="G84" s="12"/>
      <c r="H84" s="12"/>
      <c r="I84" s="38"/>
      <c r="J84" s="38"/>
      <c r="K84" s="39"/>
      <c r="L84" s="16"/>
      <c r="M84" s="16"/>
      <c r="N84" s="17"/>
      <c r="O84" s="18"/>
      <c r="P84" s="18"/>
      <c r="Q84" s="19"/>
      <c r="R84" s="19"/>
      <c r="S84" s="19"/>
      <c r="T84" s="20"/>
      <c r="U84" s="19"/>
      <c r="V84" s="19"/>
      <c r="W84" s="20"/>
      <c r="X84" s="12"/>
      <c r="Y84" s="12"/>
      <c r="Z84" s="12"/>
      <c r="AA84" s="12"/>
      <c r="AB84" s="12"/>
      <c r="AC84" s="12"/>
      <c r="AD84" s="12"/>
      <c r="AE84" s="12"/>
      <c r="AF84" s="12"/>
    </row>
    <row r="85" spans="1:32" ht="12.75" customHeight="1" x14ac:dyDescent="0.25">
      <c r="A85" s="36"/>
      <c r="B85" s="36"/>
      <c r="C85" s="36"/>
      <c r="D85" s="36"/>
      <c r="E85" s="36"/>
      <c r="F85" s="37"/>
      <c r="G85" s="12"/>
      <c r="H85" s="12"/>
      <c r="I85" s="38"/>
      <c r="J85" s="38"/>
      <c r="K85" s="39"/>
      <c r="L85" s="16"/>
      <c r="M85" s="16"/>
      <c r="N85" s="17"/>
      <c r="O85" s="18"/>
      <c r="P85" s="18"/>
      <c r="Q85" s="19"/>
      <c r="R85" s="19"/>
      <c r="S85" s="19"/>
      <c r="T85" s="20"/>
      <c r="U85" s="19"/>
      <c r="V85" s="19"/>
      <c r="W85" s="20"/>
      <c r="X85" s="12"/>
      <c r="Y85" s="12"/>
      <c r="Z85" s="12"/>
      <c r="AA85" s="12"/>
      <c r="AB85" s="12"/>
      <c r="AC85" s="12"/>
      <c r="AD85" s="12"/>
      <c r="AE85" s="12"/>
      <c r="AF85" s="12"/>
    </row>
    <row r="86" spans="1:32" ht="12.75" customHeight="1" x14ac:dyDescent="0.25">
      <c r="A86" s="36"/>
      <c r="B86" s="36"/>
      <c r="C86" s="36"/>
      <c r="D86" s="36"/>
      <c r="E86" s="36"/>
      <c r="F86" s="37"/>
      <c r="G86" s="12"/>
      <c r="H86" s="12"/>
      <c r="I86" s="38"/>
      <c r="J86" s="38"/>
      <c r="K86" s="39"/>
      <c r="L86" s="16"/>
      <c r="M86" s="16"/>
      <c r="N86" s="17"/>
      <c r="O86" s="18"/>
      <c r="P86" s="18"/>
      <c r="Q86" s="19"/>
      <c r="R86" s="19"/>
      <c r="S86" s="19"/>
      <c r="T86" s="20"/>
      <c r="U86" s="19"/>
      <c r="V86" s="19"/>
      <c r="W86" s="20"/>
      <c r="X86" s="12"/>
      <c r="Y86" s="12"/>
      <c r="Z86" s="12"/>
      <c r="AA86" s="12"/>
      <c r="AB86" s="12"/>
      <c r="AC86" s="12"/>
      <c r="AD86" s="12"/>
      <c r="AE86" s="12"/>
      <c r="AF86" s="12"/>
    </row>
    <row r="87" spans="1:32" ht="12.75" customHeight="1" x14ac:dyDescent="0.25">
      <c r="A87" s="36"/>
      <c r="B87" s="36"/>
      <c r="C87" s="36"/>
      <c r="D87" s="36"/>
      <c r="E87" s="36"/>
      <c r="F87" s="37"/>
      <c r="G87" s="12"/>
      <c r="H87" s="12"/>
      <c r="I87" s="38"/>
      <c r="J87" s="38"/>
      <c r="K87" s="39"/>
      <c r="L87" s="16"/>
      <c r="M87" s="16"/>
      <c r="N87" s="17"/>
      <c r="O87" s="18"/>
      <c r="P87" s="18"/>
      <c r="Q87" s="19"/>
      <c r="R87" s="19"/>
      <c r="S87" s="19"/>
      <c r="T87" s="20"/>
      <c r="U87" s="19"/>
      <c r="V87" s="19"/>
      <c r="W87" s="20"/>
      <c r="X87" s="12"/>
      <c r="Y87" s="12"/>
      <c r="Z87" s="12"/>
      <c r="AA87" s="12"/>
      <c r="AB87" s="12"/>
      <c r="AC87" s="12"/>
      <c r="AD87" s="12"/>
      <c r="AE87" s="12"/>
      <c r="AF87" s="12"/>
    </row>
    <row r="88" spans="1:32" ht="12.75" customHeight="1" x14ac:dyDescent="0.25">
      <c r="A88" s="36"/>
      <c r="B88" s="36"/>
      <c r="C88" s="36"/>
      <c r="D88" s="36"/>
      <c r="E88" s="36"/>
      <c r="F88" s="37"/>
      <c r="G88" s="12"/>
      <c r="H88" s="12"/>
      <c r="I88" s="38"/>
      <c r="J88" s="38"/>
      <c r="K88" s="39"/>
      <c r="L88" s="16"/>
      <c r="M88" s="16"/>
      <c r="N88" s="17"/>
      <c r="O88" s="18"/>
      <c r="P88" s="18"/>
      <c r="Q88" s="19"/>
      <c r="R88" s="19"/>
      <c r="S88" s="19"/>
      <c r="T88" s="20"/>
      <c r="U88" s="19"/>
      <c r="V88" s="19"/>
      <c r="W88" s="20"/>
      <c r="X88" s="12"/>
      <c r="Y88" s="12"/>
      <c r="Z88" s="12"/>
      <c r="AA88" s="12"/>
      <c r="AB88" s="12"/>
      <c r="AC88" s="12"/>
      <c r="AD88" s="12"/>
      <c r="AE88" s="12"/>
      <c r="AF88" s="12"/>
    </row>
    <row r="89" spans="1:32" ht="12.75" customHeight="1" x14ac:dyDescent="0.25">
      <c r="A89" s="36"/>
      <c r="B89" s="36"/>
      <c r="C89" s="36"/>
      <c r="D89" s="36"/>
      <c r="E89" s="36"/>
      <c r="F89" s="37"/>
      <c r="G89" s="12"/>
      <c r="H89" s="12"/>
      <c r="I89" s="38"/>
      <c r="J89" s="38"/>
      <c r="K89" s="39"/>
      <c r="L89" s="16"/>
      <c r="M89" s="16"/>
      <c r="N89" s="17"/>
      <c r="O89" s="18"/>
      <c r="P89" s="18"/>
      <c r="Q89" s="19"/>
      <c r="R89" s="19"/>
      <c r="S89" s="19"/>
      <c r="T89" s="20"/>
      <c r="U89" s="19"/>
      <c r="V89" s="19"/>
      <c r="W89" s="20"/>
      <c r="X89" s="12"/>
      <c r="Y89" s="12"/>
      <c r="Z89" s="12"/>
      <c r="AA89" s="12"/>
      <c r="AB89" s="12"/>
      <c r="AC89" s="12"/>
      <c r="AD89" s="12"/>
      <c r="AE89" s="12"/>
      <c r="AF89" s="12"/>
    </row>
    <row r="90" spans="1:32" ht="12.75" customHeight="1" x14ac:dyDescent="0.25">
      <c r="A90" s="36"/>
      <c r="B90" s="36"/>
      <c r="C90" s="36"/>
      <c r="D90" s="36"/>
      <c r="E90" s="36"/>
      <c r="F90" s="37"/>
      <c r="G90" s="12"/>
      <c r="H90" s="12"/>
      <c r="I90" s="38"/>
      <c r="J90" s="38"/>
      <c r="K90" s="39"/>
      <c r="L90" s="16"/>
      <c r="M90" s="16"/>
      <c r="N90" s="17"/>
      <c r="O90" s="18"/>
      <c r="P90" s="18"/>
      <c r="Q90" s="19"/>
      <c r="R90" s="19"/>
      <c r="S90" s="19"/>
      <c r="T90" s="20"/>
      <c r="U90" s="19"/>
      <c r="V90" s="19"/>
      <c r="W90" s="20"/>
      <c r="X90" s="12"/>
      <c r="Y90" s="12"/>
      <c r="Z90" s="12"/>
      <c r="AA90" s="12"/>
      <c r="AB90" s="12"/>
      <c r="AC90" s="12"/>
      <c r="AD90" s="12"/>
      <c r="AE90" s="12"/>
      <c r="AF90" s="12"/>
    </row>
    <row r="91" spans="1:32" ht="12.75" customHeight="1" x14ac:dyDescent="0.25">
      <c r="A91" s="36"/>
      <c r="B91" s="36"/>
      <c r="C91" s="36"/>
      <c r="D91" s="36"/>
      <c r="E91" s="36"/>
      <c r="F91" s="37"/>
      <c r="G91" s="12"/>
      <c r="H91" s="12"/>
      <c r="I91" s="38"/>
      <c r="J91" s="38"/>
      <c r="K91" s="39"/>
      <c r="L91" s="16"/>
      <c r="M91" s="16"/>
      <c r="N91" s="17"/>
      <c r="O91" s="18"/>
      <c r="P91" s="18"/>
      <c r="Q91" s="19"/>
      <c r="R91" s="19"/>
      <c r="S91" s="19"/>
      <c r="T91" s="20"/>
      <c r="U91" s="19"/>
      <c r="V91" s="19"/>
      <c r="W91" s="20"/>
      <c r="X91" s="12"/>
      <c r="Y91" s="12"/>
      <c r="Z91" s="12"/>
      <c r="AA91" s="12"/>
      <c r="AB91" s="12"/>
      <c r="AC91" s="12"/>
      <c r="AD91" s="12"/>
      <c r="AE91" s="12"/>
      <c r="AF91" s="12"/>
    </row>
    <row r="92" spans="1:32" ht="12.75" customHeight="1" x14ac:dyDescent="0.25">
      <c r="A92" s="36"/>
      <c r="B92" s="36"/>
      <c r="C92" s="36"/>
      <c r="D92" s="36"/>
      <c r="E92" s="36"/>
      <c r="F92" s="37"/>
      <c r="G92" s="12"/>
      <c r="H92" s="12"/>
      <c r="I92" s="38"/>
      <c r="J92" s="38"/>
      <c r="K92" s="39"/>
      <c r="L92" s="16"/>
      <c r="M92" s="16"/>
      <c r="N92" s="17"/>
      <c r="O92" s="18"/>
      <c r="P92" s="18"/>
      <c r="Q92" s="19"/>
      <c r="R92" s="19"/>
      <c r="S92" s="19"/>
      <c r="T92" s="20"/>
      <c r="U92" s="19"/>
      <c r="V92" s="19"/>
      <c r="W92" s="20"/>
      <c r="X92" s="12"/>
      <c r="Y92" s="12"/>
      <c r="Z92" s="12"/>
      <c r="AA92" s="12"/>
      <c r="AB92" s="12"/>
      <c r="AC92" s="12"/>
      <c r="AD92" s="12"/>
      <c r="AE92" s="12"/>
      <c r="AF92" s="12"/>
    </row>
    <row r="93" spans="1:32" ht="12.75" customHeight="1" x14ac:dyDescent="0.25">
      <c r="A93" s="36"/>
      <c r="B93" s="36"/>
      <c r="C93" s="36"/>
      <c r="D93" s="36"/>
      <c r="E93" s="36"/>
      <c r="F93" s="37"/>
      <c r="G93" s="12"/>
      <c r="H93" s="12"/>
      <c r="I93" s="38"/>
      <c r="J93" s="38"/>
      <c r="K93" s="39"/>
      <c r="L93" s="16"/>
      <c r="M93" s="16"/>
      <c r="N93" s="17"/>
      <c r="O93" s="18"/>
      <c r="P93" s="18"/>
      <c r="Q93" s="19"/>
      <c r="R93" s="19"/>
      <c r="S93" s="19"/>
      <c r="T93" s="20"/>
      <c r="U93" s="19"/>
      <c r="V93" s="19"/>
      <c r="W93" s="20"/>
      <c r="X93" s="12"/>
      <c r="Y93" s="12"/>
      <c r="Z93" s="12"/>
      <c r="AA93" s="12"/>
      <c r="AB93" s="12"/>
      <c r="AC93" s="12"/>
      <c r="AD93" s="12"/>
      <c r="AE93" s="12"/>
      <c r="AF93" s="12"/>
    </row>
    <row r="94" spans="1:32" ht="12.75" customHeight="1" x14ac:dyDescent="0.25">
      <c r="A94" s="36"/>
      <c r="B94" s="36"/>
      <c r="C94" s="36"/>
      <c r="D94" s="36"/>
      <c r="E94" s="36"/>
      <c r="F94" s="37"/>
      <c r="G94" s="12"/>
      <c r="H94" s="12"/>
      <c r="I94" s="38"/>
      <c r="J94" s="38"/>
      <c r="K94" s="39"/>
      <c r="L94" s="16"/>
      <c r="M94" s="16"/>
      <c r="N94" s="17"/>
      <c r="O94" s="18"/>
      <c r="P94" s="18"/>
      <c r="Q94" s="19"/>
      <c r="R94" s="19"/>
      <c r="S94" s="19"/>
      <c r="T94" s="20"/>
      <c r="U94" s="19"/>
      <c r="V94" s="19"/>
      <c r="W94" s="20"/>
      <c r="X94" s="12"/>
      <c r="Y94" s="12"/>
      <c r="Z94" s="12"/>
      <c r="AA94" s="12"/>
      <c r="AB94" s="12"/>
      <c r="AC94" s="12"/>
      <c r="AD94" s="12"/>
      <c r="AE94" s="12"/>
      <c r="AF94" s="12"/>
    </row>
    <row r="95" spans="1:32" ht="12.75" customHeight="1" x14ac:dyDescent="0.25">
      <c r="A95" s="36"/>
      <c r="B95" s="36"/>
      <c r="C95" s="36"/>
      <c r="D95" s="36"/>
      <c r="E95" s="36"/>
      <c r="F95" s="37"/>
      <c r="G95" s="12"/>
      <c r="H95" s="12"/>
      <c r="I95" s="38"/>
      <c r="J95" s="38"/>
      <c r="K95" s="39"/>
      <c r="L95" s="16"/>
      <c r="M95" s="16"/>
      <c r="N95" s="17"/>
      <c r="O95" s="18"/>
      <c r="P95" s="18"/>
      <c r="Q95" s="19"/>
      <c r="R95" s="19"/>
      <c r="S95" s="19"/>
      <c r="T95" s="20"/>
      <c r="U95" s="19"/>
      <c r="V95" s="19"/>
      <c r="W95" s="20"/>
      <c r="X95" s="12"/>
      <c r="Y95" s="12"/>
      <c r="Z95" s="12"/>
      <c r="AA95" s="12"/>
      <c r="AB95" s="12"/>
      <c r="AC95" s="12"/>
      <c r="AD95" s="12"/>
      <c r="AE95" s="12"/>
      <c r="AF95" s="12"/>
    </row>
    <row r="96" spans="1:32" ht="12.75" customHeight="1" x14ac:dyDescent="0.25">
      <c r="A96" s="36"/>
      <c r="B96" s="36"/>
      <c r="C96" s="36"/>
      <c r="D96" s="36"/>
      <c r="E96" s="36"/>
      <c r="F96" s="37"/>
      <c r="G96" s="12"/>
      <c r="H96" s="12"/>
      <c r="I96" s="38"/>
      <c r="J96" s="38"/>
      <c r="K96" s="39"/>
      <c r="L96" s="16"/>
      <c r="M96" s="16"/>
      <c r="N96" s="17"/>
      <c r="O96" s="18"/>
      <c r="P96" s="18"/>
      <c r="Q96" s="19"/>
      <c r="R96" s="19"/>
      <c r="S96" s="19"/>
      <c r="T96" s="20"/>
      <c r="U96" s="19"/>
      <c r="V96" s="19"/>
      <c r="W96" s="20"/>
      <c r="X96" s="12"/>
      <c r="Y96" s="12"/>
      <c r="Z96" s="12"/>
      <c r="AA96" s="12"/>
      <c r="AB96" s="12"/>
      <c r="AC96" s="12"/>
      <c r="AD96" s="12"/>
      <c r="AE96" s="12"/>
      <c r="AF96" s="12"/>
    </row>
    <row r="97" spans="1:32" ht="12.75" customHeight="1" x14ac:dyDescent="0.25">
      <c r="A97" s="36"/>
      <c r="B97" s="36"/>
      <c r="C97" s="36"/>
      <c r="D97" s="36"/>
      <c r="E97" s="36"/>
      <c r="F97" s="37"/>
      <c r="G97" s="12"/>
      <c r="H97" s="12"/>
      <c r="I97" s="38"/>
      <c r="J97" s="38"/>
      <c r="K97" s="39"/>
      <c r="L97" s="16"/>
      <c r="M97" s="16"/>
      <c r="N97" s="17"/>
      <c r="O97" s="18"/>
      <c r="P97" s="18"/>
      <c r="Q97" s="19"/>
      <c r="R97" s="19"/>
      <c r="S97" s="19"/>
      <c r="T97" s="20"/>
      <c r="U97" s="19"/>
      <c r="V97" s="19"/>
      <c r="W97" s="20"/>
      <c r="X97" s="12"/>
      <c r="Y97" s="12"/>
      <c r="Z97" s="12"/>
      <c r="AA97" s="12"/>
      <c r="AB97" s="12"/>
      <c r="AC97" s="12"/>
      <c r="AD97" s="12"/>
      <c r="AE97" s="12"/>
      <c r="AF97" s="12"/>
    </row>
    <row r="98" spans="1:32" ht="12.75" customHeight="1" x14ac:dyDescent="0.25">
      <c r="A98" s="36"/>
      <c r="B98" s="36"/>
      <c r="C98" s="36"/>
      <c r="D98" s="36"/>
      <c r="E98" s="36"/>
      <c r="F98" s="37"/>
      <c r="G98" s="12"/>
      <c r="H98" s="12"/>
      <c r="I98" s="38"/>
      <c r="J98" s="38"/>
      <c r="K98" s="39"/>
      <c r="L98" s="16"/>
      <c r="M98" s="16"/>
      <c r="N98" s="17"/>
      <c r="O98" s="18"/>
      <c r="P98" s="18"/>
      <c r="Q98" s="19"/>
      <c r="R98" s="19"/>
      <c r="S98" s="19"/>
      <c r="T98" s="20"/>
      <c r="U98" s="19"/>
      <c r="V98" s="19"/>
      <c r="W98" s="20"/>
      <c r="X98" s="12"/>
      <c r="Y98" s="12"/>
      <c r="Z98" s="12"/>
      <c r="AA98" s="12"/>
      <c r="AB98" s="12"/>
      <c r="AC98" s="12"/>
      <c r="AD98" s="12"/>
      <c r="AE98" s="12"/>
      <c r="AF98" s="12"/>
    </row>
    <row r="99" spans="1:32" ht="12.75" customHeight="1" x14ac:dyDescent="0.25">
      <c r="A99" s="36"/>
      <c r="B99" s="36"/>
      <c r="C99" s="36"/>
      <c r="D99" s="36"/>
      <c r="E99" s="36"/>
      <c r="F99" s="37"/>
      <c r="G99" s="12"/>
      <c r="H99" s="12"/>
      <c r="I99" s="38"/>
      <c r="J99" s="38"/>
      <c r="K99" s="39"/>
      <c r="L99" s="16"/>
      <c r="M99" s="16"/>
      <c r="N99" s="17"/>
      <c r="O99" s="18"/>
      <c r="P99" s="18"/>
      <c r="Q99" s="19"/>
      <c r="R99" s="19"/>
      <c r="S99" s="19"/>
      <c r="T99" s="20"/>
      <c r="U99" s="19"/>
      <c r="V99" s="19"/>
      <c r="W99" s="20"/>
      <c r="X99" s="12"/>
      <c r="Y99" s="12"/>
      <c r="Z99" s="12"/>
      <c r="AA99" s="12"/>
      <c r="AB99" s="12"/>
      <c r="AC99" s="12"/>
      <c r="AD99" s="12"/>
      <c r="AE99" s="12"/>
      <c r="AF99" s="12"/>
    </row>
    <row r="100" spans="1:32" ht="12.75" customHeight="1" x14ac:dyDescent="0.25">
      <c r="A100" s="36"/>
      <c r="B100" s="36"/>
      <c r="C100" s="36"/>
      <c r="D100" s="36"/>
      <c r="E100" s="36"/>
      <c r="F100" s="37"/>
      <c r="G100" s="12"/>
      <c r="H100" s="12"/>
      <c r="I100" s="38"/>
      <c r="J100" s="38"/>
      <c r="K100" s="39"/>
      <c r="L100" s="16"/>
      <c r="M100" s="16"/>
      <c r="N100" s="17"/>
      <c r="O100" s="18"/>
      <c r="P100" s="18"/>
      <c r="Q100" s="19"/>
      <c r="R100" s="19"/>
      <c r="S100" s="19"/>
      <c r="T100" s="20"/>
      <c r="U100" s="19"/>
      <c r="V100" s="19"/>
      <c r="W100" s="20"/>
      <c r="X100" s="12"/>
      <c r="Y100" s="12"/>
      <c r="Z100" s="12"/>
      <c r="AA100" s="12"/>
      <c r="AB100" s="12"/>
      <c r="AC100" s="12"/>
      <c r="AD100" s="12"/>
      <c r="AE100" s="12"/>
      <c r="AF100" s="12"/>
    </row>
    <row r="101" spans="1:32" ht="12.75" customHeight="1" x14ac:dyDescent="0.25">
      <c r="A101" s="36"/>
      <c r="B101" s="36"/>
      <c r="C101" s="36"/>
      <c r="D101" s="36"/>
      <c r="E101" s="36"/>
      <c r="F101" s="37"/>
      <c r="G101" s="12"/>
      <c r="H101" s="12"/>
      <c r="I101" s="38"/>
      <c r="J101" s="38"/>
      <c r="K101" s="39"/>
      <c r="L101" s="16"/>
      <c r="M101" s="16"/>
      <c r="N101" s="17"/>
      <c r="O101" s="18"/>
      <c r="P101" s="18"/>
      <c r="Q101" s="19"/>
      <c r="R101" s="19"/>
      <c r="S101" s="19"/>
      <c r="T101" s="20"/>
      <c r="U101" s="19"/>
      <c r="V101" s="19"/>
      <c r="W101" s="20"/>
      <c r="X101" s="12"/>
      <c r="Y101" s="12"/>
      <c r="Z101" s="12"/>
      <c r="AA101" s="12"/>
      <c r="AB101" s="12"/>
      <c r="AC101" s="12"/>
      <c r="AD101" s="12"/>
      <c r="AE101" s="12"/>
      <c r="AF101" s="12"/>
    </row>
    <row r="102" spans="1:32" ht="12.75" customHeight="1" x14ac:dyDescent="0.25">
      <c r="A102" s="36"/>
      <c r="B102" s="36"/>
      <c r="C102" s="36"/>
      <c r="D102" s="36"/>
      <c r="E102" s="36"/>
      <c r="F102" s="37"/>
      <c r="G102" s="12"/>
      <c r="H102" s="12"/>
      <c r="I102" s="38"/>
      <c r="J102" s="38"/>
      <c r="K102" s="39"/>
      <c r="L102" s="16"/>
      <c r="M102" s="16"/>
      <c r="N102" s="17"/>
      <c r="O102" s="18"/>
      <c r="P102" s="18"/>
      <c r="Q102" s="19"/>
      <c r="R102" s="19"/>
      <c r="S102" s="19"/>
      <c r="T102" s="20"/>
      <c r="U102" s="19"/>
      <c r="V102" s="19"/>
      <c r="W102" s="20"/>
      <c r="X102" s="12"/>
      <c r="Y102" s="12"/>
      <c r="Z102" s="12"/>
      <c r="AA102" s="12"/>
      <c r="AB102" s="12"/>
      <c r="AC102" s="12"/>
      <c r="AD102" s="12"/>
      <c r="AE102" s="12"/>
      <c r="AF102" s="12"/>
    </row>
    <row r="103" spans="1:32" ht="12.75" customHeight="1" x14ac:dyDescent="0.25">
      <c r="A103" s="36"/>
      <c r="B103" s="36"/>
      <c r="C103" s="36"/>
      <c r="D103" s="36"/>
      <c r="E103" s="36"/>
      <c r="F103" s="37"/>
      <c r="G103" s="12"/>
      <c r="H103" s="12"/>
      <c r="I103" s="38"/>
      <c r="J103" s="38"/>
      <c r="K103" s="39"/>
      <c r="L103" s="16"/>
      <c r="M103" s="16"/>
      <c r="N103" s="17"/>
      <c r="O103" s="18"/>
      <c r="P103" s="18"/>
      <c r="Q103" s="19"/>
      <c r="R103" s="19"/>
      <c r="S103" s="19"/>
      <c r="T103" s="20"/>
      <c r="U103" s="19"/>
      <c r="V103" s="19"/>
      <c r="W103" s="20"/>
      <c r="X103" s="12"/>
      <c r="Y103" s="12"/>
      <c r="Z103" s="12"/>
      <c r="AA103" s="12"/>
      <c r="AB103" s="12"/>
      <c r="AC103" s="12"/>
      <c r="AD103" s="12"/>
      <c r="AE103" s="12"/>
      <c r="AF103" s="12"/>
    </row>
    <row r="104" spans="1:32" ht="12.75" customHeight="1" x14ac:dyDescent="0.25">
      <c r="A104" s="36"/>
      <c r="B104" s="36"/>
      <c r="C104" s="36"/>
      <c r="D104" s="36"/>
      <c r="E104" s="36"/>
      <c r="F104" s="37"/>
      <c r="G104" s="12"/>
      <c r="H104" s="12"/>
      <c r="I104" s="38"/>
      <c r="J104" s="38"/>
      <c r="K104" s="39"/>
      <c r="L104" s="16"/>
      <c r="M104" s="16"/>
      <c r="N104" s="17"/>
      <c r="O104" s="18"/>
      <c r="P104" s="18"/>
      <c r="Q104" s="19"/>
      <c r="R104" s="19"/>
      <c r="S104" s="19"/>
      <c r="T104" s="20"/>
      <c r="U104" s="19"/>
      <c r="V104" s="19"/>
      <c r="W104" s="20"/>
      <c r="X104" s="12"/>
      <c r="Y104" s="12"/>
      <c r="Z104" s="12"/>
      <c r="AA104" s="12"/>
      <c r="AB104" s="12"/>
      <c r="AC104" s="12"/>
      <c r="AD104" s="12"/>
      <c r="AE104" s="12"/>
      <c r="AF104" s="12"/>
    </row>
    <row r="105" spans="1:32" ht="12.75" customHeight="1" x14ac:dyDescent="0.25">
      <c r="A105" s="36"/>
      <c r="B105" s="36"/>
      <c r="C105" s="36"/>
      <c r="D105" s="36"/>
      <c r="E105" s="36"/>
      <c r="F105" s="37"/>
      <c r="G105" s="12"/>
      <c r="H105" s="12"/>
      <c r="I105" s="38"/>
      <c r="J105" s="38"/>
      <c r="K105" s="39"/>
      <c r="L105" s="16"/>
      <c r="M105" s="16"/>
      <c r="N105" s="17"/>
      <c r="O105" s="18"/>
      <c r="P105" s="18"/>
      <c r="Q105" s="19"/>
      <c r="R105" s="19"/>
      <c r="S105" s="19"/>
      <c r="T105" s="20"/>
      <c r="U105" s="19"/>
      <c r="V105" s="19"/>
      <c r="W105" s="20"/>
      <c r="X105" s="12"/>
      <c r="Y105" s="12"/>
      <c r="Z105" s="12"/>
      <c r="AA105" s="12"/>
      <c r="AB105" s="12"/>
      <c r="AC105" s="12"/>
      <c r="AD105" s="12"/>
      <c r="AE105" s="12"/>
      <c r="AF105" s="12"/>
    </row>
    <row r="106" spans="1:32" ht="12.75" customHeight="1" x14ac:dyDescent="0.25">
      <c r="A106" s="36"/>
      <c r="B106" s="36"/>
      <c r="C106" s="36"/>
      <c r="D106" s="36"/>
      <c r="E106" s="36"/>
      <c r="F106" s="37"/>
      <c r="G106" s="12"/>
      <c r="H106" s="12"/>
      <c r="I106" s="38"/>
      <c r="J106" s="38"/>
      <c r="K106" s="39"/>
      <c r="L106" s="16"/>
      <c r="M106" s="16"/>
      <c r="N106" s="17"/>
      <c r="O106" s="18"/>
      <c r="P106" s="18"/>
      <c r="Q106" s="19"/>
      <c r="R106" s="19"/>
      <c r="S106" s="19"/>
      <c r="T106" s="20"/>
      <c r="U106" s="19"/>
      <c r="V106" s="19"/>
      <c r="W106" s="20"/>
      <c r="X106" s="12"/>
      <c r="Y106" s="12"/>
      <c r="Z106" s="12"/>
      <c r="AA106" s="12"/>
      <c r="AB106" s="12"/>
      <c r="AC106" s="12"/>
      <c r="AD106" s="12"/>
      <c r="AE106" s="12"/>
      <c r="AF106" s="12"/>
    </row>
    <row r="107" spans="1:32" ht="12.75" customHeight="1" x14ac:dyDescent="0.25">
      <c r="A107" s="36"/>
      <c r="B107" s="36"/>
      <c r="C107" s="36"/>
      <c r="D107" s="36"/>
      <c r="E107" s="36"/>
      <c r="F107" s="37"/>
      <c r="G107" s="12"/>
      <c r="H107" s="12"/>
      <c r="I107" s="38"/>
      <c r="J107" s="38"/>
      <c r="K107" s="39"/>
      <c r="L107" s="16"/>
      <c r="M107" s="16"/>
      <c r="N107" s="17"/>
      <c r="O107" s="18"/>
      <c r="P107" s="18"/>
      <c r="Q107" s="19"/>
      <c r="R107" s="19"/>
      <c r="S107" s="19"/>
      <c r="T107" s="20"/>
      <c r="U107" s="19"/>
      <c r="V107" s="19"/>
      <c r="W107" s="20"/>
      <c r="X107" s="12"/>
      <c r="Y107" s="12"/>
      <c r="Z107" s="12"/>
      <c r="AA107" s="12"/>
      <c r="AB107" s="12"/>
      <c r="AC107" s="12"/>
      <c r="AD107" s="12"/>
      <c r="AE107" s="12"/>
      <c r="AF107" s="12"/>
    </row>
    <row r="108" spans="1:32" ht="12.75" customHeight="1" x14ac:dyDescent="0.25">
      <c r="A108" s="36"/>
      <c r="B108" s="36"/>
      <c r="C108" s="36"/>
      <c r="D108" s="36"/>
      <c r="E108" s="36"/>
      <c r="F108" s="37"/>
      <c r="G108" s="12"/>
      <c r="H108" s="12"/>
      <c r="I108" s="38"/>
      <c r="J108" s="38"/>
      <c r="K108" s="39"/>
      <c r="L108" s="16"/>
      <c r="M108" s="16"/>
      <c r="N108" s="17"/>
      <c r="O108" s="18"/>
      <c r="P108" s="18"/>
      <c r="Q108" s="19"/>
      <c r="R108" s="19"/>
      <c r="S108" s="19"/>
      <c r="T108" s="20"/>
      <c r="U108" s="19"/>
      <c r="V108" s="19"/>
      <c r="W108" s="20"/>
      <c r="X108" s="12"/>
      <c r="Y108" s="12"/>
      <c r="Z108" s="12"/>
      <c r="AA108" s="12"/>
      <c r="AB108" s="12"/>
      <c r="AC108" s="12"/>
      <c r="AD108" s="12"/>
      <c r="AE108" s="12"/>
      <c r="AF108" s="12"/>
    </row>
    <row r="109" spans="1:32" ht="12.75" customHeight="1" x14ac:dyDescent="0.25">
      <c r="A109" s="36"/>
      <c r="B109" s="36"/>
      <c r="C109" s="36"/>
      <c r="D109" s="36"/>
      <c r="E109" s="36"/>
      <c r="F109" s="37"/>
      <c r="G109" s="12"/>
      <c r="H109" s="12"/>
      <c r="I109" s="38"/>
      <c r="J109" s="38"/>
      <c r="K109" s="39"/>
      <c r="L109" s="16"/>
      <c r="M109" s="16"/>
      <c r="N109" s="17"/>
      <c r="O109" s="18"/>
      <c r="P109" s="18"/>
      <c r="Q109" s="19"/>
      <c r="R109" s="19"/>
      <c r="S109" s="19"/>
      <c r="T109" s="20"/>
      <c r="U109" s="19"/>
      <c r="V109" s="19"/>
      <c r="W109" s="20"/>
      <c r="X109" s="12"/>
      <c r="Y109" s="12"/>
      <c r="Z109" s="12"/>
      <c r="AA109" s="12"/>
      <c r="AB109" s="12"/>
      <c r="AC109" s="12"/>
      <c r="AD109" s="12"/>
      <c r="AE109" s="12"/>
      <c r="AF109" s="12"/>
    </row>
    <row r="110" spans="1:32" ht="12.75" customHeight="1" x14ac:dyDescent="0.25">
      <c r="A110" s="36"/>
      <c r="B110" s="36"/>
      <c r="C110" s="36"/>
      <c r="D110" s="36"/>
      <c r="E110" s="36"/>
      <c r="F110" s="37"/>
      <c r="G110" s="12"/>
      <c r="H110" s="12"/>
      <c r="I110" s="38"/>
      <c r="J110" s="38"/>
      <c r="K110" s="39"/>
      <c r="L110" s="16"/>
      <c r="M110" s="16"/>
      <c r="N110" s="17"/>
      <c r="O110" s="18"/>
      <c r="P110" s="18"/>
      <c r="Q110" s="19"/>
      <c r="R110" s="19"/>
      <c r="S110" s="19"/>
      <c r="T110" s="20"/>
      <c r="U110" s="19"/>
      <c r="V110" s="19"/>
      <c r="W110" s="20"/>
      <c r="X110" s="12"/>
      <c r="Y110" s="12"/>
      <c r="Z110" s="12"/>
      <c r="AA110" s="12"/>
      <c r="AB110" s="12"/>
      <c r="AC110" s="12"/>
      <c r="AD110" s="12"/>
      <c r="AE110" s="12"/>
      <c r="AF110" s="12"/>
    </row>
    <row r="111" spans="1:32" ht="12.75" customHeight="1" x14ac:dyDescent="0.25">
      <c r="A111" s="36"/>
      <c r="B111" s="36"/>
      <c r="C111" s="36"/>
      <c r="D111" s="36"/>
      <c r="E111" s="36"/>
      <c r="F111" s="37"/>
      <c r="G111" s="12"/>
      <c r="H111" s="12"/>
      <c r="I111" s="38"/>
      <c r="J111" s="38"/>
      <c r="K111" s="39"/>
      <c r="L111" s="16"/>
      <c r="M111" s="16"/>
      <c r="N111" s="17"/>
      <c r="O111" s="18"/>
      <c r="P111" s="18"/>
      <c r="Q111" s="19"/>
      <c r="R111" s="19"/>
      <c r="S111" s="19"/>
      <c r="T111" s="20"/>
      <c r="U111" s="19"/>
      <c r="V111" s="19"/>
      <c r="W111" s="20"/>
      <c r="X111" s="12"/>
      <c r="Y111" s="12"/>
      <c r="Z111" s="12"/>
      <c r="AA111" s="12"/>
      <c r="AB111" s="12"/>
      <c r="AC111" s="12"/>
      <c r="AD111" s="12"/>
      <c r="AE111" s="12"/>
      <c r="AF111" s="12"/>
    </row>
    <row r="112" spans="1:32" ht="12.75" customHeight="1" x14ac:dyDescent="0.25">
      <c r="A112" s="36"/>
      <c r="B112" s="36"/>
      <c r="C112" s="36"/>
      <c r="D112" s="36"/>
      <c r="E112" s="36"/>
      <c r="F112" s="37"/>
      <c r="G112" s="12"/>
      <c r="H112" s="12"/>
      <c r="I112" s="38"/>
      <c r="J112" s="38"/>
      <c r="K112" s="39"/>
      <c r="L112" s="16"/>
      <c r="M112" s="16"/>
      <c r="N112" s="17"/>
      <c r="O112" s="18"/>
      <c r="P112" s="18"/>
      <c r="Q112" s="19"/>
      <c r="R112" s="19"/>
      <c r="S112" s="19"/>
      <c r="T112" s="20"/>
      <c r="U112" s="19"/>
      <c r="V112" s="19"/>
      <c r="W112" s="20"/>
      <c r="X112" s="12"/>
      <c r="Y112" s="12"/>
      <c r="Z112" s="12"/>
      <c r="AA112" s="12"/>
      <c r="AB112" s="12"/>
      <c r="AC112" s="12"/>
      <c r="AD112" s="12"/>
      <c r="AE112" s="12"/>
      <c r="AF112" s="12"/>
    </row>
    <row r="113" spans="1:32" ht="12.75" customHeight="1" x14ac:dyDescent="0.25">
      <c r="A113" s="36"/>
      <c r="B113" s="36"/>
      <c r="C113" s="36"/>
      <c r="D113" s="36"/>
      <c r="E113" s="36"/>
      <c r="F113" s="37"/>
      <c r="G113" s="12"/>
      <c r="H113" s="12"/>
      <c r="I113" s="38"/>
      <c r="J113" s="38"/>
      <c r="K113" s="39"/>
      <c r="L113" s="16"/>
      <c r="M113" s="16"/>
      <c r="N113" s="17"/>
      <c r="O113" s="18"/>
      <c r="P113" s="18"/>
      <c r="Q113" s="19"/>
      <c r="R113" s="19"/>
      <c r="S113" s="19"/>
      <c r="T113" s="20"/>
      <c r="U113" s="19"/>
      <c r="V113" s="19"/>
      <c r="W113" s="20"/>
      <c r="X113" s="12"/>
      <c r="Y113" s="12"/>
      <c r="Z113" s="12"/>
      <c r="AA113" s="12"/>
      <c r="AB113" s="12"/>
      <c r="AC113" s="12"/>
      <c r="AD113" s="12"/>
      <c r="AE113" s="12"/>
      <c r="AF113" s="12"/>
    </row>
    <row r="114" spans="1:32" ht="12.75" customHeight="1" x14ac:dyDescent="0.25">
      <c r="A114" s="36"/>
      <c r="B114" s="36"/>
      <c r="C114" s="36"/>
      <c r="D114" s="36"/>
      <c r="E114" s="36"/>
      <c r="F114" s="37"/>
      <c r="G114" s="12"/>
      <c r="H114" s="12"/>
      <c r="I114" s="38"/>
      <c r="J114" s="38"/>
      <c r="K114" s="39"/>
      <c r="L114" s="16"/>
      <c r="M114" s="16"/>
      <c r="N114" s="17"/>
      <c r="O114" s="18"/>
      <c r="P114" s="18"/>
      <c r="Q114" s="19"/>
      <c r="R114" s="19"/>
      <c r="S114" s="19"/>
      <c r="T114" s="20"/>
      <c r="U114" s="19"/>
      <c r="V114" s="19"/>
      <c r="W114" s="20"/>
      <c r="X114" s="12"/>
      <c r="Y114" s="12"/>
      <c r="Z114" s="12"/>
      <c r="AA114" s="12"/>
      <c r="AB114" s="12"/>
      <c r="AC114" s="12"/>
      <c r="AD114" s="12"/>
      <c r="AE114" s="12"/>
      <c r="AF114" s="12"/>
    </row>
    <row r="115" spans="1:32" ht="12.75" customHeight="1" x14ac:dyDescent="0.25">
      <c r="A115" s="36"/>
      <c r="B115" s="36"/>
      <c r="C115" s="36"/>
      <c r="D115" s="36"/>
      <c r="E115" s="36"/>
      <c r="F115" s="37"/>
      <c r="G115" s="12"/>
      <c r="H115" s="12"/>
      <c r="I115" s="38"/>
      <c r="J115" s="38"/>
      <c r="K115" s="39"/>
      <c r="L115" s="16"/>
      <c r="M115" s="16"/>
      <c r="N115" s="17"/>
      <c r="O115" s="18"/>
      <c r="P115" s="18"/>
      <c r="Q115" s="19"/>
      <c r="R115" s="19"/>
      <c r="S115" s="19"/>
      <c r="T115" s="20"/>
      <c r="U115" s="19"/>
      <c r="V115" s="19"/>
      <c r="W115" s="20"/>
      <c r="X115" s="12"/>
      <c r="Y115" s="12"/>
      <c r="Z115" s="12"/>
      <c r="AA115" s="12"/>
      <c r="AB115" s="12"/>
      <c r="AC115" s="12"/>
      <c r="AD115" s="12"/>
      <c r="AE115" s="12"/>
      <c r="AF115" s="12"/>
    </row>
    <row r="116" spans="1:32" ht="12.75" customHeight="1" x14ac:dyDescent="0.25">
      <c r="A116" s="36"/>
      <c r="B116" s="36"/>
      <c r="C116" s="36"/>
      <c r="D116" s="36"/>
      <c r="E116" s="36"/>
      <c r="F116" s="37"/>
      <c r="G116" s="12"/>
      <c r="H116" s="12"/>
      <c r="I116" s="38"/>
      <c r="J116" s="38"/>
      <c r="K116" s="39"/>
      <c r="L116" s="16"/>
      <c r="M116" s="16"/>
      <c r="N116" s="17"/>
      <c r="O116" s="18"/>
      <c r="P116" s="18"/>
      <c r="Q116" s="19"/>
      <c r="R116" s="19"/>
      <c r="S116" s="19"/>
      <c r="T116" s="20"/>
      <c r="U116" s="19"/>
      <c r="V116" s="19"/>
      <c r="W116" s="20"/>
      <c r="X116" s="12"/>
      <c r="Y116" s="12"/>
      <c r="Z116" s="12"/>
      <c r="AA116" s="12"/>
      <c r="AB116" s="12"/>
      <c r="AC116" s="12"/>
      <c r="AD116" s="12"/>
      <c r="AE116" s="12"/>
      <c r="AF116" s="12"/>
    </row>
    <row r="117" spans="1:32" ht="12.75" customHeight="1" x14ac:dyDescent="0.25">
      <c r="A117" s="36"/>
      <c r="B117" s="36"/>
      <c r="C117" s="36"/>
      <c r="D117" s="36"/>
      <c r="E117" s="36"/>
      <c r="F117" s="37"/>
      <c r="G117" s="12"/>
      <c r="H117" s="12"/>
      <c r="I117" s="38"/>
      <c r="J117" s="38"/>
      <c r="K117" s="39"/>
      <c r="L117" s="16"/>
      <c r="M117" s="16"/>
      <c r="N117" s="17"/>
      <c r="O117" s="18"/>
      <c r="P117" s="18"/>
      <c r="Q117" s="19"/>
      <c r="R117" s="19"/>
      <c r="S117" s="19"/>
      <c r="T117" s="20"/>
      <c r="U117" s="19"/>
      <c r="V117" s="19"/>
      <c r="W117" s="20"/>
      <c r="X117" s="12"/>
      <c r="Y117" s="12"/>
      <c r="Z117" s="12"/>
      <c r="AA117" s="12"/>
      <c r="AB117" s="12"/>
      <c r="AC117" s="12"/>
      <c r="AD117" s="12"/>
      <c r="AE117" s="12"/>
      <c r="AF117" s="12"/>
    </row>
    <row r="118" spans="1:32" ht="12.75" customHeight="1" x14ac:dyDescent="0.25">
      <c r="A118" s="36"/>
      <c r="B118" s="36"/>
      <c r="C118" s="36"/>
      <c r="D118" s="36"/>
      <c r="E118" s="36"/>
      <c r="F118" s="37"/>
      <c r="G118" s="12"/>
      <c r="H118" s="12"/>
      <c r="I118" s="38"/>
      <c r="J118" s="38"/>
      <c r="K118" s="39"/>
      <c r="L118" s="16"/>
      <c r="M118" s="16"/>
      <c r="N118" s="17"/>
      <c r="O118" s="18"/>
      <c r="P118" s="18"/>
      <c r="Q118" s="19"/>
      <c r="R118" s="19"/>
      <c r="S118" s="19"/>
      <c r="T118" s="20"/>
      <c r="U118" s="19"/>
      <c r="V118" s="19"/>
      <c r="W118" s="20"/>
      <c r="X118" s="12"/>
      <c r="Y118" s="12"/>
      <c r="Z118" s="12"/>
      <c r="AA118" s="12"/>
      <c r="AB118" s="12"/>
      <c r="AC118" s="12"/>
      <c r="AD118" s="12"/>
      <c r="AE118" s="12"/>
      <c r="AF118" s="12"/>
    </row>
    <row r="119" spans="1:32" ht="12.75" customHeight="1" x14ac:dyDescent="0.25">
      <c r="A119" s="36"/>
      <c r="B119" s="36"/>
      <c r="C119" s="36"/>
      <c r="D119" s="36"/>
      <c r="E119" s="36"/>
      <c r="F119" s="37"/>
      <c r="G119" s="12"/>
      <c r="H119" s="12"/>
      <c r="I119" s="38"/>
      <c r="J119" s="38"/>
      <c r="K119" s="39"/>
      <c r="L119" s="16"/>
      <c r="M119" s="16"/>
      <c r="N119" s="17"/>
      <c r="O119" s="18"/>
      <c r="P119" s="18"/>
      <c r="Q119" s="19"/>
      <c r="R119" s="19"/>
      <c r="S119" s="19"/>
      <c r="T119" s="20"/>
      <c r="U119" s="19"/>
      <c r="V119" s="19"/>
      <c r="W119" s="20"/>
      <c r="X119" s="12"/>
      <c r="Y119" s="12"/>
      <c r="Z119" s="12"/>
      <c r="AA119" s="12"/>
      <c r="AB119" s="12"/>
      <c r="AC119" s="12"/>
      <c r="AD119" s="12"/>
      <c r="AE119" s="12"/>
      <c r="AF119" s="12"/>
    </row>
    <row r="120" spans="1:32" ht="12.75" customHeight="1" x14ac:dyDescent="0.25">
      <c r="A120" s="36"/>
      <c r="B120" s="36"/>
      <c r="C120" s="36"/>
      <c r="D120" s="36"/>
      <c r="E120" s="36"/>
      <c r="F120" s="37"/>
      <c r="G120" s="12"/>
      <c r="H120" s="12"/>
      <c r="I120" s="38"/>
      <c r="J120" s="38"/>
      <c r="K120" s="39"/>
      <c r="L120" s="16"/>
      <c r="M120" s="16"/>
      <c r="N120" s="17"/>
      <c r="O120" s="18"/>
      <c r="P120" s="18"/>
      <c r="Q120" s="19"/>
      <c r="R120" s="19"/>
      <c r="S120" s="19"/>
      <c r="T120" s="20"/>
      <c r="U120" s="19"/>
      <c r="V120" s="19"/>
      <c r="W120" s="20"/>
      <c r="X120" s="12"/>
      <c r="Y120" s="12"/>
      <c r="Z120" s="12"/>
      <c r="AA120" s="12"/>
      <c r="AB120" s="12"/>
      <c r="AC120" s="12"/>
      <c r="AD120" s="12"/>
      <c r="AE120" s="12"/>
      <c r="AF120" s="12"/>
    </row>
    <row r="121" spans="1:32" ht="12.75" customHeight="1" x14ac:dyDescent="0.25">
      <c r="A121" s="36"/>
      <c r="B121" s="36"/>
      <c r="C121" s="36"/>
      <c r="D121" s="36"/>
      <c r="E121" s="36"/>
      <c r="F121" s="37"/>
      <c r="G121" s="12"/>
      <c r="H121" s="12"/>
      <c r="I121" s="38"/>
      <c r="J121" s="38"/>
      <c r="K121" s="39"/>
      <c r="L121" s="16"/>
      <c r="M121" s="16"/>
      <c r="N121" s="17"/>
      <c r="O121" s="18"/>
      <c r="P121" s="18"/>
      <c r="Q121" s="19"/>
      <c r="R121" s="19"/>
      <c r="S121" s="19"/>
      <c r="T121" s="20"/>
      <c r="U121" s="19"/>
      <c r="V121" s="19"/>
      <c r="W121" s="20"/>
      <c r="X121" s="12"/>
      <c r="Y121" s="12"/>
      <c r="Z121" s="12"/>
      <c r="AA121" s="12"/>
      <c r="AB121" s="12"/>
      <c r="AC121" s="12"/>
      <c r="AD121" s="12"/>
      <c r="AE121" s="12"/>
      <c r="AF121" s="12"/>
    </row>
    <row r="122" spans="1:32" ht="12.75" customHeight="1" x14ac:dyDescent="0.25">
      <c r="A122" s="36"/>
      <c r="B122" s="36"/>
      <c r="C122" s="36"/>
      <c r="D122" s="36"/>
      <c r="E122" s="36"/>
      <c r="F122" s="37"/>
      <c r="G122" s="12"/>
      <c r="H122" s="12"/>
      <c r="I122" s="38"/>
      <c r="J122" s="38"/>
      <c r="K122" s="39"/>
      <c r="L122" s="16"/>
      <c r="M122" s="16"/>
      <c r="N122" s="17"/>
      <c r="O122" s="18"/>
      <c r="P122" s="18"/>
      <c r="Q122" s="19"/>
      <c r="R122" s="19"/>
      <c r="S122" s="19"/>
      <c r="T122" s="20"/>
      <c r="U122" s="19"/>
      <c r="V122" s="19"/>
      <c r="W122" s="20"/>
      <c r="X122" s="12"/>
      <c r="Y122" s="12"/>
      <c r="Z122" s="12"/>
      <c r="AA122" s="12"/>
      <c r="AB122" s="12"/>
      <c r="AC122" s="12"/>
      <c r="AD122" s="12"/>
      <c r="AE122" s="12"/>
      <c r="AF122" s="12"/>
    </row>
    <row r="123" spans="1:32" ht="12.75" customHeight="1" x14ac:dyDescent="0.25">
      <c r="A123" s="36"/>
      <c r="B123" s="36"/>
      <c r="C123" s="36"/>
      <c r="D123" s="36"/>
      <c r="E123" s="36"/>
      <c r="F123" s="37"/>
      <c r="G123" s="12"/>
      <c r="H123" s="12"/>
      <c r="I123" s="38"/>
      <c r="J123" s="38"/>
      <c r="K123" s="39"/>
      <c r="L123" s="16"/>
      <c r="M123" s="16"/>
      <c r="N123" s="17"/>
      <c r="O123" s="18"/>
      <c r="P123" s="18"/>
      <c r="Q123" s="19"/>
      <c r="R123" s="19"/>
      <c r="S123" s="19"/>
      <c r="T123" s="20"/>
      <c r="U123" s="19"/>
      <c r="V123" s="19"/>
      <c r="W123" s="20"/>
      <c r="X123" s="12"/>
      <c r="Y123" s="12"/>
      <c r="Z123" s="12"/>
      <c r="AA123" s="12"/>
      <c r="AB123" s="12"/>
      <c r="AC123" s="12"/>
      <c r="AD123" s="12"/>
      <c r="AE123" s="12"/>
      <c r="AF123" s="12"/>
    </row>
    <row r="124" spans="1:32" ht="12.75" customHeight="1" x14ac:dyDescent="0.25">
      <c r="A124" s="36"/>
      <c r="B124" s="36"/>
      <c r="C124" s="36"/>
      <c r="D124" s="36"/>
      <c r="E124" s="36"/>
      <c r="F124" s="37"/>
      <c r="G124" s="12"/>
      <c r="H124" s="12"/>
      <c r="I124" s="38"/>
      <c r="J124" s="38"/>
      <c r="K124" s="39"/>
      <c r="L124" s="16"/>
      <c r="M124" s="16"/>
      <c r="N124" s="17"/>
      <c r="O124" s="18"/>
      <c r="P124" s="18"/>
      <c r="Q124" s="19"/>
      <c r="R124" s="19"/>
      <c r="S124" s="19"/>
      <c r="T124" s="20"/>
      <c r="U124" s="19"/>
      <c r="V124" s="19"/>
      <c r="W124" s="20"/>
      <c r="X124" s="12"/>
      <c r="Y124" s="12"/>
      <c r="Z124" s="12"/>
      <c r="AA124" s="12"/>
      <c r="AB124" s="12"/>
      <c r="AC124" s="12"/>
      <c r="AD124" s="12"/>
      <c r="AE124" s="12"/>
      <c r="AF124" s="12"/>
    </row>
    <row r="125" spans="1:32" ht="12.75" customHeight="1" x14ac:dyDescent="0.25">
      <c r="A125" s="36"/>
      <c r="B125" s="36"/>
      <c r="C125" s="36"/>
      <c r="D125" s="36"/>
      <c r="E125" s="36"/>
      <c r="F125" s="37"/>
      <c r="G125" s="12"/>
      <c r="H125" s="12"/>
      <c r="I125" s="38"/>
      <c r="J125" s="38"/>
      <c r="K125" s="39"/>
      <c r="L125" s="16"/>
      <c r="M125" s="16"/>
      <c r="N125" s="17"/>
      <c r="O125" s="18"/>
      <c r="P125" s="18"/>
      <c r="Q125" s="19"/>
      <c r="R125" s="19"/>
      <c r="S125" s="19"/>
      <c r="T125" s="20"/>
      <c r="U125" s="19"/>
      <c r="V125" s="19"/>
      <c r="W125" s="20"/>
      <c r="X125" s="12"/>
      <c r="Y125" s="12"/>
      <c r="Z125" s="12"/>
      <c r="AA125" s="12"/>
      <c r="AB125" s="12"/>
      <c r="AC125" s="12"/>
      <c r="AD125" s="12"/>
      <c r="AE125" s="12"/>
      <c r="AF125" s="12"/>
    </row>
    <row r="126" spans="1:32" ht="12.75" customHeight="1" x14ac:dyDescent="0.25">
      <c r="A126" s="36"/>
      <c r="B126" s="36"/>
      <c r="C126" s="36"/>
      <c r="D126" s="36"/>
      <c r="E126" s="36"/>
      <c r="F126" s="37"/>
      <c r="G126" s="12"/>
      <c r="H126" s="12"/>
      <c r="I126" s="38"/>
      <c r="J126" s="38"/>
      <c r="K126" s="39"/>
      <c r="L126" s="16"/>
      <c r="M126" s="16"/>
      <c r="N126" s="17"/>
      <c r="O126" s="18"/>
      <c r="P126" s="18"/>
      <c r="Q126" s="19"/>
      <c r="R126" s="19"/>
      <c r="S126" s="19"/>
      <c r="T126" s="20"/>
      <c r="U126" s="19"/>
      <c r="V126" s="19"/>
      <c r="W126" s="20"/>
      <c r="X126" s="12"/>
      <c r="Y126" s="12"/>
      <c r="Z126" s="12"/>
      <c r="AA126" s="12"/>
      <c r="AB126" s="12"/>
      <c r="AC126" s="12"/>
      <c r="AD126" s="12"/>
      <c r="AE126" s="12"/>
      <c r="AF126" s="12"/>
    </row>
    <row r="127" spans="1:32" ht="12.75" customHeight="1" x14ac:dyDescent="0.25">
      <c r="A127" s="36"/>
      <c r="B127" s="36"/>
      <c r="C127" s="36"/>
      <c r="D127" s="36"/>
      <c r="E127" s="36"/>
      <c r="F127" s="37"/>
      <c r="G127" s="12"/>
      <c r="H127" s="12"/>
      <c r="I127" s="38"/>
      <c r="J127" s="38"/>
      <c r="K127" s="39"/>
      <c r="L127" s="16"/>
      <c r="M127" s="16"/>
      <c r="N127" s="17"/>
      <c r="O127" s="18"/>
      <c r="P127" s="18"/>
      <c r="Q127" s="19"/>
      <c r="R127" s="19"/>
      <c r="S127" s="19"/>
      <c r="T127" s="20"/>
      <c r="U127" s="19"/>
      <c r="V127" s="19"/>
      <c r="W127" s="20"/>
      <c r="X127" s="12"/>
      <c r="Y127" s="12"/>
      <c r="Z127" s="12"/>
      <c r="AA127" s="12"/>
      <c r="AB127" s="12"/>
      <c r="AC127" s="12"/>
      <c r="AD127" s="12"/>
      <c r="AE127" s="12"/>
      <c r="AF127" s="12"/>
    </row>
    <row r="128" spans="1:32" ht="12.75" customHeight="1" x14ac:dyDescent="0.25">
      <c r="A128" s="36"/>
      <c r="B128" s="36"/>
      <c r="C128" s="36"/>
      <c r="D128" s="36"/>
      <c r="E128" s="36"/>
      <c r="F128" s="37"/>
      <c r="G128" s="12"/>
      <c r="H128" s="12"/>
      <c r="I128" s="38"/>
      <c r="J128" s="38"/>
      <c r="K128" s="39"/>
      <c r="L128" s="16"/>
      <c r="M128" s="16"/>
      <c r="N128" s="17"/>
      <c r="O128" s="18"/>
      <c r="P128" s="18"/>
      <c r="Q128" s="19"/>
      <c r="R128" s="19"/>
      <c r="S128" s="19"/>
      <c r="T128" s="20"/>
      <c r="U128" s="19"/>
      <c r="V128" s="19"/>
      <c r="W128" s="20"/>
      <c r="X128" s="12"/>
      <c r="Y128" s="12"/>
      <c r="Z128" s="12"/>
      <c r="AA128" s="12"/>
      <c r="AB128" s="12"/>
      <c r="AC128" s="12"/>
      <c r="AD128" s="12"/>
      <c r="AE128" s="12"/>
      <c r="AF128" s="12"/>
    </row>
    <row r="129" spans="1:32" ht="12.75" customHeight="1" x14ac:dyDescent="0.25">
      <c r="A129" s="36"/>
      <c r="B129" s="36"/>
      <c r="C129" s="36"/>
      <c r="D129" s="36"/>
      <c r="E129" s="36"/>
      <c r="F129" s="37"/>
      <c r="G129" s="12"/>
      <c r="H129" s="12"/>
      <c r="I129" s="38"/>
      <c r="J129" s="38"/>
      <c r="K129" s="39"/>
      <c r="L129" s="16"/>
      <c r="M129" s="16"/>
      <c r="N129" s="17"/>
      <c r="O129" s="18"/>
      <c r="P129" s="18"/>
      <c r="Q129" s="19"/>
      <c r="R129" s="19"/>
      <c r="S129" s="19"/>
      <c r="T129" s="20"/>
      <c r="U129" s="19"/>
      <c r="V129" s="19"/>
      <c r="W129" s="20"/>
      <c r="X129" s="12"/>
      <c r="Y129" s="12"/>
      <c r="Z129" s="12"/>
      <c r="AA129" s="12"/>
      <c r="AB129" s="12"/>
      <c r="AC129" s="12"/>
      <c r="AD129" s="12"/>
      <c r="AE129" s="12"/>
      <c r="AF129" s="12"/>
    </row>
    <row r="130" spans="1:32" ht="12.75" customHeight="1" x14ac:dyDescent="0.25">
      <c r="A130" s="36"/>
      <c r="B130" s="36"/>
      <c r="C130" s="36"/>
      <c r="D130" s="36"/>
      <c r="E130" s="36"/>
      <c r="F130" s="37"/>
      <c r="G130" s="12"/>
      <c r="H130" s="12"/>
      <c r="I130" s="38"/>
      <c r="J130" s="38"/>
      <c r="K130" s="39"/>
      <c r="L130" s="16"/>
      <c r="M130" s="16"/>
      <c r="N130" s="17"/>
      <c r="O130" s="18"/>
      <c r="P130" s="18"/>
      <c r="Q130" s="19"/>
      <c r="R130" s="19"/>
      <c r="S130" s="19"/>
      <c r="T130" s="20"/>
      <c r="U130" s="19"/>
      <c r="V130" s="19"/>
      <c r="W130" s="20"/>
      <c r="X130" s="12"/>
      <c r="Y130" s="12"/>
      <c r="Z130" s="12"/>
      <c r="AA130" s="12"/>
      <c r="AB130" s="12"/>
      <c r="AC130" s="12"/>
      <c r="AD130" s="12"/>
      <c r="AE130" s="12"/>
      <c r="AF130" s="12"/>
    </row>
    <row r="131" spans="1:32" ht="12.75" customHeight="1" x14ac:dyDescent="0.25">
      <c r="A131" s="36"/>
      <c r="B131" s="36"/>
      <c r="C131" s="36"/>
      <c r="D131" s="36"/>
      <c r="E131" s="36"/>
      <c r="F131" s="37"/>
      <c r="G131" s="12"/>
      <c r="H131" s="12"/>
      <c r="I131" s="38"/>
      <c r="J131" s="38"/>
      <c r="K131" s="39"/>
      <c r="L131" s="16"/>
      <c r="M131" s="16"/>
      <c r="N131" s="17"/>
      <c r="O131" s="18"/>
      <c r="P131" s="18"/>
      <c r="Q131" s="19"/>
      <c r="R131" s="19"/>
      <c r="S131" s="19"/>
      <c r="T131" s="20"/>
      <c r="U131" s="19"/>
      <c r="V131" s="19"/>
      <c r="W131" s="20"/>
      <c r="X131" s="12"/>
      <c r="Y131" s="12"/>
      <c r="Z131" s="12"/>
      <c r="AA131" s="12"/>
      <c r="AB131" s="12"/>
      <c r="AC131" s="12"/>
      <c r="AD131" s="12"/>
      <c r="AE131" s="12"/>
      <c r="AF131" s="12"/>
    </row>
    <row r="132" spans="1:32" ht="12.75" customHeight="1" x14ac:dyDescent="0.25">
      <c r="A132" s="36"/>
      <c r="B132" s="36"/>
      <c r="C132" s="36"/>
      <c r="D132" s="36"/>
      <c r="E132" s="36"/>
      <c r="F132" s="37"/>
      <c r="G132" s="12"/>
      <c r="H132" s="12"/>
      <c r="I132" s="38"/>
      <c r="J132" s="38"/>
      <c r="K132" s="39"/>
      <c r="L132" s="16"/>
      <c r="M132" s="16"/>
      <c r="N132" s="17"/>
      <c r="O132" s="18"/>
      <c r="P132" s="18"/>
      <c r="Q132" s="19"/>
      <c r="R132" s="19"/>
      <c r="S132" s="19"/>
      <c r="T132" s="20"/>
      <c r="U132" s="19"/>
      <c r="V132" s="19"/>
      <c r="W132" s="20"/>
      <c r="X132" s="12"/>
      <c r="Y132" s="12"/>
      <c r="Z132" s="12"/>
      <c r="AA132" s="12"/>
      <c r="AB132" s="12"/>
      <c r="AC132" s="12"/>
      <c r="AD132" s="12"/>
      <c r="AE132" s="12"/>
      <c r="AF132" s="12"/>
    </row>
    <row r="133" spans="1:32" ht="12.75" customHeight="1" x14ac:dyDescent="0.25">
      <c r="A133" s="36"/>
      <c r="B133" s="36"/>
      <c r="C133" s="36"/>
      <c r="D133" s="36"/>
      <c r="E133" s="36"/>
      <c r="F133" s="37"/>
      <c r="G133" s="12"/>
      <c r="H133" s="12"/>
      <c r="I133" s="38"/>
      <c r="J133" s="38"/>
      <c r="K133" s="39"/>
      <c r="L133" s="16"/>
      <c r="M133" s="16"/>
      <c r="N133" s="17"/>
      <c r="O133" s="18"/>
      <c r="P133" s="18"/>
      <c r="Q133" s="19"/>
      <c r="R133" s="19"/>
      <c r="S133" s="19"/>
      <c r="T133" s="20"/>
      <c r="U133" s="19"/>
      <c r="V133" s="19"/>
      <c r="W133" s="20"/>
      <c r="X133" s="12"/>
      <c r="Y133" s="12"/>
      <c r="Z133" s="12"/>
      <c r="AA133" s="12"/>
      <c r="AB133" s="12"/>
      <c r="AC133" s="12"/>
      <c r="AD133" s="12"/>
      <c r="AE133" s="12"/>
      <c r="AF133" s="12"/>
    </row>
    <row r="134" spans="1:32" ht="12.75" customHeight="1" x14ac:dyDescent="0.25">
      <c r="A134" s="36"/>
      <c r="B134" s="36"/>
      <c r="C134" s="36"/>
      <c r="D134" s="36"/>
      <c r="E134" s="36"/>
      <c r="F134" s="37"/>
      <c r="G134" s="12"/>
      <c r="H134" s="12"/>
      <c r="I134" s="38"/>
      <c r="J134" s="38"/>
      <c r="K134" s="39"/>
      <c r="L134" s="16"/>
      <c r="M134" s="16"/>
      <c r="N134" s="17"/>
      <c r="O134" s="18"/>
      <c r="P134" s="18"/>
      <c r="Q134" s="19"/>
      <c r="R134" s="19"/>
      <c r="S134" s="19"/>
      <c r="T134" s="20"/>
      <c r="U134" s="19"/>
      <c r="V134" s="19"/>
      <c r="W134" s="20"/>
      <c r="X134" s="12"/>
      <c r="Y134" s="12"/>
      <c r="Z134" s="12"/>
      <c r="AA134" s="12"/>
      <c r="AB134" s="12"/>
      <c r="AC134" s="12"/>
      <c r="AD134" s="12"/>
      <c r="AE134" s="12"/>
      <c r="AF134" s="12"/>
    </row>
    <row r="135" spans="1:32" ht="12.75" customHeight="1" x14ac:dyDescent="0.25">
      <c r="A135" s="36"/>
      <c r="B135" s="36"/>
      <c r="C135" s="36"/>
      <c r="D135" s="36"/>
      <c r="E135" s="36"/>
      <c r="F135" s="37"/>
      <c r="G135" s="12"/>
      <c r="H135" s="12"/>
      <c r="I135" s="38"/>
      <c r="J135" s="38"/>
      <c r="K135" s="39"/>
      <c r="L135" s="16"/>
      <c r="M135" s="16"/>
      <c r="N135" s="17"/>
      <c r="O135" s="18"/>
      <c r="P135" s="18"/>
      <c r="Q135" s="19"/>
      <c r="R135" s="19"/>
      <c r="S135" s="19"/>
      <c r="T135" s="20"/>
      <c r="U135" s="19"/>
      <c r="V135" s="19"/>
      <c r="W135" s="20"/>
      <c r="X135" s="12"/>
      <c r="Y135" s="12"/>
      <c r="Z135" s="12"/>
      <c r="AA135" s="12"/>
      <c r="AB135" s="12"/>
      <c r="AC135" s="12"/>
      <c r="AD135" s="12"/>
      <c r="AE135" s="12"/>
      <c r="AF135" s="12"/>
    </row>
    <row r="136" spans="1:32" ht="12.75" customHeight="1" x14ac:dyDescent="0.25">
      <c r="A136" s="36"/>
      <c r="B136" s="36"/>
      <c r="C136" s="36"/>
      <c r="D136" s="36"/>
      <c r="E136" s="36"/>
      <c r="F136" s="37"/>
      <c r="G136" s="12"/>
      <c r="H136" s="12"/>
      <c r="I136" s="38"/>
      <c r="J136" s="38"/>
      <c r="K136" s="39"/>
      <c r="L136" s="16"/>
      <c r="M136" s="16"/>
      <c r="N136" s="17"/>
      <c r="O136" s="18"/>
      <c r="P136" s="18"/>
      <c r="Q136" s="19"/>
      <c r="R136" s="19"/>
      <c r="S136" s="19"/>
      <c r="T136" s="20"/>
      <c r="U136" s="19"/>
      <c r="V136" s="19"/>
      <c r="W136" s="20"/>
      <c r="X136" s="12"/>
      <c r="Y136" s="12"/>
      <c r="Z136" s="12"/>
      <c r="AA136" s="12"/>
      <c r="AB136" s="12"/>
      <c r="AC136" s="12"/>
      <c r="AD136" s="12"/>
      <c r="AE136" s="12"/>
      <c r="AF136" s="12"/>
    </row>
    <row r="137" spans="1:32" ht="12.75" customHeight="1" x14ac:dyDescent="0.25">
      <c r="A137" s="36"/>
      <c r="B137" s="36"/>
      <c r="C137" s="36"/>
      <c r="D137" s="36"/>
      <c r="E137" s="36"/>
      <c r="F137" s="37"/>
      <c r="G137" s="12"/>
      <c r="H137" s="12"/>
      <c r="I137" s="38"/>
      <c r="J137" s="38"/>
      <c r="K137" s="39"/>
      <c r="L137" s="16"/>
      <c r="M137" s="16"/>
      <c r="N137" s="17"/>
      <c r="O137" s="18"/>
      <c r="P137" s="18"/>
      <c r="Q137" s="19"/>
      <c r="R137" s="19"/>
      <c r="S137" s="19"/>
      <c r="T137" s="20"/>
      <c r="U137" s="19"/>
      <c r="V137" s="19"/>
      <c r="W137" s="20"/>
      <c r="X137" s="12"/>
      <c r="Y137" s="12"/>
      <c r="Z137" s="12"/>
      <c r="AA137" s="12"/>
      <c r="AB137" s="12"/>
      <c r="AC137" s="12"/>
      <c r="AD137" s="12"/>
      <c r="AE137" s="12"/>
      <c r="AF137" s="12"/>
    </row>
    <row r="138" spans="1:32" ht="12.75" customHeight="1" x14ac:dyDescent="0.25">
      <c r="A138" s="36"/>
      <c r="B138" s="36"/>
      <c r="C138" s="36"/>
      <c r="D138" s="36"/>
      <c r="E138" s="36"/>
      <c r="F138" s="37"/>
      <c r="G138" s="12"/>
      <c r="H138" s="12"/>
      <c r="I138" s="38"/>
      <c r="J138" s="38"/>
      <c r="K138" s="39"/>
      <c r="L138" s="16"/>
      <c r="M138" s="16"/>
      <c r="N138" s="17"/>
      <c r="O138" s="18"/>
      <c r="P138" s="18"/>
      <c r="Q138" s="19"/>
      <c r="R138" s="19"/>
      <c r="S138" s="19"/>
      <c r="T138" s="20"/>
      <c r="U138" s="19"/>
      <c r="V138" s="19"/>
      <c r="W138" s="20"/>
      <c r="X138" s="12"/>
      <c r="Y138" s="12"/>
      <c r="Z138" s="12"/>
      <c r="AA138" s="12"/>
      <c r="AB138" s="12"/>
      <c r="AC138" s="12"/>
      <c r="AD138" s="12"/>
      <c r="AE138" s="12"/>
      <c r="AF138" s="12"/>
    </row>
    <row r="139" spans="1:32" ht="12.75" customHeight="1" x14ac:dyDescent="0.25">
      <c r="A139" s="36"/>
      <c r="B139" s="36"/>
      <c r="C139" s="36"/>
      <c r="D139" s="36"/>
      <c r="E139" s="36"/>
      <c r="F139" s="37"/>
      <c r="G139" s="12"/>
      <c r="H139" s="12"/>
      <c r="I139" s="38"/>
      <c r="J139" s="38"/>
      <c r="K139" s="39"/>
      <c r="L139" s="16"/>
      <c r="M139" s="16"/>
      <c r="N139" s="17"/>
      <c r="O139" s="18"/>
      <c r="P139" s="18"/>
      <c r="Q139" s="19"/>
      <c r="R139" s="19"/>
      <c r="S139" s="19"/>
      <c r="T139" s="20"/>
      <c r="U139" s="19"/>
      <c r="V139" s="19"/>
      <c r="W139" s="20"/>
      <c r="X139" s="12"/>
      <c r="Y139" s="12"/>
      <c r="Z139" s="12"/>
      <c r="AA139" s="12"/>
      <c r="AB139" s="12"/>
      <c r="AC139" s="12"/>
      <c r="AD139" s="12"/>
      <c r="AE139" s="12"/>
      <c r="AF139" s="12"/>
    </row>
    <row r="140" spans="1:32" ht="12.75" customHeight="1" x14ac:dyDescent="0.25">
      <c r="A140" s="36"/>
      <c r="B140" s="36"/>
      <c r="C140" s="36"/>
      <c r="D140" s="36"/>
      <c r="E140" s="36"/>
      <c r="F140" s="37"/>
      <c r="G140" s="12"/>
      <c r="H140" s="12"/>
      <c r="I140" s="38"/>
      <c r="J140" s="38"/>
      <c r="K140" s="39"/>
      <c r="L140" s="16"/>
      <c r="M140" s="16"/>
      <c r="N140" s="17"/>
      <c r="O140" s="18"/>
      <c r="P140" s="18"/>
      <c r="Q140" s="19"/>
      <c r="R140" s="19"/>
      <c r="S140" s="19"/>
      <c r="T140" s="20"/>
      <c r="U140" s="19"/>
      <c r="V140" s="19"/>
      <c r="W140" s="20"/>
      <c r="X140" s="12"/>
      <c r="Y140" s="12"/>
      <c r="Z140" s="12"/>
      <c r="AA140" s="12"/>
      <c r="AB140" s="12"/>
      <c r="AC140" s="12"/>
      <c r="AD140" s="12"/>
      <c r="AE140" s="12"/>
      <c r="AF140" s="12"/>
    </row>
    <row r="141" spans="1:32" ht="12.75" customHeight="1" x14ac:dyDescent="0.25">
      <c r="A141" s="36"/>
      <c r="B141" s="36"/>
      <c r="C141" s="36"/>
      <c r="D141" s="36"/>
      <c r="E141" s="36"/>
      <c r="F141" s="37"/>
      <c r="G141" s="12"/>
      <c r="H141" s="12"/>
      <c r="I141" s="38"/>
      <c r="J141" s="38"/>
      <c r="K141" s="39"/>
      <c r="L141" s="16"/>
      <c r="M141" s="16"/>
      <c r="N141" s="17"/>
      <c r="O141" s="18"/>
      <c r="P141" s="18"/>
      <c r="Q141" s="19"/>
      <c r="R141" s="19"/>
      <c r="S141" s="19"/>
      <c r="T141" s="20"/>
      <c r="U141" s="19"/>
      <c r="V141" s="19"/>
      <c r="W141" s="20"/>
      <c r="X141" s="12"/>
      <c r="Y141" s="12"/>
      <c r="Z141" s="12"/>
      <c r="AA141" s="12"/>
      <c r="AB141" s="12"/>
      <c r="AC141" s="12"/>
      <c r="AD141" s="12"/>
      <c r="AE141" s="12"/>
      <c r="AF141" s="12"/>
    </row>
    <row r="142" spans="1:32" ht="12.75" customHeight="1" x14ac:dyDescent="0.25">
      <c r="A142" s="36"/>
      <c r="B142" s="36"/>
      <c r="C142" s="36"/>
      <c r="D142" s="36"/>
      <c r="E142" s="36"/>
      <c r="F142" s="37"/>
      <c r="G142" s="12"/>
      <c r="H142" s="12"/>
      <c r="I142" s="38"/>
      <c r="J142" s="38"/>
      <c r="K142" s="39"/>
      <c r="L142" s="16"/>
      <c r="M142" s="16"/>
      <c r="N142" s="17"/>
      <c r="O142" s="18"/>
      <c r="P142" s="18"/>
      <c r="Q142" s="19"/>
      <c r="R142" s="19"/>
      <c r="S142" s="19"/>
      <c r="T142" s="20"/>
      <c r="U142" s="19"/>
      <c r="V142" s="19"/>
      <c r="W142" s="20"/>
      <c r="X142" s="12"/>
      <c r="Y142" s="12"/>
      <c r="Z142" s="12"/>
      <c r="AA142" s="12"/>
      <c r="AB142" s="12"/>
      <c r="AC142" s="12"/>
      <c r="AD142" s="12"/>
      <c r="AE142" s="12"/>
      <c r="AF142" s="12"/>
    </row>
    <row r="143" spans="1:32" ht="12.75" customHeight="1" x14ac:dyDescent="0.25">
      <c r="A143" s="36"/>
      <c r="B143" s="36"/>
      <c r="C143" s="36"/>
      <c r="D143" s="36"/>
      <c r="E143" s="36"/>
      <c r="F143" s="37"/>
      <c r="G143" s="12"/>
      <c r="H143" s="12"/>
      <c r="I143" s="38"/>
      <c r="J143" s="38"/>
      <c r="K143" s="39"/>
      <c r="L143" s="16"/>
      <c r="M143" s="16"/>
      <c r="N143" s="17"/>
      <c r="O143" s="18"/>
      <c r="P143" s="18"/>
      <c r="Q143" s="19"/>
      <c r="R143" s="19"/>
      <c r="S143" s="19"/>
      <c r="T143" s="20"/>
      <c r="U143" s="19"/>
      <c r="V143" s="19"/>
      <c r="W143" s="20"/>
      <c r="X143" s="12"/>
      <c r="Y143" s="12"/>
      <c r="Z143" s="12"/>
      <c r="AA143" s="12"/>
      <c r="AB143" s="12"/>
      <c r="AC143" s="12"/>
      <c r="AD143" s="12"/>
      <c r="AE143" s="12"/>
      <c r="AF143" s="12"/>
    </row>
    <row r="144" spans="1:32" ht="12.75" customHeight="1" x14ac:dyDescent="0.25">
      <c r="A144" s="36"/>
      <c r="B144" s="36"/>
      <c r="C144" s="36"/>
      <c r="D144" s="36"/>
      <c r="E144" s="36"/>
      <c r="F144" s="37"/>
      <c r="G144" s="12"/>
      <c r="H144" s="12"/>
      <c r="I144" s="38"/>
      <c r="J144" s="38"/>
      <c r="K144" s="39"/>
      <c r="L144" s="16"/>
      <c r="M144" s="16"/>
      <c r="N144" s="17"/>
      <c r="O144" s="18"/>
      <c r="P144" s="18"/>
      <c r="Q144" s="19"/>
      <c r="R144" s="19"/>
      <c r="S144" s="19"/>
      <c r="T144" s="20"/>
      <c r="U144" s="19"/>
      <c r="V144" s="19"/>
      <c r="W144" s="20"/>
      <c r="X144" s="12"/>
      <c r="Y144" s="12"/>
      <c r="Z144" s="12"/>
      <c r="AA144" s="12"/>
      <c r="AB144" s="12"/>
      <c r="AC144" s="12"/>
      <c r="AD144" s="12"/>
      <c r="AE144" s="12"/>
      <c r="AF144" s="12"/>
    </row>
    <row r="145" spans="1:32" ht="12.75" customHeight="1" x14ac:dyDescent="0.25">
      <c r="A145" s="36"/>
      <c r="B145" s="36"/>
      <c r="C145" s="36"/>
      <c r="D145" s="36"/>
      <c r="E145" s="36"/>
      <c r="F145" s="37"/>
      <c r="G145" s="12"/>
      <c r="H145" s="12"/>
      <c r="I145" s="38"/>
      <c r="J145" s="38"/>
      <c r="K145" s="39"/>
      <c r="L145" s="16"/>
      <c r="M145" s="16"/>
      <c r="N145" s="17"/>
      <c r="O145" s="18"/>
      <c r="P145" s="18"/>
      <c r="Q145" s="19"/>
      <c r="R145" s="19"/>
      <c r="S145" s="19"/>
      <c r="T145" s="20"/>
      <c r="U145" s="19"/>
      <c r="V145" s="19"/>
      <c r="W145" s="20"/>
      <c r="X145" s="12"/>
      <c r="Y145" s="12"/>
      <c r="Z145" s="12"/>
      <c r="AA145" s="12"/>
      <c r="AB145" s="12"/>
      <c r="AC145" s="12"/>
      <c r="AD145" s="12"/>
      <c r="AE145" s="12"/>
      <c r="AF145" s="12"/>
    </row>
    <row r="146" spans="1:32" ht="12.75" customHeight="1" x14ac:dyDescent="0.25">
      <c r="A146" s="36"/>
      <c r="B146" s="36"/>
      <c r="C146" s="36"/>
      <c r="D146" s="36"/>
      <c r="E146" s="36"/>
      <c r="F146" s="37"/>
      <c r="G146" s="12"/>
      <c r="H146" s="12"/>
      <c r="I146" s="38"/>
      <c r="J146" s="38"/>
      <c r="K146" s="39"/>
      <c r="L146" s="16"/>
      <c r="M146" s="16"/>
      <c r="N146" s="17"/>
      <c r="O146" s="18"/>
      <c r="P146" s="18"/>
      <c r="Q146" s="19"/>
      <c r="R146" s="19"/>
      <c r="S146" s="19"/>
      <c r="T146" s="20"/>
      <c r="U146" s="19"/>
      <c r="V146" s="19"/>
      <c r="W146" s="20"/>
      <c r="X146" s="12"/>
      <c r="Y146" s="12"/>
      <c r="Z146" s="12"/>
      <c r="AA146" s="12"/>
      <c r="AB146" s="12"/>
      <c r="AC146" s="12"/>
      <c r="AD146" s="12"/>
      <c r="AE146" s="12"/>
      <c r="AF146" s="12"/>
    </row>
    <row r="147" spans="1:32" ht="12.75" customHeight="1" x14ac:dyDescent="0.25">
      <c r="A147" s="36"/>
      <c r="B147" s="36"/>
      <c r="C147" s="36"/>
      <c r="D147" s="36"/>
      <c r="E147" s="36"/>
      <c r="F147" s="37"/>
      <c r="G147" s="12"/>
      <c r="H147" s="12"/>
      <c r="I147" s="38"/>
      <c r="J147" s="38"/>
      <c r="K147" s="39"/>
      <c r="L147" s="16"/>
      <c r="M147" s="16"/>
      <c r="N147" s="17"/>
      <c r="O147" s="18"/>
      <c r="P147" s="18"/>
      <c r="Q147" s="19"/>
      <c r="R147" s="19"/>
      <c r="S147" s="19"/>
      <c r="T147" s="20"/>
      <c r="U147" s="19"/>
      <c r="V147" s="19"/>
      <c r="W147" s="20"/>
      <c r="X147" s="12"/>
      <c r="Y147" s="12"/>
      <c r="Z147" s="12"/>
      <c r="AA147" s="12"/>
      <c r="AB147" s="12"/>
      <c r="AC147" s="12"/>
      <c r="AD147" s="12"/>
      <c r="AE147" s="12"/>
      <c r="AF147" s="12"/>
    </row>
    <row r="148" spans="1:32" ht="12.75" customHeight="1" x14ac:dyDescent="0.25">
      <c r="A148" s="36"/>
      <c r="B148" s="36"/>
      <c r="C148" s="36"/>
      <c r="D148" s="36"/>
      <c r="E148" s="36"/>
      <c r="F148" s="37"/>
      <c r="G148" s="12"/>
      <c r="H148" s="12"/>
      <c r="I148" s="38"/>
      <c r="J148" s="38"/>
      <c r="K148" s="39"/>
      <c r="L148" s="16"/>
      <c r="M148" s="16"/>
      <c r="N148" s="17"/>
      <c r="O148" s="18"/>
      <c r="P148" s="18"/>
      <c r="Q148" s="19"/>
      <c r="R148" s="19"/>
      <c r="S148" s="19"/>
      <c r="T148" s="20"/>
      <c r="U148" s="19"/>
      <c r="V148" s="19"/>
      <c r="W148" s="20"/>
      <c r="X148" s="12"/>
      <c r="Y148" s="12"/>
      <c r="Z148" s="12"/>
      <c r="AA148" s="12"/>
      <c r="AB148" s="12"/>
      <c r="AC148" s="12"/>
      <c r="AD148" s="12"/>
      <c r="AE148" s="12"/>
      <c r="AF148" s="12"/>
    </row>
    <row r="149" spans="1:32" ht="12.75" customHeight="1" x14ac:dyDescent="0.25">
      <c r="A149" s="36"/>
      <c r="B149" s="36"/>
      <c r="C149" s="36"/>
      <c r="D149" s="36"/>
      <c r="E149" s="36"/>
      <c r="F149" s="37"/>
      <c r="G149" s="12"/>
      <c r="H149" s="12"/>
      <c r="I149" s="38"/>
      <c r="J149" s="38"/>
      <c r="K149" s="39"/>
      <c r="L149" s="16"/>
      <c r="M149" s="16"/>
      <c r="N149" s="17"/>
      <c r="O149" s="18"/>
      <c r="P149" s="18"/>
      <c r="Q149" s="19"/>
      <c r="R149" s="19"/>
      <c r="S149" s="19"/>
      <c r="T149" s="20"/>
      <c r="U149" s="19"/>
      <c r="V149" s="19"/>
      <c r="W149" s="20"/>
      <c r="X149" s="12"/>
      <c r="Y149" s="12"/>
      <c r="Z149" s="12"/>
      <c r="AA149" s="12"/>
      <c r="AB149" s="12"/>
      <c r="AC149" s="12"/>
      <c r="AD149" s="12"/>
      <c r="AE149" s="12"/>
      <c r="AF149" s="12"/>
    </row>
    <row r="150" spans="1:32" ht="12.75" customHeight="1" x14ac:dyDescent="0.25">
      <c r="A150" s="36"/>
      <c r="B150" s="36"/>
      <c r="C150" s="36"/>
      <c r="D150" s="36"/>
      <c r="E150" s="36"/>
      <c r="F150" s="37"/>
      <c r="G150" s="12"/>
      <c r="H150" s="12"/>
      <c r="I150" s="38"/>
      <c r="J150" s="38"/>
      <c r="K150" s="39"/>
      <c r="L150" s="16"/>
      <c r="M150" s="16"/>
      <c r="N150" s="17"/>
      <c r="O150" s="18"/>
      <c r="P150" s="18"/>
      <c r="Q150" s="19"/>
      <c r="R150" s="19"/>
      <c r="S150" s="19"/>
      <c r="T150" s="20"/>
      <c r="U150" s="19"/>
      <c r="V150" s="19"/>
      <c r="W150" s="20"/>
      <c r="X150" s="12"/>
      <c r="Y150" s="12"/>
      <c r="Z150" s="12"/>
      <c r="AA150" s="12"/>
      <c r="AB150" s="12"/>
      <c r="AC150" s="12"/>
      <c r="AD150" s="12"/>
      <c r="AE150" s="12"/>
      <c r="AF150" s="12"/>
    </row>
    <row r="151" spans="1:32" ht="12.75" customHeight="1" x14ac:dyDescent="0.25">
      <c r="A151" s="36"/>
      <c r="B151" s="36"/>
      <c r="C151" s="36"/>
      <c r="D151" s="36"/>
      <c r="E151" s="36"/>
      <c r="F151" s="37"/>
      <c r="G151" s="12"/>
      <c r="H151" s="12"/>
      <c r="I151" s="38"/>
      <c r="J151" s="38"/>
      <c r="K151" s="39"/>
      <c r="L151" s="16"/>
      <c r="M151" s="16"/>
      <c r="N151" s="17"/>
      <c r="O151" s="18"/>
      <c r="P151" s="18"/>
      <c r="Q151" s="19"/>
      <c r="R151" s="19"/>
      <c r="S151" s="19"/>
      <c r="T151" s="20"/>
      <c r="U151" s="19"/>
      <c r="V151" s="19"/>
      <c r="W151" s="20"/>
      <c r="X151" s="12"/>
      <c r="Y151" s="12"/>
      <c r="Z151" s="12"/>
      <c r="AA151" s="12"/>
      <c r="AB151" s="12"/>
      <c r="AC151" s="12"/>
      <c r="AD151" s="12"/>
      <c r="AE151" s="12"/>
      <c r="AF151" s="12"/>
    </row>
    <row r="152" spans="1:32" ht="12.75" customHeight="1" x14ac:dyDescent="0.25">
      <c r="A152" s="36"/>
      <c r="B152" s="36"/>
      <c r="C152" s="36"/>
      <c r="D152" s="36"/>
      <c r="E152" s="36"/>
      <c r="F152" s="37"/>
      <c r="G152" s="12"/>
      <c r="H152" s="12"/>
      <c r="I152" s="38"/>
      <c r="J152" s="38"/>
      <c r="K152" s="39"/>
      <c r="L152" s="16"/>
      <c r="M152" s="16"/>
      <c r="N152" s="17"/>
      <c r="O152" s="18"/>
      <c r="P152" s="18"/>
      <c r="Q152" s="19"/>
      <c r="R152" s="19"/>
      <c r="S152" s="19"/>
      <c r="T152" s="20"/>
      <c r="U152" s="19"/>
      <c r="V152" s="19"/>
      <c r="W152" s="20"/>
      <c r="X152" s="12"/>
      <c r="Y152" s="12"/>
      <c r="Z152" s="12"/>
      <c r="AA152" s="12"/>
      <c r="AB152" s="12"/>
      <c r="AC152" s="12"/>
      <c r="AD152" s="12"/>
      <c r="AE152" s="12"/>
      <c r="AF152" s="12"/>
    </row>
    <row r="153" spans="1:32" ht="12.75" customHeight="1" x14ac:dyDescent="0.25">
      <c r="A153" s="36"/>
      <c r="B153" s="36"/>
      <c r="C153" s="36"/>
      <c r="D153" s="36"/>
      <c r="E153" s="36"/>
      <c r="F153" s="37"/>
      <c r="G153" s="12"/>
      <c r="H153" s="12"/>
      <c r="I153" s="38"/>
      <c r="J153" s="38"/>
      <c r="K153" s="39"/>
      <c r="L153" s="16"/>
      <c r="M153" s="16"/>
      <c r="N153" s="17"/>
      <c r="O153" s="18"/>
      <c r="P153" s="18"/>
      <c r="Q153" s="19"/>
      <c r="R153" s="19"/>
      <c r="S153" s="19"/>
      <c r="T153" s="20"/>
      <c r="U153" s="19"/>
      <c r="V153" s="19"/>
      <c r="W153" s="20"/>
      <c r="X153" s="12"/>
      <c r="Y153" s="12"/>
      <c r="Z153" s="12"/>
      <c r="AA153" s="12"/>
      <c r="AB153" s="12"/>
      <c r="AC153" s="12"/>
      <c r="AD153" s="12"/>
      <c r="AE153" s="12"/>
      <c r="AF153" s="12"/>
    </row>
    <row r="154" spans="1:32" ht="12.75" customHeight="1" x14ac:dyDescent="0.25">
      <c r="A154" s="36"/>
      <c r="B154" s="36"/>
      <c r="C154" s="36"/>
      <c r="D154" s="36"/>
      <c r="E154" s="36"/>
      <c r="F154" s="37"/>
      <c r="G154" s="12"/>
      <c r="H154" s="12"/>
      <c r="I154" s="38"/>
      <c r="J154" s="38"/>
      <c r="K154" s="39"/>
      <c r="L154" s="16"/>
      <c r="M154" s="16"/>
      <c r="N154" s="17"/>
      <c r="O154" s="18"/>
      <c r="P154" s="18"/>
      <c r="Q154" s="19"/>
      <c r="R154" s="19"/>
      <c r="S154" s="19"/>
      <c r="T154" s="20"/>
      <c r="U154" s="19"/>
      <c r="V154" s="19"/>
      <c r="W154" s="20"/>
      <c r="X154" s="12"/>
      <c r="Y154" s="12"/>
      <c r="Z154" s="12"/>
      <c r="AA154" s="12"/>
      <c r="AB154" s="12"/>
      <c r="AC154" s="12"/>
      <c r="AD154" s="12"/>
      <c r="AE154" s="12"/>
      <c r="AF154" s="12"/>
    </row>
    <row r="155" spans="1:32" ht="12.75" customHeight="1" x14ac:dyDescent="0.25">
      <c r="A155" s="36"/>
      <c r="B155" s="36"/>
      <c r="C155" s="36"/>
      <c r="D155" s="36"/>
      <c r="E155" s="36"/>
      <c r="F155" s="37"/>
      <c r="G155" s="12"/>
      <c r="H155" s="12"/>
      <c r="I155" s="38"/>
      <c r="J155" s="38"/>
      <c r="K155" s="39"/>
      <c r="L155" s="16"/>
      <c r="M155" s="16"/>
      <c r="N155" s="17"/>
      <c r="O155" s="18"/>
      <c r="P155" s="18"/>
      <c r="Q155" s="19"/>
      <c r="R155" s="19"/>
      <c r="S155" s="19"/>
      <c r="T155" s="20"/>
      <c r="U155" s="19"/>
      <c r="V155" s="19"/>
      <c r="W155" s="20"/>
      <c r="X155" s="12"/>
      <c r="Y155" s="12"/>
      <c r="Z155" s="12"/>
      <c r="AA155" s="12"/>
      <c r="AB155" s="12"/>
      <c r="AC155" s="12"/>
      <c r="AD155" s="12"/>
      <c r="AE155" s="12"/>
      <c r="AF155" s="12"/>
    </row>
    <row r="156" spans="1:32" ht="12.75" customHeight="1" x14ac:dyDescent="0.25">
      <c r="A156" s="36"/>
      <c r="B156" s="36"/>
      <c r="C156" s="36"/>
      <c r="D156" s="36"/>
      <c r="E156" s="36"/>
      <c r="F156" s="37"/>
      <c r="G156" s="12"/>
      <c r="H156" s="12"/>
      <c r="I156" s="38"/>
      <c r="J156" s="38"/>
      <c r="K156" s="39"/>
      <c r="L156" s="16"/>
      <c r="M156" s="16"/>
      <c r="N156" s="17"/>
      <c r="O156" s="18"/>
      <c r="P156" s="18"/>
      <c r="Q156" s="19"/>
      <c r="R156" s="19"/>
      <c r="S156" s="19"/>
      <c r="T156" s="20"/>
      <c r="U156" s="19"/>
      <c r="V156" s="19"/>
      <c r="W156" s="20"/>
      <c r="X156" s="12"/>
      <c r="Y156" s="12"/>
      <c r="Z156" s="12"/>
      <c r="AA156" s="12"/>
      <c r="AB156" s="12"/>
      <c r="AC156" s="12"/>
      <c r="AD156" s="12"/>
      <c r="AE156" s="12"/>
      <c r="AF156" s="12"/>
    </row>
    <row r="157" spans="1:32" ht="12.75" customHeight="1" x14ac:dyDescent="0.25">
      <c r="A157" s="36"/>
      <c r="B157" s="36"/>
      <c r="C157" s="36"/>
      <c r="D157" s="36"/>
      <c r="E157" s="36"/>
      <c r="F157" s="37"/>
      <c r="G157" s="12"/>
      <c r="H157" s="12"/>
      <c r="I157" s="38"/>
      <c r="J157" s="38"/>
      <c r="K157" s="39"/>
      <c r="L157" s="16"/>
      <c r="M157" s="16"/>
      <c r="N157" s="17"/>
      <c r="O157" s="18"/>
      <c r="P157" s="18"/>
      <c r="Q157" s="19"/>
      <c r="R157" s="19"/>
      <c r="S157" s="19"/>
      <c r="T157" s="20"/>
      <c r="U157" s="19"/>
      <c r="V157" s="19"/>
      <c r="W157" s="20"/>
      <c r="X157" s="12"/>
      <c r="Y157" s="12"/>
      <c r="Z157" s="12"/>
      <c r="AA157" s="12"/>
      <c r="AB157" s="12"/>
      <c r="AC157" s="12"/>
      <c r="AD157" s="12"/>
      <c r="AE157" s="12"/>
      <c r="AF157" s="12"/>
    </row>
    <row r="158" spans="1:32" ht="12.75" customHeight="1" x14ac:dyDescent="0.25">
      <c r="A158" s="36"/>
      <c r="B158" s="36"/>
      <c r="C158" s="36"/>
      <c r="D158" s="36"/>
      <c r="E158" s="36"/>
      <c r="F158" s="37"/>
      <c r="G158" s="12"/>
      <c r="H158" s="12"/>
      <c r="I158" s="38"/>
      <c r="J158" s="38"/>
      <c r="K158" s="39"/>
      <c r="L158" s="16"/>
      <c r="M158" s="16"/>
      <c r="N158" s="17"/>
      <c r="O158" s="18"/>
      <c r="P158" s="18"/>
      <c r="Q158" s="19"/>
      <c r="R158" s="19"/>
      <c r="S158" s="19"/>
      <c r="T158" s="20"/>
      <c r="U158" s="19"/>
      <c r="V158" s="19"/>
      <c r="W158" s="20"/>
      <c r="X158" s="12"/>
      <c r="Y158" s="12"/>
      <c r="Z158" s="12"/>
      <c r="AA158" s="12"/>
      <c r="AB158" s="12"/>
      <c r="AC158" s="12"/>
      <c r="AD158" s="12"/>
      <c r="AE158" s="12"/>
      <c r="AF158" s="12"/>
    </row>
    <row r="159" spans="1:32" ht="12.75" customHeight="1" x14ac:dyDescent="0.25">
      <c r="A159" s="36"/>
      <c r="B159" s="36"/>
      <c r="C159" s="36"/>
      <c r="D159" s="36"/>
      <c r="E159" s="36"/>
      <c r="F159" s="37"/>
      <c r="G159" s="12"/>
      <c r="H159" s="12"/>
      <c r="I159" s="38"/>
      <c r="J159" s="38"/>
      <c r="K159" s="39"/>
      <c r="L159" s="16"/>
      <c r="M159" s="16"/>
      <c r="N159" s="17"/>
      <c r="O159" s="18"/>
      <c r="P159" s="18"/>
      <c r="Q159" s="19"/>
      <c r="R159" s="19"/>
      <c r="S159" s="19"/>
      <c r="T159" s="20"/>
      <c r="U159" s="19"/>
      <c r="V159" s="19"/>
      <c r="W159" s="20"/>
      <c r="X159" s="12"/>
      <c r="Y159" s="12"/>
      <c r="Z159" s="12"/>
      <c r="AA159" s="12"/>
      <c r="AB159" s="12"/>
      <c r="AC159" s="12"/>
      <c r="AD159" s="12"/>
      <c r="AE159" s="12"/>
      <c r="AF159" s="12"/>
    </row>
    <row r="160" spans="1:32" ht="12.75" customHeight="1" x14ac:dyDescent="0.25">
      <c r="A160" s="36"/>
      <c r="B160" s="36"/>
      <c r="C160" s="36"/>
      <c r="D160" s="36"/>
      <c r="E160" s="36"/>
      <c r="F160" s="37"/>
      <c r="G160" s="12"/>
      <c r="H160" s="12"/>
      <c r="I160" s="38"/>
      <c r="J160" s="38"/>
      <c r="K160" s="39"/>
      <c r="L160" s="16"/>
      <c r="M160" s="16"/>
      <c r="N160" s="17"/>
      <c r="O160" s="18"/>
      <c r="P160" s="18"/>
      <c r="Q160" s="19"/>
      <c r="R160" s="19"/>
      <c r="S160" s="19"/>
      <c r="T160" s="20"/>
      <c r="U160" s="19"/>
      <c r="V160" s="19"/>
      <c r="W160" s="20"/>
      <c r="X160" s="12"/>
      <c r="Y160" s="12"/>
      <c r="Z160" s="12"/>
      <c r="AA160" s="12"/>
      <c r="AB160" s="12"/>
      <c r="AC160" s="12"/>
      <c r="AD160" s="12"/>
      <c r="AE160" s="12"/>
      <c r="AF160" s="12"/>
    </row>
    <row r="161" spans="1:32" ht="12.75" customHeight="1" x14ac:dyDescent="0.25">
      <c r="A161" s="36"/>
      <c r="B161" s="36"/>
      <c r="C161" s="36"/>
      <c r="D161" s="36"/>
      <c r="E161" s="36"/>
      <c r="F161" s="37"/>
      <c r="G161" s="12"/>
      <c r="H161" s="12"/>
      <c r="I161" s="38"/>
      <c r="J161" s="38"/>
      <c r="K161" s="39"/>
      <c r="L161" s="16"/>
      <c r="M161" s="16"/>
      <c r="N161" s="17"/>
      <c r="O161" s="18"/>
      <c r="P161" s="18"/>
      <c r="Q161" s="19"/>
      <c r="R161" s="19"/>
      <c r="S161" s="19"/>
      <c r="T161" s="20"/>
      <c r="U161" s="19"/>
      <c r="V161" s="19"/>
      <c r="W161" s="20"/>
      <c r="X161" s="12"/>
      <c r="Y161" s="12"/>
      <c r="Z161" s="12"/>
      <c r="AA161" s="12"/>
      <c r="AB161" s="12"/>
      <c r="AC161" s="12"/>
      <c r="AD161" s="12"/>
      <c r="AE161" s="12"/>
      <c r="AF161" s="12"/>
    </row>
    <row r="162" spans="1:32" ht="12.75" customHeight="1" x14ac:dyDescent="0.25">
      <c r="A162" s="36"/>
      <c r="B162" s="36"/>
      <c r="C162" s="36"/>
      <c r="D162" s="36"/>
      <c r="E162" s="36"/>
      <c r="F162" s="37"/>
      <c r="G162" s="12"/>
      <c r="H162" s="12"/>
      <c r="I162" s="38"/>
      <c r="J162" s="38"/>
      <c r="K162" s="39"/>
      <c r="L162" s="16"/>
      <c r="M162" s="16"/>
      <c r="N162" s="17"/>
      <c r="O162" s="18"/>
      <c r="P162" s="18"/>
      <c r="Q162" s="19"/>
      <c r="R162" s="19"/>
      <c r="S162" s="19"/>
      <c r="T162" s="20"/>
      <c r="U162" s="19"/>
      <c r="V162" s="19"/>
      <c r="W162" s="20"/>
      <c r="X162" s="12"/>
      <c r="Y162" s="12"/>
      <c r="Z162" s="12"/>
      <c r="AA162" s="12"/>
      <c r="AB162" s="12"/>
      <c r="AC162" s="12"/>
      <c r="AD162" s="12"/>
      <c r="AE162" s="12"/>
      <c r="AF162" s="12"/>
    </row>
    <row r="163" spans="1:32" ht="12.75" customHeight="1" x14ac:dyDescent="0.25">
      <c r="A163" s="36"/>
      <c r="B163" s="36"/>
      <c r="C163" s="36"/>
      <c r="D163" s="36"/>
      <c r="E163" s="36"/>
      <c r="F163" s="37"/>
      <c r="G163" s="12"/>
      <c r="H163" s="12"/>
      <c r="I163" s="38"/>
      <c r="J163" s="38"/>
      <c r="K163" s="39"/>
      <c r="L163" s="16"/>
      <c r="M163" s="16"/>
      <c r="N163" s="17"/>
      <c r="O163" s="18"/>
      <c r="P163" s="18"/>
      <c r="Q163" s="19"/>
      <c r="R163" s="19"/>
      <c r="S163" s="19"/>
      <c r="T163" s="20"/>
      <c r="U163" s="19"/>
      <c r="V163" s="19"/>
      <c r="W163" s="20"/>
      <c r="X163" s="12"/>
      <c r="Y163" s="12"/>
      <c r="Z163" s="12"/>
      <c r="AA163" s="12"/>
      <c r="AB163" s="12"/>
      <c r="AC163" s="12"/>
      <c r="AD163" s="12"/>
      <c r="AE163" s="12"/>
      <c r="AF163" s="12"/>
    </row>
    <row r="164" spans="1:32" ht="12.75" customHeight="1" x14ac:dyDescent="0.25">
      <c r="A164" s="36"/>
      <c r="B164" s="36"/>
      <c r="C164" s="36"/>
      <c r="D164" s="36"/>
      <c r="E164" s="36"/>
      <c r="F164" s="37"/>
      <c r="G164" s="12"/>
      <c r="H164" s="12"/>
      <c r="I164" s="38"/>
      <c r="J164" s="38"/>
      <c r="K164" s="39"/>
      <c r="L164" s="16"/>
      <c r="M164" s="16"/>
      <c r="N164" s="17"/>
      <c r="O164" s="18"/>
      <c r="P164" s="18"/>
      <c r="Q164" s="19"/>
      <c r="R164" s="19"/>
      <c r="S164" s="19"/>
      <c r="T164" s="20"/>
      <c r="U164" s="19"/>
      <c r="V164" s="19"/>
      <c r="W164" s="20"/>
      <c r="X164" s="12"/>
      <c r="Y164" s="12"/>
      <c r="Z164" s="12"/>
      <c r="AA164" s="12"/>
      <c r="AB164" s="12"/>
      <c r="AC164" s="12"/>
      <c r="AD164" s="12"/>
      <c r="AE164" s="12"/>
      <c r="AF164" s="12"/>
    </row>
    <row r="165" spans="1:32" ht="12.75" customHeight="1" x14ac:dyDescent="0.25">
      <c r="A165" s="36"/>
      <c r="B165" s="36"/>
      <c r="C165" s="36"/>
      <c r="D165" s="36"/>
      <c r="E165" s="36"/>
      <c r="F165" s="37"/>
      <c r="G165" s="12"/>
      <c r="H165" s="12"/>
      <c r="I165" s="38"/>
      <c r="J165" s="38"/>
      <c r="K165" s="39"/>
      <c r="L165" s="16"/>
      <c r="M165" s="16"/>
      <c r="N165" s="17"/>
      <c r="O165" s="18"/>
      <c r="P165" s="18"/>
      <c r="Q165" s="19"/>
      <c r="R165" s="19"/>
      <c r="S165" s="19"/>
      <c r="T165" s="20"/>
      <c r="U165" s="19"/>
      <c r="V165" s="19"/>
      <c r="W165" s="20"/>
      <c r="X165" s="12"/>
      <c r="Y165" s="12"/>
      <c r="Z165" s="12"/>
      <c r="AA165" s="12"/>
      <c r="AB165" s="12"/>
      <c r="AC165" s="12"/>
      <c r="AD165" s="12"/>
      <c r="AE165" s="12"/>
      <c r="AF165" s="12"/>
    </row>
    <row r="166" spans="1:32" ht="12.75" customHeight="1" x14ac:dyDescent="0.25">
      <c r="A166" s="36"/>
      <c r="B166" s="36"/>
      <c r="C166" s="36"/>
      <c r="D166" s="36"/>
      <c r="E166" s="36"/>
      <c r="F166" s="37"/>
      <c r="G166" s="12"/>
      <c r="H166" s="12"/>
      <c r="I166" s="38"/>
      <c r="J166" s="38"/>
      <c r="K166" s="39"/>
      <c r="L166" s="16"/>
      <c r="M166" s="16"/>
      <c r="N166" s="17"/>
      <c r="O166" s="18"/>
      <c r="P166" s="18"/>
      <c r="Q166" s="19"/>
      <c r="R166" s="19"/>
      <c r="S166" s="19"/>
      <c r="T166" s="20"/>
      <c r="U166" s="19"/>
      <c r="V166" s="19"/>
      <c r="W166" s="20"/>
      <c r="X166" s="12"/>
      <c r="Y166" s="12"/>
      <c r="Z166" s="12"/>
      <c r="AA166" s="12"/>
      <c r="AB166" s="12"/>
      <c r="AC166" s="12"/>
      <c r="AD166" s="12"/>
      <c r="AE166" s="12"/>
      <c r="AF166" s="12"/>
    </row>
    <row r="167" spans="1:32" ht="12.75" customHeight="1" x14ac:dyDescent="0.25">
      <c r="A167" s="36"/>
      <c r="B167" s="36"/>
      <c r="C167" s="36"/>
      <c r="D167" s="36"/>
      <c r="E167" s="36"/>
      <c r="F167" s="37"/>
      <c r="G167" s="12"/>
      <c r="H167" s="12"/>
      <c r="I167" s="38"/>
      <c r="J167" s="38"/>
      <c r="K167" s="39"/>
      <c r="L167" s="16"/>
      <c r="M167" s="16"/>
      <c r="N167" s="17"/>
      <c r="O167" s="18"/>
      <c r="P167" s="18"/>
      <c r="Q167" s="19"/>
      <c r="R167" s="19"/>
      <c r="S167" s="19"/>
      <c r="T167" s="20"/>
      <c r="U167" s="19"/>
      <c r="V167" s="19"/>
      <c r="W167" s="20"/>
      <c r="X167" s="12"/>
      <c r="Y167" s="12"/>
      <c r="Z167" s="12"/>
      <c r="AA167" s="12"/>
      <c r="AB167" s="12"/>
      <c r="AC167" s="12"/>
      <c r="AD167" s="12"/>
      <c r="AE167" s="12"/>
      <c r="AF167" s="12"/>
    </row>
    <row r="168" spans="1:32" ht="12.75" customHeight="1" x14ac:dyDescent="0.25">
      <c r="A168" s="36"/>
      <c r="B168" s="36"/>
      <c r="C168" s="36"/>
      <c r="D168" s="36"/>
      <c r="E168" s="36"/>
      <c r="F168" s="37"/>
      <c r="G168" s="12"/>
      <c r="H168" s="12"/>
      <c r="I168" s="38"/>
      <c r="J168" s="38"/>
      <c r="K168" s="39"/>
      <c r="L168" s="16"/>
      <c r="M168" s="16"/>
      <c r="N168" s="17"/>
      <c r="O168" s="18"/>
      <c r="P168" s="18"/>
      <c r="Q168" s="19"/>
      <c r="R168" s="19"/>
      <c r="S168" s="19"/>
      <c r="T168" s="20"/>
      <c r="U168" s="19"/>
      <c r="V168" s="19"/>
      <c r="W168" s="20"/>
      <c r="X168" s="12"/>
      <c r="Y168" s="12"/>
      <c r="Z168" s="12"/>
      <c r="AA168" s="12"/>
      <c r="AB168" s="12"/>
      <c r="AC168" s="12"/>
      <c r="AD168" s="12"/>
      <c r="AE168" s="12"/>
      <c r="AF168" s="12"/>
    </row>
    <row r="169" spans="1:32" ht="12.75" customHeight="1" x14ac:dyDescent="0.25">
      <c r="A169" s="36"/>
      <c r="B169" s="36"/>
      <c r="C169" s="36"/>
      <c r="D169" s="36"/>
      <c r="E169" s="36"/>
      <c r="F169" s="37"/>
      <c r="G169" s="12"/>
      <c r="H169" s="12"/>
      <c r="I169" s="38"/>
      <c r="J169" s="38"/>
      <c r="K169" s="39"/>
      <c r="L169" s="16"/>
      <c r="M169" s="16"/>
      <c r="N169" s="17"/>
      <c r="O169" s="18"/>
      <c r="P169" s="18"/>
      <c r="Q169" s="19"/>
      <c r="R169" s="19"/>
      <c r="S169" s="19"/>
      <c r="T169" s="20"/>
      <c r="U169" s="19"/>
      <c r="V169" s="19"/>
      <c r="W169" s="20"/>
      <c r="X169" s="12"/>
      <c r="Y169" s="12"/>
      <c r="Z169" s="12"/>
      <c r="AA169" s="12"/>
      <c r="AB169" s="12"/>
      <c r="AC169" s="12"/>
      <c r="AD169" s="12"/>
      <c r="AE169" s="12"/>
      <c r="AF169" s="12"/>
    </row>
    <row r="170" spans="1:32" ht="12.75" customHeight="1" x14ac:dyDescent="0.25">
      <c r="A170" s="36"/>
      <c r="B170" s="36"/>
      <c r="C170" s="36"/>
      <c r="D170" s="36"/>
      <c r="E170" s="36"/>
      <c r="F170" s="37"/>
      <c r="G170" s="12"/>
      <c r="H170" s="12"/>
      <c r="I170" s="38"/>
      <c r="J170" s="38"/>
      <c r="K170" s="39"/>
      <c r="L170" s="16"/>
      <c r="M170" s="16"/>
      <c r="N170" s="17"/>
      <c r="O170" s="18"/>
      <c r="P170" s="18"/>
      <c r="Q170" s="19"/>
      <c r="R170" s="19"/>
      <c r="S170" s="19"/>
      <c r="T170" s="20"/>
      <c r="U170" s="19"/>
      <c r="V170" s="19"/>
      <c r="W170" s="20"/>
      <c r="X170" s="12"/>
      <c r="Y170" s="12"/>
      <c r="Z170" s="12"/>
      <c r="AA170" s="12"/>
      <c r="AB170" s="12"/>
      <c r="AC170" s="12"/>
      <c r="AD170" s="12"/>
      <c r="AE170" s="12"/>
      <c r="AF170" s="12"/>
    </row>
    <row r="171" spans="1:32" ht="12.75" customHeight="1" x14ac:dyDescent="0.25">
      <c r="A171" s="36"/>
      <c r="B171" s="36"/>
      <c r="C171" s="36"/>
      <c r="D171" s="36"/>
      <c r="E171" s="36"/>
      <c r="F171" s="37"/>
      <c r="G171" s="12"/>
      <c r="H171" s="12"/>
      <c r="I171" s="38"/>
      <c r="J171" s="38"/>
      <c r="K171" s="39"/>
      <c r="L171" s="16"/>
      <c r="M171" s="16"/>
      <c r="N171" s="17"/>
      <c r="O171" s="18"/>
      <c r="P171" s="18"/>
      <c r="Q171" s="19"/>
      <c r="R171" s="19"/>
      <c r="S171" s="19"/>
      <c r="T171" s="20"/>
      <c r="U171" s="19"/>
      <c r="V171" s="19"/>
      <c r="W171" s="20"/>
      <c r="X171" s="12"/>
      <c r="Y171" s="12"/>
      <c r="Z171" s="12"/>
      <c r="AA171" s="12"/>
      <c r="AB171" s="12"/>
      <c r="AC171" s="12"/>
      <c r="AD171" s="12"/>
      <c r="AE171" s="12"/>
      <c r="AF171" s="12"/>
    </row>
    <row r="172" spans="1:32" ht="12.75" customHeight="1" x14ac:dyDescent="0.25">
      <c r="A172" s="36"/>
      <c r="B172" s="36"/>
      <c r="C172" s="36"/>
      <c r="D172" s="36"/>
      <c r="E172" s="36"/>
      <c r="F172" s="37"/>
      <c r="G172" s="12"/>
      <c r="H172" s="12"/>
      <c r="I172" s="38"/>
      <c r="J172" s="38"/>
      <c r="K172" s="39"/>
      <c r="L172" s="16"/>
      <c r="M172" s="16"/>
      <c r="N172" s="17"/>
      <c r="O172" s="18"/>
      <c r="P172" s="18"/>
      <c r="Q172" s="19"/>
      <c r="R172" s="19"/>
      <c r="S172" s="19"/>
      <c r="T172" s="20"/>
      <c r="U172" s="19"/>
      <c r="V172" s="19"/>
      <c r="W172" s="20"/>
      <c r="X172" s="12"/>
      <c r="Y172" s="12"/>
      <c r="Z172" s="12"/>
      <c r="AA172" s="12"/>
      <c r="AB172" s="12"/>
      <c r="AC172" s="12"/>
      <c r="AD172" s="12"/>
      <c r="AE172" s="12"/>
      <c r="AF172" s="12"/>
    </row>
    <row r="173" spans="1:32" ht="12.75" customHeight="1" x14ac:dyDescent="0.25">
      <c r="A173" s="36"/>
      <c r="B173" s="36"/>
      <c r="C173" s="36"/>
      <c r="D173" s="36"/>
      <c r="E173" s="36"/>
      <c r="F173" s="37"/>
      <c r="G173" s="12"/>
      <c r="H173" s="12"/>
      <c r="I173" s="38"/>
      <c r="J173" s="38"/>
      <c r="K173" s="39"/>
      <c r="L173" s="16"/>
      <c r="M173" s="16"/>
      <c r="N173" s="17"/>
      <c r="O173" s="18"/>
      <c r="P173" s="18"/>
      <c r="Q173" s="19"/>
      <c r="R173" s="19"/>
      <c r="S173" s="19"/>
      <c r="T173" s="20"/>
      <c r="U173" s="19"/>
      <c r="V173" s="19"/>
      <c r="W173" s="20"/>
      <c r="X173" s="12"/>
      <c r="Y173" s="12"/>
      <c r="Z173" s="12"/>
      <c r="AA173" s="12"/>
      <c r="AB173" s="12"/>
      <c r="AC173" s="12"/>
      <c r="AD173" s="12"/>
      <c r="AE173" s="12"/>
      <c r="AF173" s="12"/>
    </row>
    <row r="174" spans="1:32" ht="12.75" customHeight="1" x14ac:dyDescent="0.25">
      <c r="A174" s="36"/>
      <c r="B174" s="36"/>
      <c r="C174" s="36"/>
      <c r="D174" s="36"/>
      <c r="E174" s="36"/>
      <c r="F174" s="37"/>
      <c r="G174" s="12"/>
      <c r="H174" s="12"/>
      <c r="I174" s="38"/>
      <c r="J174" s="38"/>
      <c r="K174" s="39"/>
      <c r="L174" s="16"/>
      <c r="M174" s="16"/>
      <c r="N174" s="17"/>
      <c r="O174" s="18"/>
      <c r="P174" s="18"/>
      <c r="Q174" s="19"/>
      <c r="R174" s="19"/>
      <c r="S174" s="19"/>
      <c r="T174" s="20"/>
      <c r="U174" s="19"/>
      <c r="V174" s="19"/>
      <c r="W174" s="20"/>
      <c r="X174" s="12"/>
      <c r="Y174" s="12"/>
      <c r="Z174" s="12"/>
      <c r="AA174" s="12"/>
      <c r="AB174" s="12"/>
      <c r="AC174" s="12"/>
      <c r="AD174" s="12"/>
      <c r="AE174" s="12"/>
      <c r="AF174" s="12"/>
    </row>
    <row r="175" spans="1:32" ht="12.75" customHeight="1" x14ac:dyDescent="0.25">
      <c r="A175" s="36"/>
      <c r="B175" s="36"/>
      <c r="C175" s="36"/>
      <c r="D175" s="36"/>
      <c r="E175" s="36"/>
      <c r="F175" s="37"/>
      <c r="G175" s="12"/>
      <c r="H175" s="12"/>
      <c r="I175" s="38"/>
      <c r="J175" s="38"/>
      <c r="K175" s="39"/>
      <c r="L175" s="16"/>
      <c r="M175" s="16"/>
      <c r="N175" s="17"/>
      <c r="O175" s="18"/>
      <c r="P175" s="18"/>
      <c r="Q175" s="19"/>
      <c r="R175" s="19"/>
      <c r="S175" s="19"/>
      <c r="T175" s="20"/>
      <c r="U175" s="19"/>
      <c r="V175" s="19"/>
      <c r="W175" s="20"/>
      <c r="X175" s="12"/>
      <c r="Y175" s="12"/>
      <c r="Z175" s="12"/>
      <c r="AA175" s="12"/>
      <c r="AB175" s="12"/>
      <c r="AC175" s="12"/>
      <c r="AD175" s="12"/>
      <c r="AE175" s="12"/>
      <c r="AF175" s="12"/>
    </row>
    <row r="176" spans="1:32" ht="12.75" customHeight="1" x14ac:dyDescent="0.25">
      <c r="A176" s="36"/>
      <c r="B176" s="36"/>
      <c r="C176" s="36"/>
      <c r="D176" s="36"/>
      <c r="E176" s="36"/>
      <c r="F176" s="37"/>
      <c r="G176" s="12"/>
      <c r="H176" s="12"/>
      <c r="I176" s="38"/>
      <c r="J176" s="38"/>
      <c r="K176" s="39"/>
      <c r="L176" s="16"/>
      <c r="M176" s="16"/>
      <c r="N176" s="17"/>
      <c r="O176" s="18"/>
      <c r="P176" s="18"/>
      <c r="Q176" s="19"/>
      <c r="R176" s="19"/>
      <c r="S176" s="19"/>
      <c r="T176" s="20"/>
      <c r="U176" s="19"/>
      <c r="V176" s="19"/>
      <c r="W176" s="20"/>
      <c r="X176" s="12"/>
      <c r="Y176" s="12"/>
      <c r="Z176" s="12"/>
      <c r="AA176" s="12"/>
      <c r="AB176" s="12"/>
      <c r="AC176" s="12"/>
      <c r="AD176" s="12"/>
      <c r="AE176" s="12"/>
      <c r="AF176" s="12"/>
    </row>
    <row r="177" spans="1:32" ht="12.75" customHeight="1" x14ac:dyDescent="0.25">
      <c r="A177" s="36"/>
      <c r="B177" s="36"/>
      <c r="C177" s="36"/>
      <c r="D177" s="36"/>
      <c r="E177" s="36"/>
      <c r="F177" s="37"/>
      <c r="G177" s="12"/>
      <c r="H177" s="12"/>
      <c r="I177" s="38"/>
      <c r="J177" s="38"/>
      <c r="K177" s="39"/>
      <c r="L177" s="16"/>
      <c r="M177" s="16"/>
      <c r="N177" s="17"/>
      <c r="O177" s="18"/>
      <c r="P177" s="18"/>
      <c r="Q177" s="19"/>
      <c r="R177" s="19"/>
      <c r="S177" s="19"/>
      <c r="T177" s="20"/>
      <c r="U177" s="19"/>
      <c r="V177" s="19"/>
      <c r="W177" s="20"/>
      <c r="X177" s="12"/>
      <c r="Y177" s="12"/>
      <c r="Z177" s="12"/>
      <c r="AA177" s="12"/>
      <c r="AB177" s="12"/>
      <c r="AC177" s="12"/>
      <c r="AD177" s="12"/>
      <c r="AE177" s="12"/>
      <c r="AF177" s="12"/>
    </row>
    <row r="178" spans="1:32" ht="12.75" customHeight="1" x14ac:dyDescent="0.25">
      <c r="A178" s="36"/>
      <c r="B178" s="36"/>
      <c r="C178" s="36"/>
      <c r="D178" s="36"/>
      <c r="E178" s="36"/>
      <c r="F178" s="37"/>
      <c r="G178" s="12"/>
      <c r="H178" s="12"/>
      <c r="I178" s="38"/>
      <c r="J178" s="38"/>
      <c r="K178" s="39"/>
      <c r="L178" s="16"/>
      <c r="M178" s="16"/>
      <c r="N178" s="17"/>
      <c r="O178" s="18"/>
      <c r="P178" s="18"/>
      <c r="Q178" s="19"/>
      <c r="R178" s="19"/>
      <c r="S178" s="19"/>
      <c r="T178" s="20"/>
      <c r="U178" s="19"/>
      <c r="V178" s="19"/>
      <c r="W178" s="20"/>
      <c r="X178" s="12"/>
      <c r="Y178" s="12"/>
      <c r="Z178" s="12"/>
      <c r="AA178" s="12"/>
      <c r="AB178" s="12"/>
      <c r="AC178" s="12"/>
      <c r="AD178" s="12"/>
      <c r="AE178" s="12"/>
      <c r="AF178" s="12"/>
    </row>
    <row r="179" spans="1:32" ht="12.75" customHeight="1" x14ac:dyDescent="0.25">
      <c r="A179" s="36"/>
      <c r="B179" s="36"/>
      <c r="C179" s="36"/>
      <c r="D179" s="36"/>
      <c r="E179" s="36"/>
      <c r="F179" s="37"/>
      <c r="G179" s="12"/>
      <c r="H179" s="12"/>
      <c r="I179" s="38"/>
      <c r="J179" s="38"/>
      <c r="K179" s="39"/>
      <c r="L179" s="16"/>
      <c r="M179" s="16"/>
      <c r="N179" s="17"/>
      <c r="O179" s="18"/>
      <c r="P179" s="18"/>
      <c r="Q179" s="19"/>
      <c r="R179" s="19"/>
      <c r="S179" s="19"/>
      <c r="T179" s="20"/>
      <c r="U179" s="19"/>
      <c r="V179" s="19"/>
      <c r="W179" s="20"/>
      <c r="X179" s="12"/>
      <c r="Y179" s="12"/>
      <c r="Z179" s="12"/>
      <c r="AA179" s="12"/>
      <c r="AB179" s="12"/>
      <c r="AC179" s="12"/>
      <c r="AD179" s="12"/>
      <c r="AE179" s="12"/>
      <c r="AF179" s="12"/>
    </row>
    <row r="180" spans="1:32" ht="12.75" customHeight="1" x14ac:dyDescent="0.25">
      <c r="A180" s="36"/>
      <c r="B180" s="36"/>
      <c r="C180" s="36"/>
      <c r="D180" s="36"/>
      <c r="E180" s="36"/>
      <c r="F180" s="37"/>
      <c r="G180" s="12"/>
      <c r="H180" s="12"/>
      <c r="I180" s="38"/>
      <c r="J180" s="38"/>
      <c r="K180" s="39"/>
      <c r="L180" s="16"/>
      <c r="M180" s="16"/>
      <c r="N180" s="17"/>
      <c r="O180" s="18"/>
      <c r="P180" s="18"/>
      <c r="Q180" s="19"/>
      <c r="R180" s="19"/>
      <c r="S180" s="19"/>
      <c r="T180" s="20"/>
      <c r="U180" s="19"/>
      <c r="V180" s="19"/>
      <c r="W180" s="20"/>
      <c r="X180" s="12"/>
      <c r="Y180" s="12"/>
      <c r="Z180" s="12"/>
      <c r="AA180" s="12"/>
      <c r="AB180" s="12"/>
      <c r="AC180" s="12"/>
      <c r="AD180" s="12"/>
      <c r="AE180" s="12"/>
      <c r="AF180" s="12"/>
    </row>
    <row r="181" spans="1:32" ht="12.75" customHeight="1" x14ac:dyDescent="0.25">
      <c r="A181" s="36"/>
      <c r="B181" s="36"/>
      <c r="C181" s="36"/>
      <c r="D181" s="36"/>
      <c r="E181" s="36"/>
      <c r="F181" s="37"/>
      <c r="G181" s="12"/>
      <c r="H181" s="12"/>
      <c r="I181" s="38"/>
      <c r="J181" s="38"/>
      <c r="K181" s="39"/>
      <c r="L181" s="16"/>
      <c r="M181" s="16"/>
      <c r="N181" s="17"/>
      <c r="O181" s="18"/>
      <c r="P181" s="18"/>
      <c r="Q181" s="19"/>
      <c r="R181" s="19"/>
      <c r="S181" s="19"/>
      <c r="T181" s="20"/>
      <c r="U181" s="19"/>
      <c r="V181" s="19"/>
      <c r="W181" s="20"/>
      <c r="X181" s="12"/>
      <c r="Y181" s="12"/>
      <c r="Z181" s="12"/>
      <c r="AA181" s="12"/>
      <c r="AB181" s="12"/>
      <c r="AC181" s="12"/>
      <c r="AD181" s="12"/>
      <c r="AE181" s="12"/>
      <c r="AF181" s="12"/>
    </row>
    <row r="182" spans="1:32" ht="12.75" customHeight="1" x14ac:dyDescent="0.25">
      <c r="A182" s="36"/>
      <c r="B182" s="36"/>
      <c r="C182" s="36"/>
      <c r="D182" s="36"/>
      <c r="E182" s="36"/>
      <c r="F182" s="37"/>
      <c r="G182" s="12"/>
      <c r="H182" s="12"/>
      <c r="I182" s="38"/>
      <c r="J182" s="38"/>
      <c r="K182" s="39"/>
      <c r="L182" s="16"/>
      <c r="M182" s="16"/>
      <c r="N182" s="17"/>
      <c r="O182" s="18"/>
      <c r="P182" s="18"/>
      <c r="Q182" s="19"/>
      <c r="R182" s="19"/>
      <c r="S182" s="19"/>
      <c r="T182" s="20"/>
      <c r="U182" s="19"/>
      <c r="V182" s="19"/>
      <c r="W182" s="20"/>
      <c r="X182" s="12"/>
      <c r="Y182" s="12"/>
      <c r="Z182" s="12"/>
      <c r="AA182" s="12"/>
      <c r="AB182" s="12"/>
      <c r="AC182" s="12"/>
      <c r="AD182" s="12"/>
      <c r="AE182" s="12"/>
      <c r="AF182" s="12"/>
    </row>
    <row r="183" spans="1:32" ht="12.75" customHeight="1" x14ac:dyDescent="0.25">
      <c r="A183" s="36"/>
      <c r="B183" s="36"/>
      <c r="C183" s="36"/>
      <c r="D183" s="36"/>
      <c r="E183" s="36"/>
      <c r="F183" s="37"/>
      <c r="G183" s="12"/>
      <c r="H183" s="12"/>
      <c r="I183" s="38"/>
      <c r="J183" s="38"/>
      <c r="K183" s="39"/>
      <c r="L183" s="16"/>
      <c r="M183" s="16"/>
      <c r="N183" s="17"/>
      <c r="O183" s="18"/>
      <c r="P183" s="18"/>
      <c r="Q183" s="19"/>
      <c r="R183" s="19"/>
      <c r="S183" s="19"/>
      <c r="T183" s="20"/>
      <c r="U183" s="19"/>
      <c r="V183" s="19"/>
      <c r="W183" s="20"/>
      <c r="X183" s="12"/>
      <c r="Y183" s="12"/>
      <c r="Z183" s="12"/>
      <c r="AA183" s="12"/>
      <c r="AB183" s="12"/>
      <c r="AC183" s="12"/>
      <c r="AD183" s="12"/>
      <c r="AE183" s="12"/>
      <c r="AF183" s="12"/>
    </row>
    <row r="184" spans="1:32" ht="12.75" customHeight="1" x14ac:dyDescent="0.25">
      <c r="A184" s="36"/>
      <c r="B184" s="36"/>
      <c r="C184" s="36"/>
      <c r="D184" s="36"/>
      <c r="E184" s="36"/>
      <c r="F184" s="37"/>
      <c r="G184" s="12"/>
      <c r="H184" s="12"/>
      <c r="I184" s="38"/>
      <c r="J184" s="38"/>
      <c r="K184" s="39"/>
      <c r="L184" s="16"/>
      <c r="M184" s="16"/>
      <c r="N184" s="17"/>
      <c r="O184" s="18"/>
      <c r="P184" s="18"/>
      <c r="Q184" s="19"/>
      <c r="R184" s="19"/>
      <c r="S184" s="19"/>
      <c r="T184" s="20"/>
      <c r="U184" s="19"/>
      <c r="V184" s="19"/>
      <c r="W184" s="20"/>
      <c r="X184" s="12"/>
      <c r="Y184" s="12"/>
      <c r="Z184" s="12"/>
      <c r="AA184" s="12"/>
      <c r="AB184" s="12"/>
      <c r="AC184" s="12"/>
      <c r="AD184" s="12"/>
      <c r="AE184" s="12"/>
      <c r="AF184" s="12"/>
    </row>
    <row r="185" spans="1:32" ht="12.75" customHeight="1" x14ac:dyDescent="0.25">
      <c r="A185" s="36"/>
      <c r="B185" s="36"/>
      <c r="C185" s="36"/>
      <c r="D185" s="36"/>
      <c r="E185" s="36"/>
      <c r="F185" s="37"/>
      <c r="G185" s="12"/>
      <c r="H185" s="12"/>
      <c r="I185" s="38"/>
      <c r="J185" s="38"/>
      <c r="K185" s="39"/>
      <c r="L185" s="16"/>
      <c r="M185" s="16"/>
      <c r="N185" s="17"/>
      <c r="O185" s="18"/>
      <c r="P185" s="18"/>
      <c r="Q185" s="19"/>
      <c r="R185" s="19"/>
      <c r="S185" s="19"/>
      <c r="T185" s="20"/>
      <c r="U185" s="19"/>
      <c r="V185" s="19"/>
      <c r="W185" s="20"/>
      <c r="X185" s="12"/>
      <c r="Y185" s="12"/>
      <c r="Z185" s="12"/>
      <c r="AA185" s="12"/>
      <c r="AB185" s="12"/>
      <c r="AC185" s="12"/>
      <c r="AD185" s="12"/>
      <c r="AE185" s="12"/>
      <c r="AF185" s="12"/>
    </row>
    <row r="186" spans="1:32" ht="12.75" customHeight="1" x14ac:dyDescent="0.25">
      <c r="A186" s="36"/>
      <c r="B186" s="36"/>
      <c r="C186" s="36"/>
      <c r="D186" s="36"/>
      <c r="E186" s="36"/>
      <c r="F186" s="37"/>
      <c r="G186" s="12"/>
      <c r="H186" s="12"/>
      <c r="I186" s="38"/>
      <c r="J186" s="38"/>
      <c r="K186" s="39"/>
      <c r="L186" s="16"/>
      <c r="M186" s="16"/>
      <c r="N186" s="17"/>
      <c r="O186" s="18"/>
      <c r="P186" s="18"/>
      <c r="Q186" s="19"/>
      <c r="R186" s="19"/>
      <c r="S186" s="19"/>
      <c r="T186" s="20"/>
      <c r="U186" s="19"/>
      <c r="V186" s="19"/>
      <c r="W186" s="20"/>
      <c r="X186" s="12"/>
      <c r="Y186" s="12"/>
      <c r="Z186" s="12"/>
      <c r="AA186" s="12"/>
      <c r="AB186" s="12"/>
      <c r="AC186" s="12"/>
      <c r="AD186" s="12"/>
      <c r="AE186" s="12"/>
      <c r="AF186" s="12"/>
    </row>
    <row r="187" spans="1:32" ht="12.75" customHeight="1" x14ac:dyDescent="0.25">
      <c r="A187" s="36"/>
      <c r="B187" s="36"/>
      <c r="C187" s="36"/>
      <c r="D187" s="36"/>
      <c r="E187" s="36"/>
      <c r="F187" s="37"/>
      <c r="G187" s="12"/>
      <c r="H187" s="12"/>
      <c r="I187" s="38"/>
      <c r="J187" s="38"/>
      <c r="K187" s="39"/>
      <c r="L187" s="16"/>
      <c r="M187" s="16"/>
      <c r="N187" s="17"/>
      <c r="O187" s="18"/>
      <c r="P187" s="18"/>
      <c r="Q187" s="19"/>
      <c r="R187" s="19"/>
      <c r="S187" s="19"/>
      <c r="T187" s="20"/>
      <c r="U187" s="19"/>
      <c r="V187" s="19"/>
      <c r="W187" s="20"/>
      <c r="X187" s="12"/>
      <c r="Y187" s="12"/>
      <c r="Z187" s="12"/>
      <c r="AA187" s="12"/>
      <c r="AB187" s="12"/>
      <c r="AC187" s="12"/>
      <c r="AD187" s="12"/>
      <c r="AE187" s="12"/>
      <c r="AF187" s="12"/>
    </row>
    <row r="188" spans="1:32" ht="12.75" customHeight="1" x14ac:dyDescent="0.25">
      <c r="A188" s="36"/>
      <c r="B188" s="36"/>
      <c r="C188" s="36"/>
      <c r="D188" s="36"/>
      <c r="E188" s="36"/>
      <c r="F188" s="37"/>
      <c r="G188" s="12"/>
      <c r="H188" s="12"/>
      <c r="I188" s="38"/>
      <c r="J188" s="38"/>
      <c r="K188" s="39"/>
      <c r="L188" s="16"/>
      <c r="M188" s="16"/>
      <c r="N188" s="17"/>
      <c r="O188" s="18"/>
      <c r="P188" s="18"/>
      <c r="Q188" s="19"/>
      <c r="R188" s="19"/>
      <c r="S188" s="19"/>
      <c r="T188" s="20"/>
      <c r="U188" s="19"/>
      <c r="V188" s="19"/>
      <c r="W188" s="20"/>
      <c r="X188" s="12"/>
      <c r="Y188" s="12"/>
      <c r="Z188" s="12"/>
      <c r="AA188" s="12"/>
      <c r="AB188" s="12"/>
      <c r="AC188" s="12"/>
      <c r="AD188" s="12"/>
      <c r="AE188" s="12"/>
      <c r="AF188" s="12"/>
    </row>
    <row r="189" spans="1:32" ht="12.75" customHeight="1" x14ac:dyDescent="0.25">
      <c r="A189" s="36"/>
      <c r="B189" s="36"/>
      <c r="C189" s="36"/>
      <c r="D189" s="36"/>
      <c r="E189" s="36"/>
      <c r="F189" s="37"/>
      <c r="G189" s="12"/>
      <c r="H189" s="12"/>
      <c r="I189" s="38"/>
      <c r="J189" s="38"/>
      <c r="K189" s="39"/>
      <c r="L189" s="16"/>
      <c r="M189" s="16"/>
      <c r="N189" s="17"/>
      <c r="O189" s="18"/>
      <c r="P189" s="18"/>
      <c r="Q189" s="19"/>
      <c r="R189" s="19"/>
      <c r="S189" s="19"/>
      <c r="T189" s="20"/>
      <c r="U189" s="19"/>
      <c r="V189" s="19"/>
      <c r="W189" s="20"/>
      <c r="X189" s="12"/>
      <c r="Y189" s="12"/>
      <c r="Z189" s="12"/>
      <c r="AA189" s="12"/>
      <c r="AB189" s="12"/>
      <c r="AC189" s="12"/>
      <c r="AD189" s="12"/>
      <c r="AE189" s="12"/>
      <c r="AF189" s="12"/>
    </row>
    <row r="190" spans="1:32" ht="12.75" customHeight="1" x14ac:dyDescent="0.25">
      <c r="A190" s="36"/>
      <c r="B190" s="36"/>
      <c r="C190" s="36"/>
      <c r="D190" s="36"/>
      <c r="E190" s="36"/>
      <c r="F190" s="37"/>
      <c r="G190" s="12"/>
      <c r="H190" s="12"/>
      <c r="I190" s="38"/>
      <c r="J190" s="38"/>
      <c r="K190" s="39"/>
      <c r="L190" s="16"/>
      <c r="M190" s="16"/>
      <c r="N190" s="17"/>
      <c r="O190" s="18"/>
      <c r="P190" s="18"/>
      <c r="Q190" s="19"/>
      <c r="R190" s="19"/>
      <c r="S190" s="19"/>
      <c r="T190" s="20"/>
      <c r="U190" s="19"/>
      <c r="V190" s="19"/>
      <c r="W190" s="20"/>
      <c r="X190" s="12"/>
      <c r="Y190" s="12"/>
      <c r="Z190" s="12"/>
      <c r="AA190" s="12"/>
      <c r="AB190" s="12"/>
      <c r="AC190" s="12"/>
      <c r="AD190" s="12"/>
      <c r="AE190" s="12"/>
      <c r="AF190" s="12"/>
    </row>
    <row r="191" spans="1:32" ht="12.75" customHeight="1" x14ac:dyDescent="0.25">
      <c r="A191" s="36"/>
      <c r="B191" s="36"/>
      <c r="C191" s="36"/>
      <c r="D191" s="36"/>
      <c r="E191" s="36"/>
      <c r="F191" s="37"/>
      <c r="G191" s="12"/>
      <c r="H191" s="12"/>
      <c r="I191" s="38"/>
      <c r="J191" s="38"/>
      <c r="K191" s="39"/>
      <c r="L191" s="16"/>
      <c r="M191" s="16"/>
      <c r="N191" s="17"/>
      <c r="O191" s="18"/>
      <c r="P191" s="18"/>
      <c r="Q191" s="19"/>
      <c r="R191" s="19"/>
      <c r="S191" s="19"/>
      <c r="T191" s="20"/>
      <c r="U191" s="19"/>
      <c r="V191" s="19"/>
      <c r="W191" s="20"/>
      <c r="X191" s="12"/>
      <c r="Y191" s="12"/>
      <c r="Z191" s="12"/>
      <c r="AA191" s="12"/>
      <c r="AB191" s="12"/>
      <c r="AC191" s="12"/>
      <c r="AD191" s="12"/>
      <c r="AE191" s="12"/>
      <c r="AF191" s="12"/>
    </row>
    <row r="192" spans="1:32" ht="12.75" customHeight="1" x14ac:dyDescent="0.25">
      <c r="A192" s="36"/>
      <c r="B192" s="36"/>
      <c r="C192" s="36"/>
      <c r="D192" s="36"/>
      <c r="E192" s="36"/>
      <c r="F192" s="37"/>
      <c r="G192" s="12"/>
      <c r="H192" s="12"/>
      <c r="I192" s="38"/>
      <c r="J192" s="38"/>
      <c r="K192" s="39"/>
      <c r="L192" s="16"/>
      <c r="M192" s="16"/>
      <c r="N192" s="17"/>
      <c r="O192" s="18"/>
      <c r="P192" s="18"/>
      <c r="Q192" s="19"/>
      <c r="R192" s="19"/>
      <c r="S192" s="19"/>
      <c r="T192" s="20"/>
      <c r="U192" s="19"/>
      <c r="V192" s="19"/>
      <c r="W192" s="20"/>
      <c r="X192" s="12"/>
      <c r="Y192" s="12"/>
      <c r="Z192" s="12"/>
      <c r="AA192" s="12"/>
      <c r="AB192" s="12"/>
      <c r="AC192" s="12"/>
      <c r="AD192" s="12"/>
      <c r="AE192" s="12"/>
      <c r="AF192" s="12"/>
    </row>
    <row r="193" spans="1:32" ht="12.75" customHeight="1" x14ac:dyDescent="0.25">
      <c r="A193" s="36"/>
      <c r="B193" s="36"/>
      <c r="C193" s="36"/>
      <c r="D193" s="36"/>
      <c r="E193" s="36"/>
      <c r="F193" s="37"/>
      <c r="G193" s="12"/>
      <c r="H193" s="12"/>
      <c r="I193" s="38"/>
      <c r="J193" s="38"/>
      <c r="K193" s="39"/>
      <c r="L193" s="16"/>
      <c r="M193" s="16"/>
      <c r="N193" s="17"/>
      <c r="O193" s="18"/>
      <c r="P193" s="18"/>
      <c r="Q193" s="19"/>
      <c r="R193" s="19"/>
      <c r="S193" s="19"/>
      <c r="T193" s="20"/>
      <c r="U193" s="19"/>
      <c r="V193" s="19"/>
      <c r="W193" s="20"/>
      <c r="X193" s="12"/>
      <c r="Y193" s="12"/>
      <c r="Z193" s="12"/>
      <c r="AA193" s="12"/>
      <c r="AB193" s="12"/>
      <c r="AC193" s="12"/>
      <c r="AD193" s="12"/>
      <c r="AE193" s="12"/>
      <c r="AF193" s="12"/>
    </row>
    <row r="194" spans="1:32" ht="12.75" customHeight="1" x14ac:dyDescent="0.25">
      <c r="A194" s="36"/>
      <c r="B194" s="36"/>
      <c r="C194" s="36"/>
      <c r="D194" s="36"/>
      <c r="E194" s="36"/>
      <c r="F194" s="37"/>
      <c r="G194" s="12"/>
      <c r="H194" s="12"/>
      <c r="I194" s="38"/>
      <c r="J194" s="38"/>
      <c r="K194" s="39"/>
      <c r="L194" s="16"/>
      <c r="M194" s="16"/>
      <c r="N194" s="17"/>
      <c r="O194" s="18"/>
      <c r="P194" s="18"/>
      <c r="Q194" s="19"/>
      <c r="R194" s="19"/>
      <c r="S194" s="19"/>
      <c r="T194" s="20"/>
      <c r="U194" s="19"/>
      <c r="V194" s="19"/>
      <c r="W194" s="20"/>
      <c r="X194" s="12"/>
      <c r="Y194" s="12"/>
      <c r="Z194" s="12"/>
      <c r="AA194" s="12"/>
      <c r="AB194" s="12"/>
      <c r="AC194" s="12"/>
      <c r="AD194" s="12"/>
      <c r="AE194" s="12"/>
      <c r="AF194" s="12"/>
    </row>
    <row r="195" spans="1:32" ht="12.75" customHeight="1" x14ac:dyDescent="0.25">
      <c r="A195" s="36"/>
      <c r="B195" s="36"/>
      <c r="C195" s="36"/>
      <c r="D195" s="36"/>
      <c r="E195" s="36"/>
      <c r="F195" s="37"/>
      <c r="G195" s="12"/>
      <c r="H195" s="12"/>
      <c r="I195" s="38"/>
      <c r="J195" s="38"/>
      <c r="K195" s="39"/>
      <c r="L195" s="16"/>
      <c r="M195" s="16"/>
      <c r="N195" s="17"/>
      <c r="O195" s="18"/>
      <c r="P195" s="18"/>
      <c r="Q195" s="19"/>
      <c r="R195" s="19"/>
      <c r="S195" s="19"/>
      <c r="T195" s="20"/>
      <c r="U195" s="19"/>
      <c r="V195" s="19"/>
      <c r="W195" s="20"/>
      <c r="X195" s="12"/>
      <c r="Y195" s="12"/>
      <c r="Z195" s="12"/>
      <c r="AA195" s="12"/>
      <c r="AB195" s="12"/>
      <c r="AC195" s="12"/>
      <c r="AD195" s="12"/>
      <c r="AE195" s="12"/>
      <c r="AF195" s="12"/>
    </row>
    <row r="196" spans="1:32" ht="12.75" customHeight="1" x14ac:dyDescent="0.25">
      <c r="A196" s="36"/>
      <c r="B196" s="36"/>
      <c r="C196" s="36"/>
      <c r="D196" s="36"/>
      <c r="E196" s="36"/>
      <c r="F196" s="37"/>
      <c r="G196" s="12"/>
      <c r="H196" s="12"/>
      <c r="I196" s="38"/>
      <c r="J196" s="38"/>
      <c r="K196" s="39"/>
      <c r="L196" s="16"/>
      <c r="M196" s="16"/>
      <c r="N196" s="17"/>
      <c r="O196" s="18"/>
      <c r="P196" s="18"/>
      <c r="Q196" s="19"/>
      <c r="R196" s="19"/>
      <c r="S196" s="19"/>
      <c r="T196" s="20"/>
      <c r="U196" s="19"/>
      <c r="V196" s="19"/>
      <c r="W196" s="20"/>
      <c r="X196" s="12"/>
      <c r="Y196" s="12"/>
      <c r="Z196" s="12"/>
      <c r="AA196" s="12"/>
      <c r="AB196" s="12"/>
      <c r="AC196" s="12"/>
      <c r="AD196" s="12"/>
      <c r="AE196" s="12"/>
      <c r="AF196" s="12"/>
    </row>
    <row r="197" spans="1:32" ht="12.75" customHeight="1" x14ac:dyDescent="0.25">
      <c r="A197" s="36"/>
      <c r="B197" s="36"/>
      <c r="C197" s="36"/>
      <c r="D197" s="36"/>
      <c r="E197" s="36"/>
      <c r="F197" s="37"/>
      <c r="G197" s="12"/>
      <c r="H197" s="12"/>
      <c r="I197" s="38"/>
      <c r="J197" s="38"/>
      <c r="K197" s="39"/>
      <c r="L197" s="16"/>
      <c r="M197" s="16"/>
      <c r="N197" s="17"/>
      <c r="O197" s="18"/>
      <c r="P197" s="18"/>
      <c r="Q197" s="19"/>
      <c r="R197" s="19"/>
      <c r="S197" s="19"/>
      <c r="T197" s="20"/>
      <c r="U197" s="19"/>
      <c r="V197" s="19"/>
      <c r="W197" s="20"/>
      <c r="X197" s="12"/>
      <c r="Y197" s="12"/>
      <c r="Z197" s="12"/>
      <c r="AA197" s="12"/>
      <c r="AB197" s="12"/>
      <c r="AC197" s="12"/>
      <c r="AD197" s="12"/>
      <c r="AE197" s="12"/>
      <c r="AF197" s="12"/>
    </row>
    <row r="198" spans="1:32" ht="12.75" customHeight="1" x14ac:dyDescent="0.25">
      <c r="A198" s="36"/>
      <c r="B198" s="36"/>
      <c r="C198" s="36"/>
      <c r="D198" s="36"/>
      <c r="E198" s="36"/>
      <c r="F198" s="37"/>
      <c r="G198" s="12"/>
      <c r="H198" s="12"/>
      <c r="I198" s="38"/>
      <c r="J198" s="38"/>
      <c r="K198" s="39"/>
      <c r="L198" s="16"/>
      <c r="M198" s="16"/>
      <c r="N198" s="17"/>
      <c r="O198" s="18"/>
      <c r="P198" s="18"/>
      <c r="Q198" s="19"/>
      <c r="R198" s="19"/>
      <c r="S198" s="19"/>
      <c r="T198" s="20"/>
      <c r="U198" s="19"/>
      <c r="V198" s="19"/>
      <c r="W198" s="20"/>
      <c r="X198" s="12"/>
      <c r="Y198" s="12"/>
      <c r="Z198" s="12"/>
      <c r="AA198" s="12"/>
      <c r="AB198" s="12"/>
      <c r="AC198" s="12"/>
      <c r="AD198" s="12"/>
      <c r="AE198" s="12"/>
      <c r="AF198" s="12"/>
    </row>
    <row r="199" spans="1:32" ht="12.75" customHeight="1" x14ac:dyDescent="0.25">
      <c r="A199" s="36"/>
      <c r="B199" s="36"/>
      <c r="C199" s="36"/>
      <c r="D199" s="36"/>
      <c r="E199" s="36"/>
      <c r="F199" s="37"/>
      <c r="G199" s="12"/>
      <c r="H199" s="12"/>
      <c r="I199" s="38"/>
      <c r="J199" s="38"/>
      <c r="K199" s="39"/>
      <c r="L199" s="16"/>
      <c r="M199" s="16"/>
      <c r="N199" s="17"/>
      <c r="O199" s="18"/>
      <c r="P199" s="18"/>
      <c r="Q199" s="19"/>
      <c r="R199" s="19"/>
      <c r="S199" s="19"/>
      <c r="T199" s="20"/>
      <c r="U199" s="19"/>
      <c r="V199" s="19"/>
      <c r="W199" s="20"/>
      <c r="X199" s="12"/>
      <c r="Y199" s="12"/>
      <c r="Z199" s="12"/>
      <c r="AA199" s="12"/>
      <c r="AB199" s="12"/>
      <c r="AC199" s="12"/>
      <c r="AD199" s="12"/>
      <c r="AE199" s="12"/>
      <c r="AF199" s="12"/>
    </row>
    <row r="200" spans="1:32" ht="12.75" customHeight="1" x14ac:dyDescent="0.25">
      <c r="A200" s="36"/>
      <c r="B200" s="36"/>
      <c r="C200" s="36"/>
      <c r="D200" s="36"/>
      <c r="E200" s="36"/>
      <c r="F200" s="37"/>
      <c r="G200" s="12"/>
      <c r="H200" s="12"/>
      <c r="I200" s="38"/>
      <c r="J200" s="38"/>
      <c r="K200" s="39"/>
      <c r="L200" s="16"/>
      <c r="M200" s="16"/>
      <c r="N200" s="17"/>
      <c r="O200" s="18"/>
      <c r="P200" s="18"/>
      <c r="Q200" s="19"/>
      <c r="R200" s="19"/>
      <c r="S200" s="19"/>
      <c r="T200" s="20"/>
      <c r="U200" s="19"/>
      <c r="V200" s="19"/>
      <c r="W200" s="20"/>
      <c r="X200" s="12"/>
      <c r="Y200" s="12"/>
      <c r="Z200" s="12"/>
      <c r="AA200" s="12"/>
      <c r="AB200" s="12"/>
      <c r="AC200" s="12"/>
      <c r="AD200" s="12"/>
      <c r="AE200" s="12"/>
      <c r="AF200" s="12"/>
    </row>
    <row r="201" spans="1:32" ht="12.75" customHeight="1" x14ac:dyDescent="0.25">
      <c r="A201" s="36"/>
      <c r="B201" s="36"/>
      <c r="C201" s="36"/>
      <c r="D201" s="36"/>
      <c r="E201" s="36"/>
      <c r="F201" s="37"/>
      <c r="G201" s="12"/>
      <c r="H201" s="12"/>
      <c r="I201" s="38"/>
      <c r="J201" s="38"/>
      <c r="K201" s="39"/>
      <c r="L201" s="16"/>
      <c r="M201" s="16"/>
      <c r="N201" s="17"/>
      <c r="O201" s="18"/>
      <c r="P201" s="18"/>
      <c r="Q201" s="19"/>
      <c r="R201" s="19"/>
      <c r="S201" s="19"/>
      <c r="T201" s="20"/>
      <c r="U201" s="19"/>
      <c r="V201" s="19"/>
      <c r="W201" s="20"/>
      <c r="X201" s="12"/>
      <c r="Y201" s="12"/>
      <c r="Z201" s="12"/>
      <c r="AA201" s="12"/>
      <c r="AB201" s="12"/>
      <c r="AC201" s="12"/>
      <c r="AD201" s="12"/>
      <c r="AE201" s="12"/>
      <c r="AF201" s="12"/>
    </row>
    <row r="202" spans="1:32" ht="12.75" customHeight="1" x14ac:dyDescent="0.25">
      <c r="A202" s="36"/>
      <c r="B202" s="36"/>
      <c r="C202" s="36"/>
      <c r="D202" s="36"/>
      <c r="E202" s="36"/>
      <c r="F202" s="37"/>
      <c r="G202" s="12"/>
      <c r="H202" s="12"/>
      <c r="I202" s="38"/>
      <c r="J202" s="38"/>
      <c r="K202" s="39"/>
      <c r="L202" s="16"/>
      <c r="M202" s="16"/>
      <c r="N202" s="17"/>
      <c r="O202" s="18"/>
      <c r="P202" s="18"/>
      <c r="Q202" s="19"/>
      <c r="R202" s="19"/>
      <c r="S202" s="19"/>
      <c r="T202" s="20"/>
      <c r="U202" s="19"/>
      <c r="V202" s="19"/>
      <c r="W202" s="20"/>
      <c r="X202" s="12"/>
      <c r="Y202" s="12"/>
      <c r="Z202" s="12"/>
      <c r="AA202" s="12"/>
      <c r="AB202" s="12"/>
      <c r="AC202" s="12"/>
      <c r="AD202" s="12"/>
      <c r="AE202" s="12"/>
      <c r="AF202" s="12"/>
    </row>
    <row r="203" spans="1:32" ht="12.75" customHeight="1" x14ac:dyDescent="0.25">
      <c r="A203" s="36"/>
      <c r="B203" s="36"/>
      <c r="C203" s="36"/>
      <c r="D203" s="36"/>
      <c r="E203" s="36"/>
      <c r="F203" s="37"/>
      <c r="G203" s="12"/>
      <c r="H203" s="12"/>
      <c r="I203" s="38"/>
      <c r="J203" s="38"/>
      <c r="K203" s="39"/>
      <c r="L203" s="16"/>
      <c r="M203" s="16"/>
      <c r="N203" s="17"/>
      <c r="O203" s="18"/>
      <c r="P203" s="18"/>
      <c r="Q203" s="19"/>
      <c r="R203" s="19"/>
      <c r="S203" s="19"/>
      <c r="T203" s="20"/>
      <c r="U203" s="19"/>
      <c r="V203" s="19"/>
      <c r="W203" s="20"/>
      <c r="X203" s="12"/>
      <c r="Y203" s="12"/>
      <c r="Z203" s="12"/>
      <c r="AA203" s="12"/>
      <c r="AB203" s="12"/>
      <c r="AC203" s="12"/>
      <c r="AD203" s="12"/>
      <c r="AE203" s="12"/>
      <c r="AF203" s="12"/>
    </row>
    <row r="204" spans="1:32" ht="12.75" customHeight="1" x14ac:dyDescent="0.25">
      <c r="A204" s="36"/>
      <c r="B204" s="36"/>
      <c r="C204" s="36"/>
      <c r="D204" s="36"/>
      <c r="E204" s="36"/>
      <c r="F204" s="37"/>
      <c r="G204" s="12"/>
      <c r="H204" s="12"/>
      <c r="I204" s="38"/>
      <c r="J204" s="38"/>
      <c r="K204" s="39"/>
      <c r="L204" s="16"/>
      <c r="M204" s="16"/>
      <c r="N204" s="17"/>
      <c r="O204" s="18"/>
      <c r="P204" s="18"/>
      <c r="Q204" s="19"/>
      <c r="R204" s="19"/>
      <c r="S204" s="19"/>
      <c r="T204" s="20"/>
      <c r="U204" s="19"/>
      <c r="V204" s="19"/>
      <c r="W204" s="20"/>
      <c r="X204" s="12"/>
      <c r="Y204" s="12"/>
      <c r="Z204" s="12"/>
      <c r="AA204" s="12"/>
      <c r="AB204" s="12"/>
      <c r="AC204" s="12"/>
      <c r="AD204" s="12"/>
      <c r="AE204" s="12"/>
      <c r="AF204" s="12"/>
    </row>
    <row r="205" spans="1:32" ht="12.75" customHeight="1" x14ac:dyDescent="0.25">
      <c r="A205" s="36"/>
      <c r="B205" s="36"/>
      <c r="C205" s="36"/>
      <c r="D205" s="36"/>
      <c r="E205" s="36"/>
      <c r="F205" s="37"/>
      <c r="G205" s="12"/>
      <c r="H205" s="12"/>
      <c r="I205" s="38"/>
      <c r="J205" s="38"/>
      <c r="K205" s="39"/>
      <c r="L205" s="16"/>
      <c r="M205" s="16"/>
      <c r="N205" s="17"/>
      <c r="O205" s="18"/>
      <c r="P205" s="18"/>
      <c r="Q205" s="19"/>
      <c r="R205" s="19"/>
      <c r="S205" s="19"/>
      <c r="T205" s="20"/>
      <c r="U205" s="19"/>
      <c r="V205" s="19"/>
      <c r="W205" s="20"/>
      <c r="X205" s="12"/>
      <c r="Y205" s="12"/>
      <c r="Z205" s="12"/>
      <c r="AA205" s="12"/>
      <c r="AB205" s="12"/>
      <c r="AC205" s="12"/>
      <c r="AD205" s="12"/>
      <c r="AE205" s="12"/>
      <c r="AF205" s="12"/>
    </row>
    <row r="206" spans="1:32" ht="12.75" customHeight="1" x14ac:dyDescent="0.25">
      <c r="A206" s="36"/>
      <c r="B206" s="36"/>
      <c r="C206" s="36"/>
      <c r="D206" s="36"/>
      <c r="E206" s="36"/>
      <c r="F206" s="37"/>
      <c r="G206" s="12"/>
      <c r="H206" s="12"/>
      <c r="I206" s="38"/>
      <c r="J206" s="38"/>
      <c r="K206" s="39"/>
      <c r="L206" s="16"/>
      <c r="M206" s="16"/>
      <c r="N206" s="17"/>
      <c r="O206" s="18"/>
      <c r="P206" s="18"/>
      <c r="Q206" s="19"/>
      <c r="R206" s="19"/>
      <c r="S206" s="19"/>
      <c r="T206" s="20"/>
      <c r="U206" s="19"/>
      <c r="V206" s="19"/>
      <c r="W206" s="20"/>
      <c r="X206" s="12"/>
      <c r="Y206" s="12"/>
      <c r="Z206" s="12"/>
      <c r="AA206" s="12"/>
      <c r="AB206" s="12"/>
      <c r="AC206" s="12"/>
      <c r="AD206" s="12"/>
      <c r="AE206" s="12"/>
      <c r="AF206" s="12"/>
    </row>
    <row r="207" spans="1:32" ht="12.75" customHeight="1" x14ac:dyDescent="0.25">
      <c r="A207" s="36"/>
      <c r="B207" s="36"/>
      <c r="C207" s="36"/>
      <c r="D207" s="36"/>
      <c r="E207" s="36"/>
      <c r="F207" s="37"/>
      <c r="G207" s="12"/>
      <c r="H207" s="12"/>
      <c r="I207" s="38"/>
      <c r="J207" s="38"/>
      <c r="K207" s="39"/>
      <c r="L207" s="16"/>
      <c r="M207" s="16"/>
      <c r="N207" s="17"/>
      <c r="O207" s="18"/>
      <c r="P207" s="18"/>
      <c r="Q207" s="19"/>
      <c r="R207" s="19"/>
      <c r="S207" s="19"/>
      <c r="T207" s="20"/>
      <c r="U207" s="19"/>
      <c r="V207" s="19"/>
      <c r="W207" s="20"/>
      <c r="X207" s="12"/>
      <c r="Y207" s="12"/>
      <c r="Z207" s="12"/>
      <c r="AA207" s="12"/>
      <c r="AB207" s="12"/>
      <c r="AC207" s="12"/>
      <c r="AD207" s="12"/>
      <c r="AE207" s="12"/>
      <c r="AF207" s="12"/>
    </row>
    <row r="208" spans="1:32" ht="12.75" customHeight="1" x14ac:dyDescent="0.25">
      <c r="A208" s="36"/>
      <c r="B208" s="36"/>
      <c r="C208" s="36"/>
      <c r="D208" s="36"/>
      <c r="E208" s="36"/>
      <c r="F208" s="37"/>
      <c r="G208" s="12"/>
      <c r="H208" s="12"/>
      <c r="I208" s="38"/>
      <c r="J208" s="38"/>
      <c r="K208" s="39"/>
      <c r="L208" s="16"/>
      <c r="M208" s="16"/>
      <c r="N208" s="17"/>
      <c r="O208" s="18"/>
      <c r="P208" s="18"/>
      <c r="Q208" s="19"/>
      <c r="R208" s="19"/>
      <c r="S208" s="19"/>
      <c r="T208" s="20"/>
      <c r="U208" s="19"/>
      <c r="V208" s="19"/>
      <c r="W208" s="20"/>
      <c r="X208" s="12"/>
      <c r="Y208" s="12"/>
      <c r="Z208" s="12"/>
      <c r="AA208" s="12"/>
      <c r="AB208" s="12"/>
      <c r="AC208" s="12"/>
      <c r="AD208" s="12"/>
      <c r="AE208" s="12"/>
      <c r="AF208" s="12"/>
    </row>
    <row r="209" spans="1:32" ht="12.75" customHeight="1" x14ac:dyDescent="0.25">
      <c r="A209" s="36"/>
      <c r="B209" s="36"/>
      <c r="C209" s="36"/>
      <c r="D209" s="36"/>
      <c r="E209" s="36"/>
      <c r="F209" s="37"/>
      <c r="G209" s="12"/>
      <c r="H209" s="12"/>
      <c r="I209" s="38"/>
      <c r="J209" s="38"/>
      <c r="K209" s="39"/>
      <c r="L209" s="16"/>
      <c r="M209" s="16"/>
      <c r="N209" s="17"/>
      <c r="O209" s="18"/>
      <c r="P209" s="18"/>
      <c r="Q209" s="19"/>
      <c r="R209" s="19"/>
      <c r="S209" s="19"/>
      <c r="T209" s="20"/>
      <c r="U209" s="19"/>
      <c r="V209" s="19"/>
      <c r="W209" s="20"/>
      <c r="X209" s="12"/>
      <c r="Y209" s="12"/>
      <c r="Z209" s="12"/>
      <c r="AA209" s="12"/>
      <c r="AB209" s="12"/>
      <c r="AC209" s="12"/>
      <c r="AD209" s="12"/>
      <c r="AE209" s="12"/>
      <c r="AF209" s="12"/>
    </row>
    <row r="210" spans="1:32" ht="12.75" customHeight="1" x14ac:dyDescent="0.25">
      <c r="A210" s="36"/>
      <c r="B210" s="36"/>
      <c r="C210" s="36"/>
      <c r="D210" s="36"/>
      <c r="E210" s="36"/>
      <c r="F210" s="37"/>
      <c r="G210" s="12"/>
      <c r="H210" s="12"/>
      <c r="I210" s="38"/>
      <c r="J210" s="38"/>
      <c r="K210" s="39"/>
      <c r="L210" s="16"/>
      <c r="M210" s="16"/>
      <c r="N210" s="17"/>
      <c r="O210" s="18"/>
      <c r="P210" s="18"/>
      <c r="Q210" s="19"/>
      <c r="R210" s="19"/>
      <c r="S210" s="19"/>
      <c r="T210" s="20"/>
      <c r="U210" s="19"/>
      <c r="V210" s="19"/>
      <c r="W210" s="20"/>
      <c r="X210" s="12"/>
      <c r="Y210" s="12"/>
      <c r="Z210" s="12"/>
      <c r="AA210" s="12"/>
      <c r="AB210" s="12"/>
      <c r="AC210" s="12"/>
      <c r="AD210" s="12"/>
      <c r="AE210" s="12"/>
      <c r="AF210" s="12"/>
    </row>
    <row r="211" spans="1:32" ht="12.75" customHeight="1" x14ac:dyDescent="0.25">
      <c r="A211" s="36"/>
      <c r="B211" s="36"/>
      <c r="C211" s="36"/>
      <c r="D211" s="36"/>
      <c r="E211" s="36"/>
      <c r="F211" s="37"/>
      <c r="G211" s="12"/>
      <c r="H211" s="12"/>
      <c r="I211" s="38"/>
      <c r="J211" s="38"/>
      <c r="K211" s="39"/>
      <c r="L211" s="16"/>
      <c r="M211" s="16"/>
      <c r="N211" s="17"/>
      <c r="O211" s="18"/>
      <c r="P211" s="18"/>
      <c r="Q211" s="19"/>
      <c r="R211" s="19"/>
      <c r="S211" s="19"/>
      <c r="T211" s="20"/>
      <c r="U211" s="19"/>
      <c r="V211" s="19"/>
      <c r="W211" s="20"/>
      <c r="X211" s="12"/>
      <c r="Y211" s="12"/>
      <c r="Z211" s="12"/>
      <c r="AA211" s="12"/>
      <c r="AB211" s="12"/>
      <c r="AC211" s="12"/>
      <c r="AD211" s="12"/>
      <c r="AE211" s="12"/>
      <c r="AF211" s="12"/>
    </row>
    <row r="212" spans="1:32" ht="12.75" customHeight="1" x14ac:dyDescent="0.25">
      <c r="A212" s="36"/>
      <c r="B212" s="36"/>
      <c r="C212" s="36"/>
      <c r="D212" s="36"/>
      <c r="E212" s="36"/>
      <c r="F212" s="37"/>
      <c r="G212" s="12"/>
      <c r="H212" s="12"/>
      <c r="I212" s="38"/>
      <c r="J212" s="38"/>
      <c r="K212" s="39"/>
      <c r="L212" s="16"/>
      <c r="M212" s="16"/>
      <c r="N212" s="17"/>
      <c r="O212" s="18"/>
      <c r="P212" s="18"/>
      <c r="Q212" s="19"/>
      <c r="R212" s="19"/>
      <c r="S212" s="19"/>
      <c r="T212" s="20"/>
      <c r="U212" s="19"/>
      <c r="V212" s="19"/>
      <c r="W212" s="20"/>
      <c r="X212" s="12"/>
      <c r="Y212" s="12"/>
      <c r="Z212" s="12"/>
      <c r="AA212" s="12"/>
      <c r="AB212" s="12"/>
      <c r="AC212" s="12"/>
      <c r="AD212" s="12"/>
      <c r="AE212" s="12"/>
      <c r="AF212" s="12"/>
    </row>
    <row r="213" spans="1:32" ht="12.75" customHeight="1" x14ac:dyDescent="0.25">
      <c r="A213" s="36"/>
      <c r="B213" s="36"/>
      <c r="C213" s="36"/>
      <c r="D213" s="36"/>
      <c r="E213" s="36"/>
      <c r="F213" s="37"/>
      <c r="G213" s="12"/>
      <c r="H213" s="12"/>
      <c r="I213" s="38"/>
      <c r="J213" s="38"/>
      <c r="K213" s="39"/>
      <c r="L213" s="16"/>
      <c r="M213" s="16"/>
      <c r="N213" s="17"/>
      <c r="O213" s="18"/>
      <c r="P213" s="18"/>
      <c r="Q213" s="19"/>
      <c r="R213" s="19"/>
      <c r="S213" s="19"/>
      <c r="T213" s="20"/>
      <c r="U213" s="19"/>
      <c r="V213" s="19"/>
      <c r="W213" s="20"/>
      <c r="X213" s="12"/>
      <c r="Y213" s="12"/>
      <c r="Z213" s="12"/>
      <c r="AA213" s="12"/>
      <c r="AB213" s="12"/>
      <c r="AC213" s="12"/>
      <c r="AD213" s="12"/>
      <c r="AE213" s="12"/>
      <c r="AF213" s="12"/>
    </row>
    <row r="214" spans="1:32" ht="12.75" customHeight="1" x14ac:dyDescent="0.25">
      <c r="A214" s="36"/>
      <c r="B214" s="36"/>
      <c r="C214" s="36"/>
      <c r="D214" s="36"/>
      <c r="E214" s="36"/>
      <c r="F214" s="37"/>
      <c r="G214" s="12"/>
      <c r="H214" s="12"/>
      <c r="I214" s="38"/>
      <c r="J214" s="38"/>
      <c r="K214" s="39"/>
      <c r="L214" s="16"/>
      <c r="M214" s="16"/>
      <c r="N214" s="17"/>
      <c r="O214" s="18"/>
      <c r="P214" s="18"/>
      <c r="Q214" s="19"/>
      <c r="R214" s="19"/>
      <c r="S214" s="19"/>
      <c r="T214" s="20"/>
      <c r="U214" s="19"/>
      <c r="V214" s="19"/>
      <c r="W214" s="20"/>
      <c r="X214" s="12"/>
      <c r="Y214" s="12"/>
      <c r="Z214" s="12"/>
      <c r="AA214" s="12"/>
      <c r="AB214" s="12"/>
      <c r="AC214" s="12"/>
      <c r="AD214" s="12"/>
      <c r="AE214" s="12"/>
      <c r="AF214" s="12"/>
    </row>
    <row r="215" spans="1:32" ht="12.75" customHeight="1" x14ac:dyDescent="0.25">
      <c r="A215" s="36"/>
      <c r="B215" s="36"/>
      <c r="C215" s="36"/>
      <c r="D215" s="36"/>
      <c r="E215" s="36"/>
      <c r="F215" s="37"/>
      <c r="G215" s="12"/>
      <c r="H215" s="12"/>
      <c r="I215" s="38"/>
      <c r="J215" s="38"/>
      <c r="K215" s="39"/>
      <c r="L215" s="16"/>
      <c r="M215" s="16"/>
      <c r="N215" s="17"/>
      <c r="O215" s="18"/>
      <c r="P215" s="18"/>
      <c r="Q215" s="19"/>
      <c r="R215" s="19"/>
      <c r="S215" s="19"/>
      <c r="T215" s="20"/>
      <c r="U215" s="19"/>
      <c r="V215" s="19"/>
      <c r="W215" s="20"/>
      <c r="X215" s="12"/>
      <c r="Y215" s="12"/>
      <c r="Z215" s="12"/>
      <c r="AA215" s="12"/>
      <c r="AB215" s="12"/>
      <c r="AC215" s="12"/>
      <c r="AD215" s="12"/>
      <c r="AE215" s="12"/>
      <c r="AF215" s="12"/>
    </row>
    <row r="216" spans="1:32" ht="12.75" customHeight="1" x14ac:dyDescent="0.25">
      <c r="A216" s="36"/>
      <c r="B216" s="36"/>
      <c r="C216" s="36"/>
      <c r="D216" s="36"/>
      <c r="E216" s="36"/>
      <c r="F216" s="37"/>
      <c r="G216" s="12"/>
      <c r="H216" s="12"/>
      <c r="I216" s="38"/>
      <c r="J216" s="38"/>
      <c r="K216" s="39"/>
      <c r="L216" s="16"/>
      <c r="M216" s="16"/>
      <c r="N216" s="17"/>
      <c r="O216" s="18"/>
      <c r="P216" s="18"/>
      <c r="Q216" s="19"/>
      <c r="R216" s="19"/>
      <c r="S216" s="19"/>
      <c r="T216" s="20"/>
      <c r="U216" s="19"/>
      <c r="V216" s="19"/>
      <c r="W216" s="20"/>
      <c r="X216" s="12"/>
      <c r="Y216" s="12"/>
      <c r="Z216" s="12"/>
      <c r="AA216" s="12"/>
      <c r="AB216" s="12"/>
      <c r="AC216" s="12"/>
      <c r="AD216" s="12"/>
      <c r="AE216" s="12"/>
      <c r="AF216" s="12"/>
    </row>
    <row r="217" spans="1:32" ht="15.75" customHeight="1" x14ac:dyDescent="0.25">
      <c r="E217" s="40"/>
      <c r="G217" s="40"/>
      <c r="J217" s="40"/>
      <c r="M217" s="40"/>
      <c r="P217" s="40"/>
    </row>
    <row r="218" spans="1:32" ht="15.75" customHeight="1" x14ac:dyDescent="0.25">
      <c r="E218" s="40"/>
      <c r="G218" s="40"/>
      <c r="J218" s="40"/>
      <c r="M218" s="40"/>
      <c r="P218" s="40"/>
    </row>
    <row r="219" spans="1:32" ht="15.75" customHeight="1" x14ac:dyDescent="0.25">
      <c r="E219" s="40"/>
      <c r="G219" s="40"/>
      <c r="J219" s="40"/>
      <c r="M219" s="40"/>
      <c r="P219" s="40"/>
    </row>
    <row r="220" spans="1:32" ht="15.75" customHeight="1" x14ac:dyDescent="0.25">
      <c r="E220" s="40"/>
      <c r="G220" s="40"/>
      <c r="J220" s="40"/>
      <c r="M220" s="40"/>
      <c r="P220" s="40"/>
    </row>
    <row r="221" spans="1:32" ht="15.75" customHeight="1" x14ac:dyDescent="0.25">
      <c r="E221" s="40"/>
      <c r="G221" s="40"/>
      <c r="J221" s="40"/>
      <c r="M221" s="40"/>
      <c r="P221" s="40"/>
    </row>
    <row r="222" spans="1:32" ht="15.75" customHeight="1" x14ac:dyDescent="0.25">
      <c r="E222" s="40"/>
      <c r="G222" s="40"/>
      <c r="J222" s="40"/>
      <c r="M222" s="40"/>
      <c r="P222" s="40"/>
    </row>
    <row r="223" spans="1:32" ht="15.75" customHeight="1" x14ac:dyDescent="0.25">
      <c r="E223" s="40"/>
      <c r="G223" s="40"/>
      <c r="J223" s="40"/>
      <c r="M223" s="40"/>
      <c r="P223" s="40"/>
    </row>
    <row r="224" spans="1:32" ht="15.75" customHeight="1" x14ac:dyDescent="0.25">
      <c r="E224" s="40"/>
      <c r="G224" s="40"/>
      <c r="J224" s="40"/>
      <c r="M224" s="40"/>
      <c r="P224" s="40"/>
    </row>
    <row r="225" spans="5:16" ht="15.75" customHeight="1" x14ac:dyDescent="0.25">
      <c r="E225" s="40"/>
      <c r="G225" s="40"/>
      <c r="J225" s="40"/>
      <c r="M225" s="40"/>
      <c r="P225" s="40"/>
    </row>
    <row r="226" spans="5:16" ht="15.75" customHeight="1" x14ac:dyDescent="0.25">
      <c r="E226" s="40"/>
      <c r="G226" s="40"/>
      <c r="J226" s="40"/>
      <c r="M226" s="40"/>
      <c r="P226" s="40"/>
    </row>
    <row r="227" spans="5:16" ht="15.75" customHeight="1" x14ac:dyDescent="0.25">
      <c r="E227" s="40"/>
      <c r="G227" s="40"/>
      <c r="J227" s="40"/>
      <c r="M227" s="40"/>
      <c r="P227" s="40"/>
    </row>
    <row r="228" spans="5:16" ht="15.75" customHeight="1" x14ac:dyDescent="0.25">
      <c r="E228" s="40"/>
      <c r="G228" s="40"/>
      <c r="J228" s="40"/>
      <c r="M228" s="40"/>
      <c r="P228" s="40"/>
    </row>
    <row r="229" spans="5:16" ht="15.75" customHeight="1" x14ac:dyDescent="0.25">
      <c r="E229" s="40"/>
      <c r="G229" s="40"/>
      <c r="J229" s="40"/>
      <c r="M229" s="40"/>
      <c r="P229" s="40"/>
    </row>
    <row r="230" spans="5:16" ht="15.75" customHeight="1" x14ac:dyDescent="0.25">
      <c r="E230" s="40"/>
      <c r="G230" s="40"/>
      <c r="J230" s="40"/>
      <c r="M230" s="40"/>
      <c r="P230" s="40"/>
    </row>
    <row r="231" spans="5:16" ht="15.75" customHeight="1" x14ac:dyDescent="0.25">
      <c r="E231" s="40"/>
      <c r="G231" s="40"/>
      <c r="J231" s="40"/>
      <c r="M231" s="40"/>
      <c r="P231" s="40"/>
    </row>
    <row r="232" spans="5:16" ht="15.75" customHeight="1" x14ac:dyDescent="0.25">
      <c r="E232" s="40"/>
      <c r="G232" s="40"/>
      <c r="J232" s="40"/>
      <c r="M232" s="40"/>
      <c r="P232" s="40"/>
    </row>
    <row r="233" spans="5:16" ht="15.75" customHeight="1" x14ac:dyDescent="0.25">
      <c r="E233" s="40"/>
      <c r="G233" s="40"/>
      <c r="J233" s="40"/>
      <c r="M233" s="40"/>
      <c r="P233" s="40"/>
    </row>
    <row r="234" spans="5:16" ht="15.75" customHeight="1" x14ac:dyDescent="0.25">
      <c r="E234" s="40"/>
      <c r="G234" s="40"/>
      <c r="J234" s="40"/>
      <c r="M234" s="40"/>
      <c r="P234" s="40"/>
    </row>
    <row r="235" spans="5:16" ht="15.75" customHeight="1" x14ac:dyDescent="0.25">
      <c r="E235" s="40"/>
      <c r="G235" s="40"/>
      <c r="J235" s="40"/>
      <c r="M235" s="40"/>
      <c r="P235" s="40"/>
    </row>
    <row r="236" spans="5:16" ht="15.75" customHeight="1" x14ac:dyDescent="0.25">
      <c r="E236" s="40"/>
      <c r="G236" s="40"/>
      <c r="J236" s="40"/>
      <c r="M236" s="40"/>
      <c r="P236" s="40"/>
    </row>
    <row r="237" spans="5:16" ht="15.75" customHeight="1" x14ac:dyDescent="0.25">
      <c r="E237" s="40"/>
      <c r="G237" s="40"/>
      <c r="J237" s="40"/>
      <c r="M237" s="40"/>
      <c r="P237" s="40"/>
    </row>
    <row r="238" spans="5:16" ht="15.75" customHeight="1" x14ac:dyDescent="0.25">
      <c r="E238" s="40"/>
      <c r="G238" s="40"/>
      <c r="J238" s="40"/>
      <c r="M238" s="40"/>
      <c r="P238" s="40"/>
    </row>
    <row r="239" spans="5:16" ht="15.75" customHeight="1" x14ac:dyDescent="0.25">
      <c r="E239" s="40"/>
      <c r="G239" s="40"/>
      <c r="J239" s="40"/>
      <c r="M239" s="40"/>
      <c r="P239" s="40"/>
    </row>
    <row r="240" spans="5:16" ht="15.75" customHeight="1" x14ac:dyDescent="0.25">
      <c r="E240" s="40"/>
      <c r="G240" s="40"/>
      <c r="J240" s="40"/>
      <c r="M240" s="40"/>
      <c r="P240" s="40"/>
    </row>
    <row r="241" spans="5:16" ht="15.75" customHeight="1" x14ac:dyDescent="0.25">
      <c r="E241" s="40"/>
      <c r="G241" s="40"/>
      <c r="J241" s="40"/>
      <c r="M241" s="40"/>
      <c r="P241" s="40"/>
    </row>
    <row r="242" spans="5:16" ht="15.75" customHeight="1" x14ac:dyDescent="0.25">
      <c r="E242" s="40"/>
      <c r="G242" s="40"/>
      <c r="J242" s="40"/>
      <c r="M242" s="40"/>
      <c r="P242" s="40"/>
    </row>
    <row r="243" spans="5:16" ht="15.75" customHeight="1" x14ac:dyDescent="0.25">
      <c r="E243" s="40"/>
      <c r="G243" s="40"/>
      <c r="J243" s="40"/>
      <c r="M243" s="40"/>
      <c r="P243" s="40"/>
    </row>
    <row r="244" spans="5:16" ht="15.75" customHeight="1" x14ac:dyDescent="0.25">
      <c r="E244" s="40"/>
      <c r="G244" s="40"/>
      <c r="J244" s="40"/>
      <c r="M244" s="40"/>
      <c r="P244" s="40"/>
    </row>
    <row r="245" spans="5:16" ht="15.75" customHeight="1" x14ac:dyDescent="0.25">
      <c r="E245" s="40"/>
      <c r="G245" s="40"/>
      <c r="J245" s="40"/>
      <c r="M245" s="40"/>
      <c r="P245" s="40"/>
    </row>
    <row r="246" spans="5:16" ht="15.75" customHeight="1" x14ac:dyDescent="0.25">
      <c r="E246" s="40"/>
      <c r="G246" s="40"/>
      <c r="J246" s="40"/>
      <c r="M246" s="40"/>
      <c r="P246" s="40"/>
    </row>
    <row r="247" spans="5:16" ht="15.75" customHeight="1" x14ac:dyDescent="0.25">
      <c r="E247" s="40"/>
      <c r="G247" s="40"/>
      <c r="J247" s="40"/>
      <c r="M247" s="40"/>
      <c r="P247" s="40"/>
    </row>
    <row r="248" spans="5:16" ht="15.75" customHeight="1" x14ac:dyDescent="0.25">
      <c r="E248" s="40"/>
      <c r="G248" s="40"/>
      <c r="J248" s="40"/>
      <c r="M248" s="40"/>
      <c r="P248" s="40"/>
    </row>
    <row r="249" spans="5:16" ht="15.75" customHeight="1" x14ac:dyDescent="0.25">
      <c r="E249" s="40"/>
      <c r="G249" s="40"/>
      <c r="J249" s="40"/>
      <c r="M249" s="40"/>
      <c r="P249" s="40"/>
    </row>
    <row r="250" spans="5:16" ht="15.75" customHeight="1" x14ac:dyDescent="0.25">
      <c r="E250" s="40"/>
      <c r="G250" s="40"/>
      <c r="J250" s="40"/>
      <c r="M250" s="40"/>
      <c r="P250" s="40"/>
    </row>
    <row r="251" spans="5:16" ht="15.75" customHeight="1" x14ac:dyDescent="0.25">
      <c r="E251" s="40"/>
      <c r="G251" s="40"/>
      <c r="J251" s="40"/>
      <c r="M251" s="40"/>
      <c r="P251" s="40"/>
    </row>
    <row r="252" spans="5:16" ht="15.75" customHeight="1" x14ac:dyDescent="0.25">
      <c r="E252" s="40"/>
      <c r="G252" s="40"/>
      <c r="J252" s="40"/>
      <c r="M252" s="40"/>
      <c r="P252" s="40"/>
    </row>
    <row r="253" spans="5:16" ht="15.75" customHeight="1" x14ac:dyDescent="0.25">
      <c r="E253" s="40"/>
      <c r="G253" s="40"/>
      <c r="J253" s="40"/>
      <c r="M253" s="40"/>
      <c r="P253" s="40"/>
    </row>
    <row r="254" spans="5:16" ht="15.75" customHeight="1" x14ac:dyDescent="0.25">
      <c r="E254" s="40"/>
      <c r="G254" s="40"/>
      <c r="J254" s="40"/>
      <c r="M254" s="40"/>
      <c r="P254" s="40"/>
    </row>
    <row r="255" spans="5:16" ht="15.75" customHeight="1" x14ac:dyDescent="0.25">
      <c r="E255" s="40"/>
      <c r="G255" s="40"/>
      <c r="J255" s="40"/>
      <c r="M255" s="40"/>
      <c r="P255" s="40"/>
    </row>
    <row r="256" spans="5:16" ht="15.75" customHeight="1" x14ac:dyDescent="0.25">
      <c r="E256" s="40"/>
      <c r="G256" s="40"/>
      <c r="J256" s="40"/>
      <c r="M256" s="40"/>
      <c r="P256" s="40"/>
    </row>
    <row r="257" spans="5:16" ht="15.75" customHeight="1" x14ac:dyDescent="0.25">
      <c r="E257" s="40"/>
      <c r="G257" s="40"/>
      <c r="J257" s="40"/>
      <c r="M257" s="40"/>
      <c r="P257" s="40"/>
    </row>
    <row r="258" spans="5:16" ht="15.75" customHeight="1" x14ac:dyDescent="0.25">
      <c r="E258" s="40"/>
      <c r="G258" s="40"/>
      <c r="J258" s="40"/>
      <c r="M258" s="40"/>
      <c r="P258" s="40"/>
    </row>
    <row r="259" spans="5:16" ht="15.75" customHeight="1" x14ac:dyDescent="0.25">
      <c r="E259" s="40"/>
      <c r="G259" s="40"/>
      <c r="J259" s="40"/>
      <c r="M259" s="40"/>
      <c r="P259" s="40"/>
    </row>
    <row r="260" spans="5:16" ht="15.75" customHeight="1" x14ac:dyDescent="0.25">
      <c r="E260" s="40"/>
      <c r="G260" s="40"/>
      <c r="J260" s="40"/>
      <c r="M260" s="40"/>
      <c r="P260" s="40"/>
    </row>
    <row r="261" spans="5:16" ht="15.75" customHeight="1" x14ac:dyDescent="0.25">
      <c r="E261" s="40"/>
      <c r="G261" s="40"/>
      <c r="J261" s="40"/>
      <c r="M261" s="40"/>
      <c r="P261" s="40"/>
    </row>
    <row r="262" spans="5:16" ht="15.75" customHeight="1" x14ac:dyDescent="0.25">
      <c r="E262" s="40"/>
      <c r="G262" s="40"/>
      <c r="J262" s="40"/>
      <c r="M262" s="40"/>
      <c r="P262" s="40"/>
    </row>
    <row r="263" spans="5:16" ht="15.75" customHeight="1" x14ac:dyDescent="0.25">
      <c r="E263" s="40"/>
      <c r="G263" s="40"/>
      <c r="J263" s="40"/>
      <c r="M263" s="40"/>
      <c r="P263" s="40"/>
    </row>
    <row r="264" spans="5:16" ht="15.75" customHeight="1" x14ac:dyDescent="0.25">
      <c r="E264" s="40"/>
      <c r="G264" s="40"/>
      <c r="J264" s="40"/>
      <c r="M264" s="40"/>
      <c r="P264" s="40"/>
    </row>
    <row r="265" spans="5:16" ht="15.75" customHeight="1" x14ac:dyDescent="0.25">
      <c r="E265" s="40"/>
      <c r="G265" s="40"/>
      <c r="J265" s="40"/>
      <c r="M265" s="40"/>
      <c r="P265" s="40"/>
    </row>
    <row r="266" spans="5:16" ht="15.75" customHeight="1" x14ac:dyDescent="0.25">
      <c r="E266" s="40"/>
      <c r="G266" s="40"/>
      <c r="J266" s="40"/>
      <c r="M266" s="40"/>
      <c r="P266" s="40"/>
    </row>
    <row r="267" spans="5:16" ht="15.75" customHeight="1" x14ac:dyDescent="0.25">
      <c r="E267" s="40"/>
      <c r="G267" s="40"/>
      <c r="J267" s="40"/>
      <c r="M267" s="40"/>
      <c r="P267" s="40"/>
    </row>
    <row r="268" spans="5:16" ht="15.75" customHeight="1" x14ac:dyDescent="0.25">
      <c r="E268" s="40"/>
      <c r="G268" s="40"/>
      <c r="J268" s="40"/>
      <c r="M268" s="40"/>
      <c r="P268" s="40"/>
    </row>
    <row r="269" spans="5:16" ht="15.75" customHeight="1" x14ac:dyDescent="0.25">
      <c r="E269" s="40"/>
      <c r="G269" s="40"/>
      <c r="J269" s="40"/>
      <c r="M269" s="40"/>
      <c r="P269" s="40"/>
    </row>
    <row r="270" spans="5:16" ht="15.75" customHeight="1" x14ac:dyDescent="0.25">
      <c r="E270" s="40"/>
      <c r="G270" s="40"/>
      <c r="J270" s="40"/>
      <c r="M270" s="40"/>
      <c r="P270" s="40"/>
    </row>
    <row r="271" spans="5:16" ht="15.75" customHeight="1" x14ac:dyDescent="0.25">
      <c r="E271" s="40"/>
      <c r="G271" s="40"/>
      <c r="J271" s="40"/>
      <c r="M271" s="40"/>
      <c r="P271" s="40"/>
    </row>
    <row r="272" spans="5:16" ht="15.75" customHeight="1" x14ac:dyDescent="0.25">
      <c r="E272" s="40"/>
      <c r="G272" s="40"/>
      <c r="J272" s="40"/>
      <c r="M272" s="40"/>
      <c r="P272" s="40"/>
    </row>
    <row r="273" spans="5:16" ht="15.75" customHeight="1" x14ac:dyDescent="0.25">
      <c r="E273" s="40"/>
      <c r="G273" s="40"/>
      <c r="J273" s="40"/>
      <c r="M273" s="40"/>
      <c r="P273" s="40"/>
    </row>
    <row r="274" spans="5:16" ht="15.75" customHeight="1" x14ac:dyDescent="0.25">
      <c r="E274" s="40"/>
      <c r="G274" s="40"/>
      <c r="J274" s="40"/>
      <c r="M274" s="40"/>
      <c r="P274" s="40"/>
    </row>
    <row r="275" spans="5:16" ht="15.75" customHeight="1" x14ac:dyDescent="0.25">
      <c r="E275" s="40"/>
      <c r="G275" s="40"/>
      <c r="J275" s="40"/>
      <c r="M275" s="40"/>
      <c r="P275" s="40"/>
    </row>
    <row r="276" spans="5:16" ht="15.75" customHeight="1" x14ac:dyDescent="0.25">
      <c r="E276" s="40"/>
      <c r="G276" s="40"/>
      <c r="J276" s="40"/>
      <c r="M276" s="40"/>
      <c r="P276" s="40"/>
    </row>
    <row r="277" spans="5:16" ht="15.75" customHeight="1" x14ac:dyDescent="0.25">
      <c r="E277" s="40"/>
      <c r="G277" s="40"/>
      <c r="J277" s="40"/>
      <c r="M277" s="40"/>
      <c r="P277" s="40"/>
    </row>
    <row r="278" spans="5:16" ht="15.75" customHeight="1" x14ac:dyDescent="0.25">
      <c r="E278" s="40"/>
      <c r="G278" s="40"/>
      <c r="J278" s="40"/>
      <c r="M278" s="40"/>
      <c r="P278" s="40"/>
    </row>
    <row r="279" spans="5:16" ht="15.75" customHeight="1" x14ac:dyDescent="0.25">
      <c r="E279" s="40"/>
      <c r="G279" s="40"/>
      <c r="J279" s="40"/>
      <c r="M279" s="40"/>
      <c r="P279" s="40"/>
    </row>
    <row r="280" spans="5:16" ht="15.75" customHeight="1" x14ac:dyDescent="0.25">
      <c r="E280" s="40"/>
      <c r="G280" s="40"/>
      <c r="J280" s="40"/>
      <c r="M280" s="40"/>
      <c r="P280" s="40"/>
    </row>
    <row r="281" spans="5:16" ht="15.75" customHeight="1" x14ac:dyDescent="0.25">
      <c r="E281" s="40"/>
      <c r="G281" s="40"/>
      <c r="J281" s="40"/>
      <c r="M281" s="40"/>
      <c r="P281" s="40"/>
    </row>
    <row r="282" spans="5:16" ht="15.75" customHeight="1" x14ac:dyDescent="0.25">
      <c r="E282" s="40"/>
      <c r="G282" s="40"/>
      <c r="J282" s="40"/>
      <c r="M282" s="40"/>
      <c r="P282" s="40"/>
    </row>
    <row r="283" spans="5:16" ht="15.75" customHeight="1" x14ac:dyDescent="0.25">
      <c r="E283" s="40"/>
      <c r="G283" s="40"/>
      <c r="J283" s="40"/>
      <c r="M283" s="40"/>
      <c r="P283" s="40"/>
    </row>
    <row r="284" spans="5:16" ht="15.75" customHeight="1" x14ac:dyDescent="0.25">
      <c r="E284" s="40"/>
      <c r="G284" s="40"/>
      <c r="J284" s="40"/>
      <c r="M284" s="40"/>
      <c r="P284" s="40"/>
    </row>
    <row r="285" spans="5:16" ht="15.75" customHeight="1" x14ac:dyDescent="0.25">
      <c r="E285" s="40"/>
      <c r="G285" s="40"/>
      <c r="J285" s="40"/>
      <c r="M285" s="40"/>
      <c r="P285" s="40"/>
    </row>
    <row r="286" spans="5:16" ht="15.75" customHeight="1" x14ac:dyDescent="0.25">
      <c r="E286" s="40"/>
      <c r="G286" s="40"/>
      <c r="J286" s="40"/>
      <c r="M286" s="40"/>
      <c r="P286" s="40"/>
    </row>
    <row r="287" spans="5:16" ht="15.75" customHeight="1" x14ac:dyDescent="0.25">
      <c r="E287" s="40"/>
      <c r="G287" s="40"/>
      <c r="J287" s="40"/>
      <c r="M287" s="40"/>
      <c r="P287" s="40"/>
    </row>
    <row r="288" spans="5:16" ht="15.75" customHeight="1" x14ac:dyDescent="0.25">
      <c r="E288" s="40"/>
      <c r="G288" s="40"/>
      <c r="J288" s="40"/>
      <c r="M288" s="40"/>
      <c r="P288" s="40"/>
    </row>
    <row r="289" spans="5:16" ht="15.75" customHeight="1" x14ac:dyDescent="0.25">
      <c r="E289" s="40"/>
      <c r="G289" s="40"/>
      <c r="J289" s="40"/>
      <c r="M289" s="40"/>
      <c r="P289" s="40"/>
    </row>
    <row r="290" spans="5:16" ht="15.75" customHeight="1" x14ac:dyDescent="0.25">
      <c r="E290" s="40"/>
      <c r="G290" s="40"/>
      <c r="J290" s="40"/>
      <c r="M290" s="40"/>
      <c r="P290" s="40"/>
    </row>
    <row r="291" spans="5:16" ht="15.75" customHeight="1" x14ac:dyDescent="0.25">
      <c r="E291" s="40"/>
      <c r="G291" s="40"/>
      <c r="J291" s="40"/>
      <c r="M291" s="40"/>
      <c r="P291" s="40"/>
    </row>
    <row r="292" spans="5:16" ht="15.75" customHeight="1" x14ac:dyDescent="0.25">
      <c r="E292" s="40"/>
      <c r="G292" s="40"/>
      <c r="J292" s="40"/>
      <c r="M292" s="40"/>
      <c r="P292" s="40"/>
    </row>
    <row r="293" spans="5:16" ht="15.75" customHeight="1" x14ac:dyDescent="0.25">
      <c r="E293" s="40"/>
      <c r="G293" s="40"/>
      <c r="J293" s="40"/>
      <c r="M293" s="40"/>
      <c r="P293" s="40"/>
    </row>
    <row r="294" spans="5:16" ht="15.75" customHeight="1" x14ac:dyDescent="0.25">
      <c r="E294" s="40"/>
      <c r="G294" s="40"/>
      <c r="J294" s="40"/>
      <c r="M294" s="40"/>
      <c r="P294" s="40"/>
    </row>
    <row r="295" spans="5:16" ht="15.75" customHeight="1" x14ac:dyDescent="0.25">
      <c r="E295" s="40"/>
      <c r="G295" s="40"/>
      <c r="J295" s="40"/>
      <c r="M295" s="40"/>
      <c r="P295" s="40"/>
    </row>
    <row r="296" spans="5:16" ht="15.75" customHeight="1" x14ac:dyDescent="0.25">
      <c r="E296" s="40"/>
      <c r="G296" s="40"/>
      <c r="J296" s="40"/>
      <c r="M296" s="40"/>
      <c r="P296" s="40"/>
    </row>
    <row r="297" spans="5:16" ht="15.75" customHeight="1" x14ac:dyDescent="0.25">
      <c r="E297" s="40"/>
      <c r="G297" s="40"/>
      <c r="J297" s="40"/>
      <c r="M297" s="40"/>
      <c r="P297" s="40"/>
    </row>
    <row r="298" spans="5:16" ht="15.75" customHeight="1" x14ac:dyDescent="0.25">
      <c r="E298" s="40"/>
      <c r="G298" s="40"/>
      <c r="J298" s="40"/>
      <c r="M298" s="40"/>
      <c r="P298" s="40"/>
    </row>
    <row r="299" spans="5:16" ht="15.75" customHeight="1" x14ac:dyDescent="0.25">
      <c r="E299" s="40"/>
      <c r="G299" s="40"/>
      <c r="J299" s="40"/>
      <c r="M299" s="40"/>
      <c r="P299" s="40"/>
    </row>
    <row r="300" spans="5:16" ht="15.75" customHeight="1" x14ac:dyDescent="0.25">
      <c r="E300" s="40"/>
      <c r="G300" s="40"/>
      <c r="J300" s="40"/>
      <c r="M300" s="40"/>
      <c r="P300" s="40"/>
    </row>
    <row r="301" spans="5:16" ht="15.75" customHeight="1" x14ac:dyDescent="0.25">
      <c r="E301" s="40"/>
      <c r="G301" s="40"/>
      <c r="J301" s="40"/>
      <c r="M301" s="40"/>
      <c r="P301" s="40"/>
    </row>
    <row r="302" spans="5:16" ht="15.75" customHeight="1" x14ac:dyDescent="0.25">
      <c r="E302" s="40"/>
      <c r="G302" s="40"/>
      <c r="J302" s="40"/>
      <c r="M302" s="40"/>
      <c r="P302" s="40"/>
    </row>
    <row r="303" spans="5:16" ht="15.75" customHeight="1" x14ac:dyDescent="0.25">
      <c r="E303" s="40"/>
      <c r="G303" s="40"/>
      <c r="J303" s="40"/>
      <c r="M303" s="40"/>
      <c r="P303" s="40"/>
    </row>
    <row r="304" spans="5:16" ht="15.75" customHeight="1" x14ac:dyDescent="0.25">
      <c r="E304" s="40"/>
      <c r="G304" s="40"/>
      <c r="J304" s="40"/>
      <c r="M304" s="40"/>
      <c r="P304" s="40"/>
    </row>
    <row r="305" spans="5:16" ht="15.75" customHeight="1" x14ac:dyDescent="0.25">
      <c r="E305" s="40"/>
      <c r="G305" s="40"/>
      <c r="J305" s="40"/>
      <c r="M305" s="40"/>
      <c r="P305" s="40"/>
    </row>
    <row r="306" spans="5:16" ht="15.75" customHeight="1" x14ac:dyDescent="0.25">
      <c r="E306" s="40"/>
      <c r="G306" s="40"/>
      <c r="J306" s="40"/>
      <c r="M306" s="40"/>
      <c r="P306" s="40"/>
    </row>
    <row r="307" spans="5:16" ht="15.75" customHeight="1" x14ac:dyDescent="0.25">
      <c r="E307" s="40"/>
      <c r="G307" s="40"/>
      <c r="J307" s="40"/>
      <c r="M307" s="40"/>
      <c r="P307" s="40"/>
    </row>
    <row r="308" spans="5:16" ht="15.75" customHeight="1" x14ac:dyDescent="0.25">
      <c r="E308" s="40"/>
      <c r="G308" s="40"/>
      <c r="J308" s="40"/>
      <c r="M308" s="40"/>
      <c r="P308" s="40"/>
    </row>
    <row r="309" spans="5:16" ht="15.75" customHeight="1" x14ac:dyDescent="0.25">
      <c r="E309" s="40"/>
      <c r="G309" s="40"/>
      <c r="J309" s="40"/>
      <c r="M309" s="40"/>
      <c r="P309" s="40"/>
    </row>
    <row r="310" spans="5:16" ht="15.75" customHeight="1" x14ac:dyDescent="0.25">
      <c r="E310" s="40"/>
      <c r="G310" s="40"/>
      <c r="J310" s="40"/>
      <c r="M310" s="40"/>
      <c r="P310" s="40"/>
    </row>
    <row r="311" spans="5:16" ht="15.75" customHeight="1" x14ac:dyDescent="0.25">
      <c r="E311" s="40"/>
      <c r="G311" s="40"/>
      <c r="J311" s="40"/>
      <c r="M311" s="40"/>
      <c r="P311" s="40"/>
    </row>
    <row r="312" spans="5:16" ht="15.75" customHeight="1" x14ac:dyDescent="0.25">
      <c r="E312" s="40"/>
      <c r="G312" s="40"/>
      <c r="J312" s="40"/>
      <c r="M312" s="40"/>
      <c r="P312" s="40"/>
    </row>
    <row r="313" spans="5:16" ht="15.75" customHeight="1" x14ac:dyDescent="0.25">
      <c r="E313" s="40"/>
      <c r="G313" s="40"/>
      <c r="J313" s="40"/>
      <c r="M313" s="40"/>
      <c r="P313" s="40"/>
    </row>
    <row r="314" spans="5:16" ht="15.75" customHeight="1" x14ac:dyDescent="0.25">
      <c r="E314" s="40"/>
      <c r="G314" s="40"/>
      <c r="J314" s="40"/>
      <c r="M314" s="40"/>
      <c r="P314" s="40"/>
    </row>
    <row r="315" spans="5:16" ht="15.75" customHeight="1" x14ac:dyDescent="0.25">
      <c r="E315" s="40"/>
      <c r="G315" s="40"/>
      <c r="J315" s="40"/>
      <c r="M315" s="40"/>
      <c r="P315" s="40"/>
    </row>
    <row r="316" spans="5:16" ht="15.75" customHeight="1" x14ac:dyDescent="0.25">
      <c r="E316" s="40"/>
      <c r="G316" s="40"/>
      <c r="J316" s="40"/>
      <c r="M316" s="40"/>
      <c r="P316" s="40"/>
    </row>
    <row r="317" spans="5:16" ht="15.75" customHeight="1" x14ac:dyDescent="0.25">
      <c r="E317" s="40"/>
      <c r="G317" s="40"/>
      <c r="J317" s="40"/>
      <c r="M317" s="40"/>
      <c r="P317" s="40"/>
    </row>
    <row r="318" spans="5:16" ht="15.75" customHeight="1" x14ac:dyDescent="0.25">
      <c r="E318" s="40"/>
      <c r="G318" s="40"/>
      <c r="J318" s="40"/>
      <c r="M318" s="40"/>
      <c r="P318" s="40"/>
    </row>
    <row r="319" spans="5:16" ht="15.75" customHeight="1" x14ac:dyDescent="0.25">
      <c r="E319" s="40"/>
      <c r="G319" s="40"/>
      <c r="J319" s="40"/>
      <c r="M319" s="40"/>
      <c r="P319" s="40"/>
    </row>
    <row r="320" spans="5:16" ht="15.75" customHeight="1" x14ac:dyDescent="0.25">
      <c r="E320" s="40"/>
      <c r="G320" s="40"/>
      <c r="J320" s="40"/>
      <c r="M320" s="40"/>
      <c r="P320" s="40"/>
    </row>
    <row r="321" spans="5:16" ht="15.75" customHeight="1" x14ac:dyDescent="0.25">
      <c r="E321" s="40"/>
      <c r="G321" s="40"/>
      <c r="J321" s="40"/>
      <c r="M321" s="40"/>
      <c r="P321" s="40"/>
    </row>
    <row r="322" spans="5:16" ht="15.75" customHeight="1" x14ac:dyDescent="0.25">
      <c r="E322" s="40"/>
      <c r="G322" s="40"/>
      <c r="J322" s="40"/>
      <c r="M322" s="40"/>
      <c r="P322" s="40"/>
    </row>
    <row r="323" spans="5:16" ht="15.75" customHeight="1" x14ac:dyDescent="0.25">
      <c r="E323" s="40"/>
      <c r="G323" s="40"/>
      <c r="J323" s="40"/>
      <c r="M323" s="40"/>
      <c r="P323" s="40"/>
    </row>
    <row r="324" spans="5:16" ht="15.75" customHeight="1" x14ac:dyDescent="0.25">
      <c r="E324" s="40"/>
      <c r="G324" s="40"/>
      <c r="J324" s="40"/>
      <c r="M324" s="40"/>
      <c r="P324" s="40"/>
    </row>
    <row r="325" spans="5:16" ht="15.75" customHeight="1" x14ac:dyDescent="0.25">
      <c r="E325" s="40"/>
      <c r="G325" s="40"/>
      <c r="J325" s="40"/>
      <c r="M325" s="40"/>
      <c r="P325" s="40"/>
    </row>
    <row r="326" spans="5:16" ht="15.75" customHeight="1" x14ac:dyDescent="0.25">
      <c r="E326" s="40"/>
      <c r="G326" s="40"/>
      <c r="J326" s="40"/>
      <c r="M326" s="40"/>
      <c r="P326" s="40"/>
    </row>
    <row r="327" spans="5:16" ht="15.75" customHeight="1" x14ac:dyDescent="0.25">
      <c r="E327" s="40"/>
      <c r="G327" s="40"/>
      <c r="J327" s="40"/>
      <c r="M327" s="40"/>
      <c r="P327" s="40"/>
    </row>
    <row r="328" spans="5:16" ht="15.75" customHeight="1" x14ac:dyDescent="0.25">
      <c r="E328" s="40"/>
      <c r="G328" s="40"/>
      <c r="J328" s="40"/>
      <c r="M328" s="40"/>
      <c r="P328" s="40"/>
    </row>
    <row r="329" spans="5:16" ht="15.75" customHeight="1" x14ac:dyDescent="0.25">
      <c r="E329" s="40"/>
      <c r="G329" s="40"/>
      <c r="J329" s="40"/>
      <c r="M329" s="40"/>
      <c r="P329" s="40"/>
    </row>
    <row r="330" spans="5:16" ht="15.75" customHeight="1" x14ac:dyDescent="0.25">
      <c r="E330" s="40"/>
      <c r="G330" s="40"/>
      <c r="J330" s="40"/>
      <c r="M330" s="40"/>
      <c r="P330" s="40"/>
    </row>
    <row r="331" spans="5:16" ht="15.75" customHeight="1" x14ac:dyDescent="0.25">
      <c r="E331" s="40"/>
      <c r="G331" s="40"/>
      <c r="J331" s="40"/>
      <c r="M331" s="40"/>
      <c r="P331" s="40"/>
    </row>
    <row r="332" spans="5:16" ht="15.75" customHeight="1" x14ac:dyDescent="0.25">
      <c r="E332" s="40"/>
      <c r="G332" s="40"/>
      <c r="J332" s="40"/>
      <c r="M332" s="40"/>
      <c r="P332" s="40"/>
    </row>
    <row r="333" spans="5:16" ht="15.75" customHeight="1" x14ac:dyDescent="0.25">
      <c r="E333" s="40"/>
      <c r="G333" s="40"/>
      <c r="J333" s="40"/>
      <c r="M333" s="40"/>
      <c r="P333" s="40"/>
    </row>
    <row r="334" spans="5:16" ht="15.75" customHeight="1" x14ac:dyDescent="0.25">
      <c r="E334" s="40"/>
      <c r="G334" s="40"/>
      <c r="J334" s="40"/>
      <c r="M334" s="40"/>
      <c r="P334" s="40"/>
    </row>
    <row r="335" spans="5:16" ht="15.75" customHeight="1" x14ac:dyDescent="0.25">
      <c r="E335" s="40"/>
      <c r="G335" s="40"/>
      <c r="J335" s="40"/>
      <c r="M335" s="40"/>
      <c r="P335" s="40"/>
    </row>
    <row r="336" spans="5:16" ht="15.75" customHeight="1" x14ac:dyDescent="0.25">
      <c r="E336" s="40"/>
      <c r="G336" s="40"/>
      <c r="J336" s="40"/>
      <c r="M336" s="40"/>
      <c r="P336" s="40"/>
    </row>
    <row r="337" spans="5:16" ht="15.75" customHeight="1" x14ac:dyDescent="0.25">
      <c r="E337" s="40"/>
      <c r="G337" s="40"/>
      <c r="J337" s="40"/>
      <c r="M337" s="40"/>
      <c r="P337" s="40"/>
    </row>
    <row r="338" spans="5:16" ht="15.75" customHeight="1" x14ac:dyDescent="0.25">
      <c r="E338" s="40"/>
      <c r="G338" s="40"/>
      <c r="J338" s="40"/>
      <c r="M338" s="40"/>
      <c r="P338" s="40"/>
    </row>
    <row r="339" spans="5:16" ht="15.75" customHeight="1" x14ac:dyDescent="0.25">
      <c r="E339" s="40"/>
      <c r="G339" s="40"/>
      <c r="J339" s="40"/>
      <c r="M339" s="40"/>
      <c r="P339" s="40"/>
    </row>
    <row r="340" spans="5:16" ht="15.75" customHeight="1" x14ac:dyDescent="0.25">
      <c r="E340" s="40"/>
      <c r="G340" s="40"/>
      <c r="J340" s="40"/>
      <c r="M340" s="40"/>
      <c r="P340" s="40"/>
    </row>
    <row r="341" spans="5:16" ht="15.75" customHeight="1" x14ac:dyDescent="0.25">
      <c r="E341" s="40"/>
      <c r="G341" s="40"/>
      <c r="J341" s="40"/>
      <c r="M341" s="40"/>
      <c r="P341" s="40"/>
    </row>
    <row r="342" spans="5:16" ht="15.75" customHeight="1" x14ac:dyDescent="0.25">
      <c r="E342" s="40"/>
      <c r="G342" s="40"/>
      <c r="J342" s="40"/>
      <c r="M342" s="40"/>
      <c r="P342" s="40"/>
    </row>
    <row r="343" spans="5:16" ht="15.75" customHeight="1" x14ac:dyDescent="0.25">
      <c r="E343" s="40"/>
      <c r="G343" s="40"/>
      <c r="J343" s="40"/>
      <c r="M343" s="40"/>
      <c r="P343" s="40"/>
    </row>
    <row r="344" spans="5:16" ht="15.75" customHeight="1" x14ac:dyDescent="0.25">
      <c r="E344" s="40"/>
      <c r="G344" s="40"/>
      <c r="J344" s="40"/>
      <c r="M344" s="40"/>
      <c r="P344" s="40"/>
    </row>
    <row r="345" spans="5:16" ht="15.75" customHeight="1" x14ac:dyDescent="0.25">
      <c r="E345" s="40"/>
      <c r="G345" s="40"/>
      <c r="J345" s="40"/>
      <c r="M345" s="40"/>
      <c r="P345" s="40"/>
    </row>
    <row r="346" spans="5:16" ht="15.75" customHeight="1" x14ac:dyDescent="0.25">
      <c r="E346" s="40"/>
      <c r="G346" s="40"/>
      <c r="J346" s="40"/>
      <c r="M346" s="40"/>
      <c r="P346" s="40"/>
    </row>
    <row r="347" spans="5:16" ht="15.75" customHeight="1" x14ac:dyDescent="0.25">
      <c r="E347" s="40"/>
      <c r="G347" s="40"/>
      <c r="J347" s="40"/>
      <c r="M347" s="40"/>
      <c r="P347" s="40"/>
    </row>
    <row r="348" spans="5:16" ht="15.75" customHeight="1" x14ac:dyDescent="0.25">
      <c r="E348" s="40"/>
      <c r="G348" s="40"/>
      <c r="J348" s="40"/>
      <c r="M348" s="40"/>
      <c r="P348" s="40"/>
    </row>
    <row r="349" spans="5:16" ht="15.75" customHeight="1" x14ac:dyDescent="0.25">
      <c r="E349" s="40"/>
      <c r="G349" s="40"/>
      <c r="J349" s="40"/>
      <c r="M349" s="40"/>
      <c r="P349" s="40"/>
    </row>
    <row r="350" spans="5:16" ht="15.75" customHeight="1" x14ac:dyDescent="0.25">
      <c r="E350" s="40"/>
      <c r="G350" s="40"/>
      <c r="J350" s="40"/>
      <c r="M350" s="40"/>
      <c r="P350" s="40"/>
    </row>
    <row r="351" spans="5:16" ht="15.75" customHeight="1" x14ac:dyDescent="0.25">
      <c r="E351" s="40"/>
      <c r="G351" s="40"/>
      <c r="J351" s="40"/>
      <c r="M351" s="40"/>
      <c r="P351" s="40"/>
    </row>
    <row r="352" spans="5:16" ht="15.75" customHeight="1" x14ac:dyDescent="0.25">
      <c r="E352" s="40"/>
      <c r="G352" s="40"/>
      <c r="J352" s="40"/>
      <c r="M352" s="40"/>
      <c r="P352" s="40"/>
    </row>
    <row r="353" spans="5:16" ht="15.75" customHeight="1" x14ac:dyDescent="0.25">
      <c r="E353" s="40"/>
      <c r="G353" s="40"/>
      <c r="J353" s="40"/>
      <c r="M353" s="40"/>
      <c r="P353" s="40"/>
    </row>
    <row r="354" spans="5:16" ht="15.75" customHeight="1" x14ac:dyDescent="0.25">
      <c r="E354" s="40"/>
      <c r="G354" s="40"/>
      <c r="J354" s="40"/>
      <c r="M354" s="40"/>
      <c r="P354" s="40"/>
    </row>
    <row r="355" spans="5:16" ht="15.75" customHeight="1" x14ac:dyDescent="0.25">
      <c r="E355" s="40"/>
      <c r="G355" s="40"/>
      <c r="J355" s="40"/>
      <c r="M355" s="40"/>
      <c r="P355" s="40"/>
    </row>
    <row r="356" spans="5:16" ht="15.75" customHeight="1" x14ac:dyDescent="0.25">
      <c r="E356" s="40"/>
      <c r="G356" s="40"/>
      <c r="J356" s="40"/>
      <c r="M356" s="40"/>
      <c r="P356" s="40"/>
    </row>
    <row r="357" spans="5:16" ht="15.75" customHeight="1" x14ac:dyDescent="0.25">
      <c r="E357" s="40"/>
      <c r="G357" s="40"/>
      <c r="J357" s="40"/>
      <c r="M357" s="40"/>
      <c r="P357" s="40"/>
    </row>
    <row r="358" spans="5:16" ht="15.75" customHeight="1" x14ac:dyDescent="0.25">
      <c r="E358" s="40"/>
      <c r="G358" s="40"/>
      <c r="J358" s="40"/>
      <c r="M358" s="40"/>
      <c r="P358" s="40"/>
    </row>
    <row r="359" spans="5:16" ht="15.75" customHeight="1" x14ac:dyDescent="0.25">
      <c r="E359" s="40"/>
      <c r="G359" s="40"/>
      <c r="J359" s="40"/>
      <c r="M359" s="40"/>
      <c r="P359" s="40"/>
    </row>
    <row r="360" spans="5:16" ht="15.75" customHeight="1" x14ac:dyDescent="0.25">
      <c r="E360" s="40"/>
      <c r="G360" s="40"/>
      <c r="J360" s="40"/>
      <c r="M360" s="40"/>
      <c r="P360" s="40"/>
    </row>
    <row r="361" spans="5:16" ht="15.75" customHeight="1" x14ac:dyDescent="0.25">
      <c r="E361" s="40"/>
      <c r="G361" s="40"/>
      <c r="J361" s="40"/>
      <c r="M361" s="40"/>
      <c r="P361" s="40"/>
    </row>
    <row r="362" spans="5:16" ht="15.75" customHeight="1" x14ac:dyDescent="0.25">
      <c r="E362" s="40"/>
      <c r="G362" s="40"/>
      <c r="J362" s="40"/>
      <c r="M362" s="40"/>
      <c r="P362" s="40"/>
    </row>
    <row r="363" spans="5:16" ht="15.75" customHeight="1" x14ac:dyDescent="0.25">
      <c r="E363" s="40"/>
      <c r="G363" s="40"/>
      <c r="J363" s="40"/>
      <c r="M363" s="40"/>
      <c r="P363" s="40"/>
    </row>
    <row r="364" spans="5:16" ht="15.75" customHeight="1" x14ac:dyDescent="0.25">
      <c r="E364" s="40"/>
      <c r="G364" s="40"/>
      <c r="J364" s="40"/>
      <c r="M364" s="40"/>
      <c r="P364" s="40"/>
    </row>
    <row r="365" spans="5:16" ht="15.75" customHeight="1" x14ac:dyDescent="0.25">
      <c r="E365" s="40"/>
      <c r="G365" s="40"/>
      <c r="J365" s="40"/>
      <c r="M365" s="40"/>
      <c r="P365" s="40"/>
    </row>
    <row r="366" spans="5:16" ht="15.75" customHeight="1" x14ac:dyDescent="0.25">
      <c r="E366" s="40"/>
      <c r="G366" s="40"/>
      <c r="J366" s="40"/>
      <c r="M366" s="40"/>
      <c r="P366" s="40"/>
    </row>
    <row r="367" spans="5:16" ht="15.75" customHeight="1" x14ac:dyDescent="0.25">
      <c r="E367" s="40"/>
      <c r="G367" s="40"/>
      <c r="J367" s="40"/>
      <c r="M367" s="40"/>
      <c r="P367" s="40"/>
    </row>
    <row r="368" spans="5:16" ht="15.75" customHeight="1" x14ac:dyDescent="0.25">
      <c r="E368" s="40"/>
      <c r="G368" s="40"/>
      <c r="J368" s="40"/>
      <c r="M368" s="40"/>
      <c r="P368" s="40"/>
    </row>
    <row r="369" spans="5:16" ht="15.75" customHeight="1" x14ac:dyDescent="0.25">
      <c r="E369" s="40"/>
      <c r="G369" s="40"/>
      <c r="J369" s="40"/>
      <c r="M369" s="40"/>
      <c r="P369" s="40"/>
    </row>
    <row r="370" spans="5:16" ht="15.75" customHeight="1" x14ac:dyDescent="0.25">
      <c r="E370" s="40"/>
      <c r="G370" s="40"/>
      <c r="J370" s="40"/>
      <c r="M370" s="40"/>
      <c r="P370" s="40"/>
    </row>
    <row r="371" spans="5:16" ht="15.75" customHeight="1" x14ac:dyDescent="0.25">
      <c r="E371" s="40"/>
      <c r="G371" s="40"/>
      <c r="J371" s="40"/>
      <c r="M371" s="40"/>
      <c r="P371" s="40"/>
    </row>
    <row r="372" spans="5:16" ht="15.75" customHeight="1" x14ac:dyDescent="0.25">
      <c r="E372" s="40"/>
      <c r="G372" s="40"/>
      <c r="J372" s="40"/>
      <c r="M372" s="40"/>
      <c r="P372" s="40"/>
    </row>
    <row r="373" spans="5:16" ht="15.75" customHeight="1" x14ac:dyDescent="0.25">
      <c r="E373" s="40"/>
      <c r="G373" s="40"/>
      <c r="J373" s="40"/>
      <c r="M373" s="40"/>
      <c r="P373" s="40"/>
    </row>
    <row r="374" spans="5:16" ht="15.75" customHeight="1" x14ac:dyDescent="0.25">
      <c r="E374" s="40"/>
      <c r="G374" s="40"/>
      <c r="J374" s="40"/>
      <c r="M374" s="40"/>
      <c r="P374" s="40"/>
    </row>
    <row r="375" spans="5:16" ht="15.75" customHeight="1" x14ac:dyDescent="0.25">
      <c r="E375" s="40"/>
      <c r="G375" s="40"/>
      <c r="J375" s="40"/>
      <c r="M375" s="40"/>
      <c r="P375" s="40"/>
    </row>
    <row r="376" spans="5:16" ht="15.75" customHeight="1" x14ac:dyDescent="0.25">
      <c r="E376" s="40"/>
      <c r="G376" s="40"/>
      <c r="J376" s="40"/>
      <c r="M376" s="40"/>
      <c r="P376" s="40"/>
    </row>
    <row r="377" spans="5:16" ht="15.75" customHeight="1" x14ac:dyDescent="0.25">
      <c r="E377" s="40"/>
      <c r="G377" s="40"/>
      <c r="J377" s="40"/>
      <c r="M377" s="40"/>
      <c r="P377" s="40"/>
    </row>
    <row r="378" spans="5:16" ht="15.75" customHeight="1" x14ac:dyDescent="0.25">
      <c r="E378" s="40"/>
      <c r="G378" s="40"/>
      <c r="J378" s="40"/>
      <c r="M378" s="40"/>
      <c r="P378" s="40"/>
    </row>
    <row r="379" spans="5:16" ht="15.75" customHeight="1" x14ac:dyDescent="0.25">
      <c r="E379" s="40"/>
      <c r="G379" s="40"/>
      <c r="J379" s="40"/>
      <c r="M379" s="40"/>
      <c r="P379" s="40"/>
    </row>
    <row r="380" spans="5:16" ht="15.75" customHeight="1" x14ac:dyDescent="0.25">
      <c r="E380" s="40"/>
      <c r="G380" s="40"/>
      <c r="J380" s="40"/>
      <c r="M380" s="40"/>
      <c r="P380" s="40"/>
    </row>
    <row r="381" spans="5:16" ht="15.75" customHeight="1" x14ac:dyDescent="0.25">
      <c r="E381" s="40"/>
      <c r="G381" s="40"/>
      <c r="J381" s="40"/>
      <c r="M381" s="40"/>
      <c r="P381" s="40"/>
    </row>
    <row r="382" spans="5:16" ht="15.75" customHeight="1" x14ac:dyDescent="0.25">
      <c r="E382" s="40"/>
      <c r="G382" s="40"/>
      <c r="J382" s="40"/>
      <c r="M382" s="40"/>
      <c r="P382" s="40"/>
    </row>
    <row r="383" spans="5:16" ht="15.75" customHeight="1" x14ac:dyDescent="0.25">
      <c r="E383" s="40"/>
      <c r="G383" s="40"/>
      <c r="J383" s="40"/>
      <c r="M383" s="40"/>
      <c r="P383" s="40"/>
    </row>
    <row r="384" spans="5:16" ht="15.75" customHeight="1" x14ac:dyDescent="0.25">
      <c r="E384" s="40"/>
      <c r="G384" s="40"/>
      <c r="J384" s="40"/>
      <c r="M384" s="40"/>
      <c r="P384" s="40"/>
    </row>
    <row r="385" spans="5:16" ht="15.75" customHeight="1" x14ac:dyDescent="0.25">
      <c r="E385" s="40"/>
      <c r="G385" s="40"/>
      <c r="J385" s="40"/>
      <c r="M385" s="40"/>
      <c r="P385" s="40"/>
    </row>
    <row r="386" spans="5:16" ht="15.75" customHeight="1" x14ac:dyDescent="0.25">
      <c r="E386" s="40"/>
      <c r="G386" s="40"/>
      <c r="J386" s="40"/>
      <c r="M386" s="40"/>
      <c r="P386" s="40"/>
    </row>
    <row r="387" spans="5:16" ht="15.75" customHeight="1" x14ac:dyDescent="0.25">
      <c r="E387" s="40"/>
      <c r="G387" s="40"/>
      <c r="J387" s="40"/>
      <c r="M387" s="40"/>
      <c r="P387" s="40"/>
    </row>
    <row r="388" spans="5:16" ht="15.75" customHeight="1" x14ac:dyDescent="0.25">
      <c r="E388" s="40"/>
      <c r="G388" s="40"/>
      <c r="J388" s="40"/>
      <c r="M388" s="40"/>
      <c r="P388" s="40"/>
    </row>
    <row r="389" spans="5:16" ht="15.75" customHeight="1" x14ac:dyDescent="0.25">
      <c r="E389" s="40"/>
      <c r="G389" s="40"/>
      <c r="J389" s="40"/>
      <c r="M389" s="40"/>
      <c r="P389" s="40"/>
    </row>
    <row r="390" spans="5:16" ht="15.75" customHeight="1" x14ac:dyDescent="0.25">
      <c r="E390" s="40"/>
      <c r="G390" s="40"/>
      <c r="J390" s="40"/>
      <c r="M390" s="40"/>
      <c r="P390" s="40"/>
    </row>
    <row r="391" spans="5:16" ht="15.75" customHeight="1" x14ac:dyDescent="0.25">
      <c r="E391" s="40"/>
      <c r="G391" s="40"/>
      <c r="J391" s="40"/>
      <c r="M391" s="40"/>
      <c r="P391" s="40"/>
    </row>
    <row r="392" spans="5:16" ht="15.75" customHeight="1" x14ac:dyDescent="0.25">
      <c r="E392" s="40"/>
      <c r="G392" s="40"/>
      <c r="J392" s="40"/>
      <c r="M392" s="40"/>
      <c r="P392" s="40"/>
    </row>
    <row r="393" spans="5:16" ht="15.75" customHeight="1" x14ac:dyDescent="0.25">
      <c r="E393" s="40"/>
      <c r="G393" s="40"/>
      <c r="J393" s="40"/>
      <c r="M393" s="40"/>
      <c r="P393" s="40"/>
    </row>
    <row r="394" spans="5:16" ht="15.75" customHeight="1" x14ac:dyDescent="0.25">
      <c r="E394" s="40"/>
      <c r="G394" s="40"/>
      <c r="J394" s="40"/>
      <c r="M394" s="40"/>
      <c r="P394" s="40"/>
    </row>
    <row r="395" spans="5:16" ht="15.75" customHeight="1" x14ac:dyDescent="0.25">
      <c r="E395" s="40"/>
      <c r="G395" s="40"/>
      <c r="J395" s="40"/>
      <c r="M395" s="40"/>
      <c r="P395" s="40"/>
    </row>
    <row r="396" spans="5:16" ht="15.75" customHeight="1" x14ac:dyDescent="0.25">
      <c r="E396" s="40"/>
      <c r="G396" s="40"/>
      <c r="J396" s="40"/>
      <c r="M396" s="40"/>
      <c r="P396" s="40"/>
    </row>
    <row r="397" spans="5:16" ht="15.75" customHeight="1" x14ac:dyDescent="0.25">
      <c r="E397" s="40"/>
      <c r="G397" s="40"/>
      <c r="J397" s="40"/>
      <c r="M397" s="40"/>
      <c r="P397" s="40"/>
    </row>
    <row r="398" spans="5:16" ht="15.75" customHeight="1" x14ac:dyDescent="0.25">
      <c r="E398" s="40"/>
      <c r="G398" s="40"/>
      <c r="J398" s="40"/>
      <c r="M398" s="40"/>
      <c r="P398" s="40"/>
    </row>
    <row r="399" spans="5:16" ht="15.75" customHeight="1" x14ac:dyDescent="0.25">
      <c r="E399" s="40"/>
      <c r="G399" s="40"/>
      <c r="J399" s="40"/>
      <c r="M399" s="40"/>
      <c r="P399" s="40"/>
    </row>
    <row r="400" spans="5:16" ht="15.75" customHeight="1" x14ac:dyDescent="0.25">
      <c r="E400" s="40"/>
      <c r="G400" s="40"/>
      <c r="J400" s="40"/>
      <c r="M400" s="40"/>
      <c r="P400" s="40"/>
    </row>
    <row r="401" spans="5:16" ht="15.75" customHeight="1" x14ac:dyDescent="0.25">
      <c r="E401" s="40"/>
      <c r="G401" s="40"/>
      <c r="J401" s="40"/>
      <c r="M401" s="40"/>
      <c r="P401" s="40"/>
    </row>
    <row r="402" spans="5:16" ht="15.75" customHeight="1" x14ac:dyDescent="0.25">
      <c r="E402" s="40"/>
      <c r="G402" s="40"/>
      <c r="J402" s="40"/>
      <c r="M402" s="40"/>
      <c r="P402" s="40"/>
    </row>
    <row r="403" spans="5:16" ht="15.75" customHeight="1" x14ac:dyDescent="0.25">
      <c r="E403" s="40"/>
      <c r="G403" s="40"/>
      <c r="J403" s="40"/>
      <c r="M403" s="40"/>
      <c r="P403" s="40"/>
    </row>
    <row r="404" spans="5:16" ht="15.75" customHeight="1" x14ac:dyDescent="0.25">
      <c r="E404" s="40"/>
      <c r="G404" s="40"/>
      <c r="J404" s="40"/>
      <c r="M404" s="40"/>
      <c r="P404" s="40"/>
    </row>
    <row r="405" spans="5:16" ht="15.75" customHeight="1" x14ac:dyDescent="0.25">
      <c r="E405" s="40"/>
      <c r="G405" s="40"/>
      <c r="J405" s="40"/>
      <c r="M405" s="40"/>
      <c r="P405" s="40"/>
    </row>
    <row r="406" spans="5:16" ht="15.75" customHeight="1" x14ac:dyDescent="0.25">
      <c r="E406" s="40"/>
      <c r="G406" s="40"/>
      <c r="J406" s="40"/>
      <c r="M406" s="40"/>
      <c r="P406" s="40"/>
    </row>
    <row r="407" spans="5:16" ht="15.75" customHeight="1" x14ac:dyDescent="0.25">
      <c r="E407" s="40"/>
      <c r="G407" s="40"/>
      <c r="J407" s="40"/>
      <c r="M407" s="40"/>
      <c r="P407" s="40"/>
    </row>
    <row r="408" spans="5:16" ht="15.75" customHeight="1" x14ac:dyDescent="0.25">
      <c r="E408" s="40"/>
      <c r="G408" s="40"/>
      <c r="J408" s="40"/>
      <c r="M408" s="40"/>
      <c r="P408" s="40"/>
    </row>
    <row r="409" spans="5:16" ht="15.75" customHeight="1" x14ac:dyDescent="0.25">
      <c r="E409" s="40"/>
      <c r="G409" s="40"/>
      <c r="J409" s="40"/>
      <c r="M409" s="40"/>
      <c r="P409" s="40"/>
    </row>
    <row r="410" spans="5:16" ht="15.75" customHeight="1" x14ac:dyDescent="0.25">
      <c r="E410" s="40"/>
      <c r="G410" s="40"/>
      <c r="J410" s="40"/>
      <c r="M410" s="40"/>
      <c r="P410" s="40"/>
    </row>
    <row r="411" spans="5:16" ht="15.75" customHeight="1" x14ac:dyDescent="0.25">
      <c r="E411" s="40"/>
      <c r="G411" s="40"/>
      <c r="J411" s="40"/>
      <c r="M411" s="40"/>
      <c r="P411" s="40"/>
    </row>
    <row r="412" spans="5:16" ht="15.75" customHeight="1" x14ac:dyDescent="0.25">
      <c r="E412" s="40"/>
      <c r="G412" s="40"/>
      <c r="J412" s="40"/>
      <c r="M412" s="40"/>
      <c r="P412" s="40"/>
    </row>
    <row r="413" spans="5:16" ht="15.75" customHeight="1" x14ac:dyDescent="0.25">
      <c r="E413" s="40"/>
      <c r="G413" s="40"/>
      <c r="J413" s="40"/>
      <c r="M413" s="40"/>
      <c r="P413" s="40"/>
    </row>
    <row r="414" spans="5:16" ht="15.75" customHeight="1" x14ac:dyDescent="0.25">
      <c r="E414" s="40"/>
      <c r="G414" s="40"/>
      <c r="J414" s="40"/>
      <c r="M414" s="40"/>
      <c r="P414" s="40"/>
    </row>
    <row r="415" spans="5:16" ht="15.75" customHeight="1" x14ac:dyDescent="0.25">
      <c r="E415" s="40"/>
      <c r="G415" s="40"/>
      <c r="J415" s="40"/>
      <c r="M415" s="40"/>
      <c r="P415" s="40"/>
    </row>
    <row r="416" spans="5:16" ht="15.75" customHeight="1" x14ac:dyDescent="0.25">
      <c r="E416" s="40"/>
      <c r="G416" s="40"/>
      <c r="J416" s="40"/>
      <c r="M416" s="40"/>
      <c r="P416" s="40"/>
    </row>
    <row r="417" spans="5:16" ht="15.75" customHeight="1" x14ac:dyDescent="0.25">
      <c r="E417" s="40"/>
      <c r="G417" s="40"/>
      <c r="J417" s="40"/>
      <c r="M417" s="40"/>
      <c r="P417" s="40"/>
    </row>
    <row r="418" spans="5:16" ht="15.75" customHeight="1" x14ac:dyDescent="0.25">
      <c r="E418" s="40"/>
      <c r="G418" s="40"/>
      <c r="J418" s="40"/>
      <c r="M418" s="40"/>
      <c r="P418" s="40"/>
    </row>
    <row r="419" spans="5:16" ht="15.75" customHeight="1" x14ac:dyDescent="0.25">
      <c r="E419" s="40"/>
      <c r="G419" s="40"/>
      <c r="J419" s="40"/>
      <c r="M419" s="40"/>
      <c r="P419" s="40"/>
    </row>
    <row r="420" spans="5:16" ht="15.75" customHeight="1" x14ac:dyDescent="0.25">
      <c r="E420" s="40"/>
      <c r="G420" s="40"/>
      <c r="J420" s="40"/>
      <c r="M420" s="40"/>
      <c r="P420" s="40"/>
    </row>
    <row r="421" spans="5:16" ht="15.75" customHeight="1" x14ac:dyDescent="0.25">
      <c r="E421" s="40"/>
      <c r="G421" s="40"/>
      <c r="J421" s="40"/>
      <c r="M421" s="40"/>
      <c r="P421" s="40"/>
    </row>
    <row r="422" spans="5:16" ht="15.75" customHeight="1" x14ac:dyDescent="0.25">
      <c r="E422" s="40"/>
      <c r="G422" s="40"/>
      <c r="J422" s="40"/>
      <c r="M422" s="40"/>
      <c r="P422" s="40"/>
    </row>
    <row r="423" spans="5:16" ht="15.75" customHeight="1" x14ac:dyDescent="0.25">
      <c r="E423" s="40"/>
      <c r="G423" s="40"/>
      <c r="J423" s="40"/>
      <c r="M423" s="40"/>
      <c r="P423" s="40"/>
    </row>
    <row r="424" spans="5:16" ht="15.75" customHeight="1" x14ac:dyDescent="0.25">
      <c r="E424" s="40"/>
      <c r="G424" s="40"/>
      <c r="J424" s="40"/>
      <c r="M424" s="40"/>
      <c r="P424" s="40"/>
    </row>
    <row r="425" spans="5:16" ht="15.75" customHeight="1" x14ac:dyDescent="0.25">
      <c r="E425" s="40"/>
      <c r="G425" s="40"/>
      <c r="J425" s="40"/>
      <c r="M425" s="40"/>
      <c r="P425" s="40"/>
    </row>
    <row r="426" spans="5:16" ht="15.75" customHeight="1" x14ac:dyDescent="0.25">
      <c r="E426" s="40"/>
      <c r="G426" s="40"/>
      <c r="J426" s="40"/>
      <c r="M426" s="40"/>
      <c r="P426" s="40"/>
    </row>
    <row r="427" spans="5:16" ht="15.75" customHeight="1" x14ac:dyDescent="0.25">
      <c r="E427" s="40"/>
      <c r="G427" s="40"/>
      <c r="J427" s="40"/>
      <c r="M427" s="40"/>
      <c r="P427" s="40"/>
    </row>
    <row r="428" spans="5:16" ht="15.75" customHeight="1" x14ac:dyDescent="0.25">
      <c r="E428" s="40"/>
      <c r="G428" s="40"/>
      <c r="J428" s="40"/>
      <c r="M428" s="40"/>
      <c r="P428" s="40"/>
    </row>
    <row r="429" spans="5:16" ht="15.75" customHeight="1" x14ac:dyDescent="0.25">
      <c r="E429" s="40"/>
      <c r="G429" s="40"/>
      <c r="J429" s="40"/>
      <c r="M429" s="40"/>
      <c r="P429" s="40"/>
    </row>
    <row r="430" spans="5:16" ht="15.75" customHeight="1" x14ac:dyDescent="0.25">
      <c r="E430" s="40"/>
      <c r="G430" s="40"/>
      <c r="J430" s="40"/>
      <c r="M430" s="40"/>
      <c r="P430" s="40"/>
    </row>
    <row r="431" spans="5:16" ht="15.75" customHeight="1" x14ac:dyDescent="0.25">
      <c r="E431" s="40"/>
      <c r="G431" s="40"/>
      <c r="J431" s="40"/>
      <c r="M431" s="40"/>
      <c r="P431" s="40"/>
    </row>
    <row r="432" spans="5:16" ht="15.75" customHeight="1" x14ac:dyDescent="0.25">
      <c r="E432" s="40"/>
      <c r="G432" s="40"/>
      <c r="J432" s="40"/>
      <c r="M432" s="40"/>
      <c r="P432" s="40"/>
    </row>
    <row r="433" spans="5:16" ht="15.75" customHeight="1" x14ac:dyDescent="0.25">
      <c r="E433" s="40"/>
      <c r="G433" s="40"/>
      <c r="J433" s="40"/>
      <c r="M433" s="40"/>
      <c r="P433" s="40"/>
    </row>
    <row r="434" spans="5:16" ht="15.75" customHeight="1" x14ac:dyDescent="0.25">
      <c r="E434" s="40"/>
      <c r="G434" s="40"/>
      <c r="J434" s="40"/>
      <c r="M434" s="40"/>
      <c r="P434" s="40"/>
    </row>
    <row r="435" spans="5:16" ht="15.75" customHeight="1" x14ac:dyDescent="0.25">
      <c r="E435" s="40"/>
      <c r="G435" s="40"/>
      <c r="J435" s="40"/>
      <c r="M435" s="40"/>
      <c r="P435" s="40"/>
    </row>
    <row r="436" spans="5:16" ht="15.75" customHeight="1" x14ac:dyDescent="0.25">
      <c r="E436" s="40"/>
      <c r="G436" s="40"/>
      <c r="J436" s="40"/>
      <c r="M436" s="40"/>
      <c r="P436" s="40"/>
    </row>
    <row r="437" spans="5:16" ht="15.75" customHeight="1" x14ac:dyDescent="0.25">
      <c r="E437" s="40"/>
      <c r="G437" s="40"/>
      <c r="J437" s="40"/>
      <c r="M437" s="40"/>
      <c r="P437" s="40"/>
    </row>
    <row r="438" spans="5:16" ht="15.75" customHeight="1" x14ac:dyDescent="0.25">
      <c r="E438" s="40"/>
      <c r="G438" s="40"/>
      <c r="J438" s="40"/>
      <c r="M438" s="40"/>
      <c r="P438" s="40"/>
    </row>
    <row r="439" spans="5:16" ht="15.75" customHeight="1" x14ac:dyDescent="0.25">
      <c r="E439" s="40"/>
      <c r="G439" s="40"/>
      <c r="J439" s="40"/>
      <c r="M439" s="40"/>
      <c r="P439" s="40"/>
    </row>
    <row r="440" spans="5:16" ht="15.75" customHeight="1" x14ac:dyDescent="0.25">
      <c r="E440" s="40"/>
      <c r="G440" s="40"/>
      <c r="J440" s="40"/>
      <c r="M440" s="40"/>
      <c r="P440" s="40"/>
    </row>
    <row r="441" spans="5:16" ht="15.75" customHeight="1" x14ac:dyDescent="0.25">
      <c r="E441" s="40"/>
      <c r="G441" s="40"/>
      <c r="J441" s="40"/>
      <c r="M441" s="40"/>
      <c r="P441" s="40"/>
    </row>
    <row r="442" spans="5:16" ht="15.75" customHeight="1" x14ac:dyDescent="0.25">
      <c r="E442" s="40"/>
      <c r="G442" s="40"/>
      <c r="J442" s="40"/>
      <c r="M442" s="40"/>
      <c r="P442" s="40"/>
    </row>
    <row r="443" spans="5:16" ht="15.75" customHeight="1" x14ac:dyDescent="0.25">
      <c r="E443" s="40"/>
      <c r="G443" s="40"/>
      <c r="J443" s="40"/>
      <c r="M443" s="40"/>
      <c r="P443" s="40"/>
    </row>
    <row r="444" spans="5:16" ht="15.75" customHeight="1" x14ac:dyDescent="0.25">
      <c r="E444" s="40"/>
      <c r="G444" s="40"/>
      <c r="J444" s="40"/>
      <c r="M444" s="40"/>
      <c r="P444" s="40"/>
    </row>
    <row r="445" spans="5:16" ht="15.75" customHeight="1" x14ac:dyDescent="0.25">
      <c r="E445" s="40"/>
      <c r="G445" s="40"/>
      <c r="J445" s="40"/>
      <c r="M445" s="40"/>
      <c r="P445" s="40"/>
    </row>
    <row r="446" spans="5:16" ht="15.75" customHeight="1" x14ac:dyDescent="0.25">
      <c r="E446" s="40"/>
      <c r="G446" s="40"/>
      <c r="J446" s="40"/>
      <c r="M446" s="40"/>
      <c r="P446" s="40"/>
    </row>
    <row r="447" spans="5:16" ht="15.75" customHeight="1" x14ac:dyDescent="0.25">
      <c r="E447" s="40"/>
      <c r="G447" s="40"/>
      <c r="J447" s="40"/>
      <c r="M447" s="40"/>
      <c r="P447" s="40"/>
    </row>
    <row r="448" spans="5:16" ht="15.75" customHeight="1" x14ac:dyDescent="0.25">
      <c r="E448" s="40"/>
      <c r="G448" s="40"/>
      <c r="J448" s="40"/>
      <c r="M448" s="40"/>
      <c r="P448" s="40"/>
    </row>
    <row r="449" spans="5:16" ht="15.75" customHeight="1" x14ac:dyDescent="0.25">
      <c r="E449" s="40"/>
      <c r="G449" s="40"/>
      <c r="J449" s="40"/>
      <c r="M449" s="40"/>
      <c r="P449" s="40"/>
    </row>
    <row r="450" spans="5:16" ht="15.75" customHeight="1" x14ac:dyDescent="0.25">
      <c r="E450" s="40"/>
      <c r="G450" s="40"/>
      <c r="J450" s="40"/>
      <c r="M450" s="40"/>
      <c r="P450" s="40"/>
    </row>
    <row r="451" spans="5:16" ht="15.75" customHeight="1" x14ac:dyDescent="0.25">
      <c r="E451" s="40"/>
      <c r="G451" s="40"/>
      <c r="J451" s="40"/>
      <c r="M451" s="40"/>
      <c r="P451" s="40"/>
    </row>
    <row r="452" spans="5:16" ht="15.75" customHeight="1" x14ac:dyDescent="0.25">
      <c r="E452" s="40"/>
      <c r="G452" s="40"/>
      <c r="J452" s="40"/>
      <c r="M452" s="40"/>
      <c r="P452" s="40"/>
    </row>
    <row r="453" spans="5:16" ht="15.75" customHeight="1" x14ac:dyDescent="0.25">
      <c r="E453" s="40"/>
      <c r="G453" s="40"/>
      <c r="J453" s="40"/>
      <c r="M453" s="40"/>
      <c r="P453" s="40"/>
    </row>
    <row r="454" spans="5:16" ht="15.75" customHeight="1" x14ac:dyDescent="0.25">
      <c r="E454" s="40"/>
      <c r="G454" s="40"/>
      <c r="J454" s="40"/>
      <c r="M454" s="40"/>
      <c r="P454" s="40"/>
    </row>
    <row r="455" spans="5:16" ht="15.75" customHeight="1" x14ac:dyDescent="0.25">
      <c r="E455" s="40"/>
      <c r="G455" s="40"/>
      <c r="J455" s="40"/>
      <c r="M455" s="40"/>
      <c r="P455" s="40"/>
    </row>
    <row r="456" spans="5:16" ht="15.75" customHeight="1" x14ac:dyDescent="0.25">
      <c r="E456" s="40"/>
      <c r="G456" s="40"/>
      <c r="J456" s="40"/>
      <c r="M456" s="40"/>
      <c r="P456" s="40"/>
    </row>
    <row r="457" spans="5:16" ht="15.75" customHeight="1" x14ac:dyDescent="0.25">
      <c r="E457" s="40"/>
      <c r="G457" s="40"/>
      <c r="J457" s="40"/>
      <c r="M457" s="40"/>
      <c r="P457" s="40"/>
    </row>
    <row r="458" spans="5:16" ht="15.75" customHeight="1" x14ac:dyDescent="0.25">
      <c r="E458" s="40"/>
      <c r="G458" s="40"/>
      <c r="J458" s="40"/>
      <c r="M458" s="40"/>
      <c r="P458" s="40"/>
    </row>
    <row r="459" spans="5:16" ht="15.75" customHeight="1" x14ac:dyDescent="0.25">
      <c r="E459" s="40"/>
      <c r="G459" s="40"/>
      <c r="J459" s="40"/>
      <c r="M459" s="40"/>
      <c r="P459" s="40"/>
    </row>
    <row r="460" spans="5:16" ht="15.75" customHeight="1" x14ac:dyDescent="0.25">
      <c r="E460" s="40"/>
      <c r="G460" s="40"/>
      <c r="J460" s="40"/>
      <c r="M460" s="40"/>
      <c r="P460" s="40"/>
    </row>
    <row r="461" spans="5:16" ht="15.75" customHeight="1" x14ac:dyDescent="0.25">
      <c r="E461" s="40"/>
      <c r="G461" s="40"/>
      <c r="J461" s="40"/>
      <c r="M461" s="40"/>
      <c r="P461" s="40"/>
    </row>
    <row r="462" spans="5:16" ht="15.75" customHeight="1" x14ac:dyDescent="0.25">
      <c r="E462" s="40"/>
      <c r="G462" s="40"/>
      <c r="J462" s="40"/>
      <c r="M462" s="40"/>
      <c r="P462" s="40"/>
    </row>
    <row r="463" spans="5:16" ht="15.75" customHeight="1" x14ac:dyDescent="0.25">
      <c r="E463" s="40"/>
      <c r="G463" s="40"/>
      <c r="J463" s="40"/>
      <c r="M463" s="40"/>
      <c r="P463" s="40"/>
    </row>
    <row r="464" spans="5:16" ht="15.75" customHeight="1" x14ac:dyDescent="0.25">
      <c r="E464" s="40"/>
      <c r="G464" s="40"/>
      <c r="J464" s="40"/>
      <c r="M464" s="40"/>
      <c r="P464" s="40"/>
    </row>
    <row r="465" spans="5:16" ht="15.75" customHeight="1" x14ac:dyDescent="0.25">
      <c r="E465" s="40"/>
      <c r="G465" s="40"/>
      <c r="J465" s="40"/>
      <c r="M465" s="40"/>
      <c r="P465" s="40"/>
    </row>
    <row r="466" spans="5:16" ht="15.75" customHeight="1" x14ac:dyDescent="0.25">
      <c r="E466" s="40"/>
      <c r="G466" s="40"/>
      <c r="J466" s="40"/>
      <c r="M466" s="40"/>
      <c r="P466" s="40"/>
    </row>
    <row r="467" spans="5:16" ht="15.75" customHeight="1" x14ac:dyDescent="0.25">
      <c r="E467" s="40"/>
      <c r="G467" s="40"/>
      <c r="J467" s="40"/>
      <c r="M467" s="40"/>
      <c r="P467" s="40"/>
    </row>
    <row r="468" spans="5:16" ht="15.75" customHeight="1" x14ac:dyDescent="0.25">
      <c r="E468" s="40"/>
      <c r="G468" s="40"/>
      <c r="J468" s="40"/>
      <c r="M468" s="40"/>
      <c r="P468" s="40"/>
    </row>
    <row r="469" spans="5:16" ht="15.75" customHeight="1" x14ac:dyDescent="0.25">
      <c r="E469" s="40"/>
      <c r="G469" s="40"/>
      <c r="J469" s="40"/>
      <c r="M469" s="40"/>
      <c r="P469" s="40"/>
    </row>
    <row r="470" spans="5:16" ht="15.75" customHeight="1" x14ac:dyDescent="0.25">
      <c r="E470" s="40"/>
      <c r="G470" s="40"/>
      <c r="J470" s="40"/>
      <c r="M470" s="40"/>
      <c r="P470" s="40"/>
    </row>
    <row r="471" spans="5:16" ht="15.75" customHeight="1" x14ac:dyDescent="0.25">
      <c r="E471" s="40"/>
      <c r="G471" s="40"/>
      <c r="J471" s="40"/>
      <c r="M471" s="40"/>
      <c r="P471" s="40"/>
    </row>
    <row r="472" spans="5:16" ht="15.75" customHeight="1" x14ac:dyDescent="0.25">
      <c r="E472" s="40"/>
      <c r="G472" s="40"/>
      <c r="J472" s="40"/>
      <c r="M472" s="40"/>
      <c r="P472" s="40"/>
    </row>
    <row r="473" spans="5:16" ht="15.75" customHeight="1" x14ac:dyDescent="0.25">
      <c r="E473" s="40"/>
      <c r="G473" s="40"/>
      <c r="J473" s="40"/>
      <c r="M473" s="40"/>
      <c r="P473" s="40"/>
    </row>
    <row r="474" spans="5:16" ht="15.75" customHeight="1" x14ac:dyDescent="0.25">
      <c r="E474" s="40"/>
      <c r="G474" s="40"/>
      <c r="J474" s="40"/>
      <c r="M474" s="40"/>
      <c r="P474" s="40"/>
    </row>
    <row r="475" spans="5:16" ht="15.75" customHeight="1" x14ac:dyDescent="0.25">
      <c r="E475" s="40"/>
      <c r="G475" s="40"/>
      <c r="J475" s="40"/>
      <c r="M475" s="40"/>
      <c r="P475" s="40"/>
    </row>
    <row r="476" spans="5:16" ht="15.75" customHeight="1" x14ac:dyDescent="0.25">
      <c r="E476" s="40"/>
      <c r="G476" s="40"/>
      <c r="J476" s="40"/>
      <c r="M476" s="40"/>
      <c r="P476" s="40"/>
    </row>
    <row r="477" spans="5:16" ht="15.75" customHeight="1" x14ac:dyDescent="0.25">
      <c r="E477" s="40"/>
      <c r="G477" s="40"/>
      <c r="J477" s="40"/>
      <c r="M477" s="40"/>
      <c r="P477" s="40"/>
    </row>
    <row r="478" spans="5:16" ht="15.75" customHeight="1" x14ac:dyDescent="0.25">
      <c r="E478" s="40"/>
      <c r="G478" s="40"/>
      <c r="J478" s="40"/>
      <c r="M478" s="40"/>
      <c r="P478" s="40"/>
    </row>
    <row r="479" spans="5:16" ht="15.75" customHeight="1" x14ac:dyDescent="0.25">
      <c r="E479" s="40"/>
      <c r="G479" s="40"/>
      <c r="J479" s="40"/>
      <c r="M479" s="40"/>
      <c r="P479" s="40"/>
    </row>
    <row r="480" spans="5:16" ht="15.75" customHeight="1" x14ac:dyDescent="0.25">
      <c r="E480" s="40"/>
      <c r="G480" s="40"/>
      <c r="J480" s="40"/>
      <c r="M480" s="40"/>
      <c r="P480" s="40"/>
    </row>
    <row r="481" spans="5:16" ht="15.75" customHeight="1" x14ac:dyDescent="0.25">
      <c r="E481" s="40"/>
      <c r="G481" s="40"/>
      <c r="J481" s="40"/>
      <c r="M481" s="40"/>
      <c r="P481" s="40"/>
    </row>
    <row r="482" spans="5:16" ht="15.75" customHeight="1" x14ac:dyDescent="0.25">
      <c r="E482" s="40"/>
      <c r="G482" s="40"/>
      <c r="J482" s="40"/>
      <c r="M482" s="40"/>
      <c r="P482" s="40"/>
    </row>
    <row r="483" spans="5:16" ht="15.75" customHeight="1" x14ac:dyDescent="0.25">
      <c r="E483" s="40"/>
      <c r="G483" s="40"/>
      <c r="J483" s="40"/>
      <c r="M483" s="40"/>
      <c r="P483" s="40"/>
    </row>
    <row r="484" spans="5:16" ht="15.75" customHeight="1" x14ac:dyDescent="0.25">
      <c r="E484" s="40"/>
      <c r="G484" s="40"/>
      <c r="J484" s="40"/>
      <c r="M484" s="40"/>
      <c r="P484" s="40"/>
    </row>
    <row r="485" spans="5:16" ht="15.75" customHeight="1" x14ac:dyDescent="0.25">
      <c r="E485" s="40"/>
      <c r="G485" s="40"/>
      <c r="J485" s="40"/>
      <c r="M485" s="40"/>
      <c r="P485" s="40"/>
    </row>
    <row r="486" spans="5:16" ht="15.75" customHeight="1" x14ac:dyDescent="0.25">
      <c r="E486" s="40"/>
      <c r="G486" s="40"/>
      <c r="J486" s="40"/>
      <c r="M486" s="40"/>
      <c r="P486" s="40"/>
    </row>
    <row r="487" spans="5:16" ht="15.75" customHeight="1" x14ac:dyDescent="0.25">
      <c r="E487" s="40"/>
      <c r="G487" s="40"/>
      <c r="J487" s="40"/>
      <c r="M487" s="40"/>
      <c r="P487" s="40"/>
    </row>
    <row r="488" spans="5:16" ht="15.75" customHeight="1" x14ac:dyDescent="0.25">
      <c r="E488" s="40"/>
      <c r="G488" s="40"/>
      <c r="J488" s="40"/>
      <c r="M488" s="40"/>
      <c r="P488" s="40"/>
    </row>
    <row r="489" spans="5:16" ht="15.75" customHeight="1" x14ac:dyDescent="0.25">
      <c r="E489" s="40"/>
      <c r="G489" s="40"/>
      <c r="J489" s="40"/>
      <c r="M489" s="40"/>
      <c r="P489" s="40"/>
    </row>
    <row r="490" spans="5:16" ht="15.75" customHeight="1" x14ac:dyDescent="0.25">
      <c r="E490" s="40"/>
      <c r="G490" s="40"/>
      <c r="J490" s="40"/>
      <c r="M490" s="40"/>
      <c r="P490" s="40"/>
    </row>
    <row r="491" spans="5:16" ht="15.75" customHeight="1" x14ac:dyDescent="0.25">
      <c r="E491" s="40"/>
      <c r="G491" s="40"/>
      <c r="J491" s="40"/>
      <c r="M491" s="40"/>
      <c r="P491" s="40"/>
    </row>
    <row r="492" spans="5:16" ht="15.75" customHeight="1" x14ac:dyDescent="0.25">
      <c r="E492" s="40"/>
      <c r="G492" s="40"/>
      <c r="J492" s="40"/>
      <c r="M492" s="40"/>
      <c r="P492" s="40"/>
    </row>
    <row r="493" spans="5:16" ht="15.75" customHeight="1" x14ac:dyDescent="0.25">
      <c r="E493" s="40"/>
      <c r="G493" s="40"/>
      <c r="J493" s="40"/>
      <c r="M493" s="40"/>
      <c r="P493" s="40"/>
    </row>
    <row r="494" spans="5:16" ht="15.75" customHeight="1" x14ac:dyDescent="0.25">
      <c r="E494" s="40"/>
      <c r="G494" s="40"/>
      <c r="J494" s="40"/>
      <c r="M494" s="40"/>
      <c r="P494" s="40"/>
    </row>
    <row r="495" spans="5:16" ht="15.75" customHeight="1" x14ac:dyDescent="0.25">
      <c r="E495" s="40"/>
      <c r="G495" s="40"/>
      <c r="J495" s="40"/>
      <c r="M495" s="40"/>
      <c r="P495" s="40"/>
    </row>
    <row r="496" spans="5:16" ht="15.75" customHeight="1" x14ac:dyDescent="0.25">
      <c r="E496" s="40"/>
      <c r="G496" s="40"/>
      <c r="J496" s="40"/>
      <c r="M496" s="40"/>
      <c r="P496" s="40"/>
    </row>
    <row r="497" spans="5:16" ht="15.75" customHeight="1" x14ac:dyDescent="0.25">
      <c r="E497" s="40"/>
      <c r="G497" s="40"/>
      <c r="J497" s="40"/>
      <c r="M497" s="40"/>
      <c r="P497" s="40"/>
    </row>
    <row r="498" spans="5:16" ht="15.75" customHeight="1" x14ac:dyDescent="0.25">
      <c r="E498" s="40"/>
      <c r="G498" s="40"/>
      <c r="J498" s="40"/>
      <c r="M498" s="40"/>
      <c r="P498" s="40"/>
    </row>
    <row r="499" spans="5:16" ht="15.75" customHeight="1" x14ac:dyDescent="0.25">
      <c r="E499" s="40"/>
      <c r="G499" s="40"/>
      <c r="J499" s="40"/>
      <c r="M499" s="40"/>
      <c r="P499" s="40"/>
    </row>
    <row r="500" spans="5:16" ht="15.75" customHeight="1" x14ac:dyDescent="0.25">
      <c r="E500" s="40"/>
      <c r="G500" s="40"/>
      <c r="J500" s="40"/>
      <c r="M500" s="40"/>
      <c r="P500" s="40"/>
    </row>
    <row r="501" spans="5:16" ht="15.75" customHeight="1" x14ac:dyDescent="0.25">
      <c r="E501" s="40"/>
      <c r="G501" s="40"/>
      <c r="J501" s="40"/>
      <c r="M501" s="40"/>
      <c r="P501" s="40"/>
    </row>
    <row r="502" spans="5:16" ht="15.75" customHeight="1" x14ac:dyDescent="0.25">
      <c r="E502" s="40"/>
      <c r="G502" s="40"/>
      <c r="J502" s="40"/>
      <c r="M502" s="40"/>
      <c r="P502" s="40"/>
    </row>
    <row r="503" spans="5:16" ht="15.75" customHeight="1" x14ac:dyDescent="0.25">
      <c r="E503" s="40"/>
      <c r="G503" s="40"/>
      <c r="J503" s="40"/>
      <c r="M503" s="40"/>
      <c r="P503" s="40"/>
    </row>
    <row r="504" spans="5:16" ht="15.75" customHeight="1" x14ac:dyDescent="0.25">
      <c r="E504" s="40"/>
      <c r="G504" s="40"/>
      <c r="J504" s="40"/>
      <c r="M504" s="40"/>
      <c r="P504" s="40"/>
    </row>
    <row r="505" spans="5:16" ht="15.75" customHeight="1" x14ac:dyDescent="0.25">
      <c r="E505" s="40"/>
      <c r="G505" s="40"/>
      <c r="J505" s="40"/>
      <c r="M505" s="40"/>
      <c r="P505" s="40"/>
    </row>
    <row r="506" spans="5:16" ht="15.75" customHeight="1" x14ac:dyDescent="0.25">
      <c r="E506" s="40"/>
      <c r="G506" s="40"/>
      <c r="J506" s="40"/>
      <c r="M506" s="40"/>
      <c r="P506" s="40"/>
    </row>
    <row r="507" spans="5:16" ht="15.75" customHeight="1" x14ac:dyDescent="0.25">
      <c r="E507" s="40"/>
      <c r="G507" s="40"/>
      <c r="J507" s="40"/>
      <c r="M507" s="40"/>
      <c r="P507" s="40"/>
    </row>
    <row r="508" spans="5:16" ht="15.75" customHeight="1" x14ac:dyDescent="0.25">
      <c r="E508" s="40"/>
      <c r="G508" s="40"/>
      <c r="J508" s="40"/>
      <c r="M508" s="40"/>
      <c r="P508" s="40"/>
    </row>
    <row r="509" spans="5:16" ht="15.75" customHeight="1" x14ac:dyDescent="0.25">
      <c r="E509" s="40"/>
      <c r="G509" s="40"/>
      <c r="J509" s="40"/>
      <c r="M509" s="40"/>
      <c r="P509" s="40"/>
    </row>
    <row r="510" spans="5:16" ht="15.75" customHeight="1" x14ac:dyDescent="0.25">
      <c r="E510" s="40"/>
      <c r="G510" s="40"/>
      <c r="J510" s="40"/>
      <c r="M510" s="40"/>
      <c r="P510" s="40"/>
    </row>
    <row r="511" spans="5:16" ht="15.75" customHeight="1" x14ac:dyDescent="0.25">
      <c r="E511" s="40"/>
      <c r="G511" s="40"/>
      <c r="J511" s="40"/>
      <c r="M511" s="40"/>
      <c r="P511" s="40"/>
    </row>
    <row r="512" spans="5:16" ht="15.75" customHeight="1" x14ac:dyDescent="0.25">
      <c r="E512" s="40"/>
      <c r="G512" s="40"/>
      <c r="J512" s="40"/>
      <c r="M512" s="40"/>
      <c r="P512" s="40"/>
    </row>
    <row r="513" spans="5:16" ht="15.75" customHeight="1" x14ac:dyDescent="0.25">
      <c r="E513" s="40"/>
      <c r="G513" s="40"/>
      <c r="J513" s="40"/>
      <c r="M513" s="40"/>
      <c r="P513" s="40"/>
    </row>
    <row r="514" spans="5:16" ht="15.75" customHeight="1" x14ac:dyDescent="0.25">
      <c r="E514" s="40"/>
      <c r="G514" s="40"/>
      <c r="J514" s="40"/>
      <c r="M514" s="40"/>
      <c r="P514" s="40"/>
    </row>
    <row r="515" spans="5:16" ht="15.75" customHeight="1" x14ac:dyDescent="0.25">
      <c r="E515" s="40"/>
      <c r="G515" s="40"/>
      <c r="J515" s="40"/>
      <c r="M515" s="40"/>
      <c r="P515" s="40"/>
    </row>
    <row r="516" spans="5:16" ht="15.75" customHeight="1" x14ac:dyDescent="0.25">
      <c r="E516" s="40"/>
      <c r="G516" s="40"/>
      <c r="J516" s="40"/>
      <c r="M516" s="40"/>
      <c r="P516" s="40"/>
    </row>
    <row r="517" spans="5:16" ht="15.75" customHeight="1" x14ac:dyDescent="0.25">
      <c r="E517" s="40"/>
      <c r="G517" s="40"/>
      <c r="J517" s="40"/>
      <c r="M517" s="40"/>
      <c r="P517" s="40"/>
    </row>
    <row r="518" spans="5:16" ht="15.75" customHeight="1" x14ac:dyDescent="0.25">
      <c r="E518" s="40"/>
      <c r="G518" s="40"/>
      <c r="J518" s="40"/>
      <c r="M518" s="40"/>
      <c r="P518" s="40"/>
    </row>
    <row r="519" spans="5:16" ht="15.75" customHeight="1" x14ac:dyDescent="0.25">
      <c r="E519" s="40"/>
      <c r="G519" s="40"/>
      <c r="J519" s="40"/>
      <c r="M519" s="40"/>
      <c r="P519" s="40"/>
    </row>
    <row r="520" spans="5:16" ht="15.75" customHeight="1" x14ac:dyDescent="0.25">
      <c r="E520" s="40"/>
      <c r="G520" s="40"/>
      <c r="J520" s="40"/>
      <c r="M520" s="40"/>
      <c r="P520" s="40"/>
    </row>
    <row r="521" spans="5:16" ht="15.75" customHeight="1" x14ac:dyDescent="0.25">
      <c r="E521" s="40"/>
      <c r="G521" s="40"/>
      <c r="J521" s="40"/>
      <c r="M521" s="40"/>
      <c r="P521" s="40"/>
    </row>
    <row r="522" spans="5:16" ht="15.75" customHeight="1" x14ac:dyDescent="0.25">
      <c r="E522" s="40"/>
      <c r="G522" s="40"/>
      <c r="J522" s="40"/>
      <c r="M522" s="40"/>
      <c r="P522" s="40"/>
    </row>
    <row r="523" spans="5:16" ht="15.75" customHeight="1" x14ac:dyDescent="0.25">
      <c r="E523" s="40"/>
      <c r="G523" s="40"/>
      <c r="J523" s="40"/>
      <c r="M523" s="40"/>
      <c r="P523" s="40"/>
    </row>
    <row r="524" spans="5:16" ht="15.75" customHeight="1" x14ac:dyDescent="0.25">
      <c r="E524" s="40"/>
      <c r="G524" s="40"/>
      <c r="J524" s="40"/>
      <c r="M524" s="40"/>
      <c r="P524" s="40"/>
    </row>
    <row r="525" spans="5:16" ht="15.75" customHeight="1" x14ac:dyDescent="0.25">
      <c r="E525" s="40"/>
      <c r="G525" s="40"/>
      <c r="J525" s="40"/>
      <c r="M525" s="40"/>
      <c r="P525" s="40"/>
    </row>
    <row r="526" spans="5:16" ht="15.75" customHeight="1" x14ac:dyDescent="0.25">
      <c r="E526" s="40"/>
      <c r="G526" s="40"/>
      <c r="J526" s="40"/>
      <c r="M526" s="40"/>
      <c r="P526" s="40"/>
    </row>
    <row r="527" spans="5:16" ht="15.75" customHeight="1" x14ac:dyDescent="0.25">
      <c r="E527" s="40"/>
      <c r="G527" s="40"/>
      <c r="J527" s="40"/>
      <c r="M527" s="40"/>
      <c r="P527" s="40"/>
    </row>
    <row r="528" spans="5:16" ht="15.75" customHeight="1" x14ac:dyDescent="0.25">
      <c r="E528" s="40"/>
      <c r="G528" s="40"/>
      <c r="J528" s="40"/>
      <c r="M528" s="40"/>
      <c r="P528" s="40"/>
    </row>
    <row r="529" spans="5:16" ht="15.75" customHeight="1" x14ac:dyDescent="0.25">
      <c r="E529" s="40"/>
      <c r="G529" s="40"/>
      <c r="J529" s="40"/>
      <c r="M529" s="40"/>
      <c r="P529" s="40"/>
    </row>
    <row r="530" spans="5:16" ht="15.75" customHeight="1" x14ac:dyDescent="0.25">
      <c r="E530" s="40"/>
      <c r="G530" s="40"/>
      <c r="J530" s="40"/>
      <c r="M530" s="40"/>
      <c r="P530" s="40"/>
    </row>
    <row r="531" spans="5:16" ht="15.75" customHeight="1" x14ac:dyDescent="0.25">
      <c r="E531" s="40"/>
      <c r="G531" s="40"/>
      <c r="J531" s="40"/>
      <c r="M531" s="40"/>
      <c r="P531" s="40"/>
    </row>
    <row r="532" spans="5:16" ht="15.75" customHeight="1" x14ac:dyDescent="0.25">
      <c r="E532" s="40"/>
      <c r="G532" s="40"/>
      <c r="J532" s="40"/>
      <c r="M532" s="40"/>
      <c r="P532" s="40"/>
    </row>
    <row r="533" spans="5:16" ht="15.75" customHeight="1" x14ac:dyDescent="0.25">
      <c r="E533" s="40"/>
      <c r="G533" s="40"/>
      <c r="J533" s="40"/>
      <c r="M533" s="40"/>
      <c r="P533" s="40"/>
    </row>
    <row r="534" spans="5:16" ht="15.75" customHeight="1" x14ac:dyDescent="0.25">
      <c r="E534" s="40"/>
      <c r="G534" s="40"/>
      <c r="J534" s="40"/>
      <c r="M534" s="40"/>
      <c r="P534" s="40"/>
    </row>
    <row r="535" spans="5:16" ht="15.75" customHeight="1" x14ac:dyDescent="0.25">
      <c r="E535" s="40"/>
      <c r="G535" s="40"/>
      <c r="J535" s="40"/>
      <c r="M535" s="40"/>
      <c r="P535" s="40"/>
    </row>
    <row r="536" spans="5:16" ht="15.75" customHeight="1" x14ac:dyDescent="0.25">
      <c r="E536" s="40"/>
      <c r="G536" s="40"/>
      <c r="J536" s="40"/>
      <c r="M536" s="40"/>
      <c r="P536" s="40"/>
    </row>
    <row r="537" spans="5:16" ht="15.75" customHeight="1" x14ac:dyDescent="0.25">
      <c r="E537" s="40"/>
      <c r="G537" s="40"/>
      <c r="J537" s="40"/>
      <c r="M537" s="40"/>
      <c r="P537" s="40"/>
    </row>
    <row r="538" spans="5:16" ht="15.75" customHeight="1" x14ac:dyDescent="0.25">
      <c r="E538" s="40"/>
      <c r="G538" s="40"/>
      <c r="J538" s="40"/>
      <c r="M538" s="40"/>
      <c r="P538" s="40"/>
    </row>
    <row r="539" spans="5:16" ht="15.75" customHeight="1" x14ac:dyDescent="0.25">
      <c r="E539" s="40"/>
      <c r="G539" s="40"/>
      <c r="J539" s="40"/>
      <c r="M539" s="40"/>
      <c r="P539" s="40"/>
    </row>
    <row r="540" spans="5:16" ht="15.75" customHeight="1" x14ac:dyDescent="0.25">
      <c r="E540" s="40"/>
      <c r="G540" s="40"/>
      <c r="J540" s="40"/>
      <c r="M540" s="40"/>
      <c r="P540" s="40"/>
    </row>
    <row r="541" spans="5:16" ht="15.75" customHeight="1" x14ac:dyDescent="0.25">
      <c r="E541" s="40"/>
      <c r="G541" s="40"/>
      <c r="J541" s="40"/>
      <c r="M541" s="40"/>
      <c r="P541" s="40"/>
    </row>
    <row r="542" spans="5:16" ht="15.75" customHeight="1" x14ac:dyDescent="0.25">
      <c r="E542" s="40"/>
      <c r="G542" s="40"/>
      <c r="J542" s="40"/>
      <c r="M542" s="40"/>
      <c r="P542" s="40"/>
    </row>
    <row r="543" spans="5:16" ht="15.75" customHeight="1" x14ac:dyDescent="0.25">
      <c r="E543" s="40"/>
      <c r="G543" s="40"/>
      <c r="J543" s="40"/>
      <c r="M543" s="40"/>
      <c r="P543" s="40"/>
    </row>
    <row r="544" spans="5:16" ht="15.75" customHeight="1" x14ac:dyDescent="0.25">
      <c r="E544" s="40"/>
      <c r="G544" s="40"/>
      <c r="J544" s="40"/>
      <c r="M544" s="40"/>
      <c r="P544" s="40"/>
    </row>
    <row r="545" spans="5:16" ht="15.75" customHeight="1" x14ac:dyDescent="0.25">
      <c r="E545" s="40"/>
      <c r="G545" s="40"/>
      <c r="J545" s="40"/>
      <c r="M545" s="40"/>
      <c r="P545" s="40"/>
    </row>
    <row r="546" spans="5:16" ht="15.75" customHeight="1" x14ac:dyDescent="0.25">
      <c r="E546" s="40"/>
      <c r="G546" s="40"/>
      <c r="J546" s="40"/>
      <c r="M546" s="40"/>
      <c r="P546" s="40"/>
    </row>
    <row r="547" spans="5:16" ht="15.75" customHeight="1" x14ac:dyDescent="0.25">
      <c r="E547" s="40"/>
      <c r="G547" s="40"/>
      <c r="J547" s="40"/>
      <c r="M547" s="40"/>
      <c r="P547" s="40"/>
    </row>
    <row r="548" spans="5:16" ht="15.75" customHeight="1" x14ac:dyDescent="0.25">
      <c r="E548" s="40"/>
      <c r="G548" s="40"/>
      <c r="J548" s="40"/>
      <c r="M548" s="40"/>
      <c r="P548" s="40"/>
    </row>
    <row r="549" spans="5:16" ht="15.75" customHeight="1" x14ac:dyDescent="0.25">
      <c r="E549" s="40"/>
      <c r="G549" s="40"/>
      <c r="J549" s="40"/>
      <c r="M549" s="40"/>
      <c r="P549" s="40"/>
    </row>
    <row r="550" spans="5:16" ht="15.75" customHeight="1" x14ac:dyDescent="0.25">
      <c r="E550" s="40"/>
      <c r="G550" s="40"/>
      <c r="J550" s="40"/>
      <c r="M550" s="40"/>
      <c r="P550" s="40"/>
    </row>
    <row r="551" spans="5:16" ht="15.75" customHeight="1" x14ac:dyDescent="0.25">
      <c r="E551" s="40"/>
      <c r="G551" s="40"/>
      <c r="J551" s="40"/>
      <c r="M551" s="40"/>
      <c r="P551" s="40"/>
    </row>
    <row r="552" spans="5:16" ht="15.75" customHeight="1" x14ac:dyDescent="0.25">
      <c r="E552" s="40"/>
      <c r="G552" s="40"/>
      <c r="J552" s="40"/>
      <c r="M552" s="40"/>
      <c r="P552" s="40"/>
    </row>
    <row r="553" spans="5:16" ht="15.75" customHeight="1" x14ac:dyDescent="0.25">
      <c r="E553" s="40"/>
      <c r="G553" s="40"/>
      <c r="J553" s="40"/>
      <c r="M553" s="40"/>
      <c r="P553" s="40"/>
    </row>
    <row r="554" spans="5:16" ht="15.75" customHeight="1" x14ac:dyDescent="0.25">
      <c r="E554" s="40"/>
      <c r="G554" s="40"/>
      <c r="J554" s="40"/>
      <c r="M554" s="40"/>
      <c r="P554" s="40"/>
    </row>
    <row r="555" spans="5:16" ht="15.75" customHeight="1" x14ac:dyDescent="0.25">
      <c r="E555" s="40"/>
      <c r="G555" s="40"/>
      <c r="J555" s="40"/>
      <c r="M555" s="40"/>
      <c r="P555" s="40"/>
    </row>
    <row r="556" spans="5:16" ht="15.75" customHeight="1" x14ac:dyDescent="0.25">
      <c r="E556" s="40"/>
      <c r="G556" s="40"/>
      <c r="J556" s="40"/>
      <c r="M556" s="40"/>
      <c r="P556" s="40"/>
    </row>
    <row r="557" spans="5:16" ht="15.75" customHeight="1" x14ac:dyDescent="0.25">
      <c r="E557" s="40"/>
      <c r="G557" s="40"/>
      <c r="J557" s="40"/>
      <c r="M557" s="40"/>
      <c r="P557" s="40"/>
    </row>
    <row r="558" spans="5:16" ht="15.75" customHeight="1" x14ac:dyDescent="0.25">
      <c r="E558" s="40"/>
      <c r="G558" s="40"/>
      <c r="J558" s="40"/>
      <c r="M558" s="40"/>
      <c r="P558" s="40"/>
    </row>
    <row r="559" spans="5:16" ht="15.75" customHeight="1" x14ac:dyDescent="0.25">
      <c r="E559" s="40"/>
      <c r="G559" s="40"/>
      <c r="J559" s="40"/>
      <c r="M559" s="40"/>
      <c r="P559" s="40"/>
    </row>
    <row r="560" spans="5:16" ht="15.75" customHeight="1" x14ac:dyDescent="0.25">
      <c r="E560" s="40"/>
      <c r="G560" s="40"/>
      <c r="J560" s="40"/>
      <c r="M560" s="40"/>
      <c r="P560" s="40"/>
    </row>
    <row r="561" spans="5:16" ht="15.75" customHeight="1" x14ac:dyDescent="0.25">
      <c r="E561" s="40"/>
      <c r="G561" s="40"/>
      <c r="J561" s="40"/>
      <c r="M561" s="40"/>
      <c r="P561" s="40"/>
    </row>
    <row r="562" spans="5:16" ht="15.75" customHeight="1" x14ac:dyDescent="0.25">
      <c r="E562" s="40"/>
      <c r="G562" s="40"/>
      <c r="J562" s="40"/>
      <c r="M562" s="40"/>
      <c r="P562" s="40"/>
    </row>
    <row r="563" spans="5:16" ht="15.75" customHeight="1" x14ac:dyDescent="0.25">
      <c r="E563" s="40"/>
      <c r="G563" s="40"/>
      <c r="J563" s="40"/>
      <c r="M563" s="40"/>
      <c r="P563" s="40"/>
    </row>
    <row r="564" spans="5:16" ht="15.75" customHeight="1" x14ac:dyDescent="0.25">
      <c r="E564" s="40"/>
      <c r="G564" s="40"/>
      <c r="J564" s="40"/>
      <c r="M564" s="40"/>
      <c r="P564" s="40"/>
    </row>
    <row r="565" spans="5:16" ht="15.75" customHeight="1" x14ac:dyDescent="0.25">
      <c r="E565" s="40"/>
      <c r="G565" s="40"/>
      <c r="J565" s="40"/>
      <c r="M565" s="40"/>
      <c r="P565" s="40"/>
    </row>
    <row r="566" spans="5:16" ht="15.75" customHeight="1" x14ac:dyDescent="0.25">
      <c r="E566" s="40"/>
      <c r="G566" s="40"/>
      <c r="J566" s="40"/>
      <c r="M566" s="40"/>
      <c r="P566" s="40"/>
    </row>
    <row r="567" spans="5:16" ht="15.75" customHeight="1" x14ac:dyDescent="0.25">
      <c r="E567" s="40"/>
      <c r="G567" s="40"/>
      <c r="J567" s="40"/>
      <c r="M567" s="40"/>
      <c r="P567" s="40"/>
    </row>
    <row r="568" spans="5:16" ht="15.75" customHeight="1" x14ac:dyDescent="0.25">
      <c r="E568" s="40"/>
      <c r="G568" s="40"/>
      <c r="J568" s="40"/>
      <c r="M568" s="40"/>
      <c r="P568" s="40"/>
    </row>
    <row r="569" spans="5:16" ht="15.75" customHeight="1" x14ac:dyDescent="0.25">
      <c r="E569" s="40"/>
      <c r="G569" s="40"/>
      <c r="J569" s="40"/>
      <c r="M569" s="40"/>
      <c r="P569" s="40"/>
    </row>
    <row r="570" spans="5:16" ht="15.75" customHeight="1" x14ac:dyDescent="0.25">
      <c r="E570" s="40"/>
      <c r="G570" s="40"/>
      <c r="J570" s="40"/>
      <c r="M570" s="40"/>
      <c r="P570" s="40"/>
    </row>
    <row r="571" spans="5:16" ht="15.75" customHeight="1" x14ac:dyDescent="0.25">
      <c r="E571" s="40"/>
      <c r="G571" s="40"/>
      <c r="J571" s="40"/>
      <c r="M571" s="40"/>
      <c r="P571" s="40"/>
    </row>
    <row r="572" spans="5:16" ht="15.75" customHeight="1" x14ac:dyDescent="0.25">
      <c r="E572" s="40"/>
      <c r="G572" s="40"/>
      <c r="J572" s="40"/>
      <c r="M572" s="40"/>
      <c r="P572" s="40"/>
    </row>
    <row r="573" spans="5:16" ht="15.75" customHeight="1" x14ac:dyDescent="0.25">
      <c r="E573" s="40"/>
      <c r="G573" s="40"/>
      <c r="J573" s="40"/>
      <c r="M573" s="40"/>
      <c r="P573" s="40"/>
    </row>
    <row r="574" spans="5:16" ht="15.75" customHeight="1" x14ac:dyDescent="0.25">
      <c r="E574" s="40"/>
      <c r="G574" s="40"/>
      <c r="J574" s="40"/>
      <c r="M574" s="40"/>
      <c r="P574" s="40"/>
    </row>
    <row r="575" spans="5:16" ht="15.75" customHeight="1" x14ac:dyDescent="0.25">
      <c r="E575" s="40"/>
      <c r="G575" s="40"/>
      <c r="J575" s="40"/>
      <c r="M575" s="40"/>
      <c r="P575" s="40"/>
    </row>
    <row r="576" spans="5:16" ht="15.75" customHeight="1" x14ac:dyDescent="0.25">
      <c r="E576" s="40"/>
      <c r="G576" s="40"/>
      <c r="J576" s="40"/>
      <c r="M576" s="40"/>
      <c r="P576" s="40"/>
    </row>
    <row r="577" spans="5:16" ht="15.75" customHeight="1" x14ac:dyDescent="0.25">
      <c r="E577" s="40"/>
      <c r="G577" s="40"/>
      <c r="J577" s="40"/>
      <c r="M577" s="40"/>
      <c r="P577" s="40"/>
    </row>
    <row r="578" spans="5:16" ht="15.75" customHeight="1" x14ac:dyDescent="0.25">
      <c r="E578" s="40"/>
      <c r="G578" s="40"/>
      <c r="J578" s="40"/>
      <c r="M578" s="40"/>
      <c r="P578" s="40"/>
    </row>
    <row r="579" spans="5:16" ht="15.75" customHeight="1" x14ac:dyDescent="0.25">
      <c r="E579" s="40"/>
      <c r="G579" s="40"/>
      <c r="J579" s="40"/>
      <c r="M579" s="40"/>
      <c r="P579" s="40"/>
    </row>
    <row r="580" spans="5:16" ht="15.75" customHeight="1" x14ac:dyDescent="0.25">
      <c r="E580" s="40"/>
      <c r="G580" s="40"/>
      <c r="J580" s="40"/>
      <c r="M580" s="40"/>
      <c r="P580" s="40"/>
    </row>
    <row r="581" spans="5:16" ht="15.75" customHeight="1" x14ac:dyDescent="0.25">
      <c r="E581" s="40"/>
      <c r="G581" s="40"/>
      <c r="J581" s="40"/>
      <c r="M581" s="40"/>
      <c r="P581" s="40"/>
    </row>
    <row r="582" spans="5:16" ht="15.75" customHeight="1" x14ac:dyDescent="0.25">
      <c r="E582" s="40"/>
      <c r="G582" s="40"/>
      <c r="J582" s="40"/>
      <c r="M582" s="40"/>
      <c r="P582" s="40"/>
    </row>
    <row r="583" spans="5:16" ht="15.75" customHeight="1" x14ac:dyDescent="0.25">
      <c r="E583" s="40"/>
      <c r="G583" s="40"/>
      <c r="J583" s="40"/>
      <c r="M583" s="40"/>
      <c r="P583" s="40"/>
    </row>
    <row r="584" spans="5:16" ht="15.75" customHeight="1" x14ac:dyDescent="0.25">
      <c r="E584" s="40"/>
      <c r="G584" s="40"/>
      <c r="J584" s="40"/>
      <c r="M584" s="40"/>
      <c r="P584" s="40"/>
    </row>
    <row r="585" spans="5:16" ht="15.75" customHeight="1" x14ac:dyDescent="0.25">
      <c r="E585" s="40"/>
      <c r="G585" s="40"/>
      <c r="J585" s="40"/>
      <c r="M585" s="40"/>
      <c r="P585" s="40"/>
    </row>
    <row r="586" spans="5:16" ht="15.75" customHeight="1" x14ac:dyDescent="0.25">
      <c r="E586" s="40"/>
      <c r="G586" s="40"/>
      <c r="J586" s="40"/>
      <c r="M586" s="40"/>
      <c r="P586" s="40"/>
    </row>
    <row r="587" spans="5:16" ht="15.75" customHeight="1" x14ac:dyDescent="0.25">
      <c r="E587" s="40"/>
      <c r="G587" s="40"/>
      <c r="J587" s="40"/>
      <c r="M587" s="40"/>
      <c r="P587" s="40"/>
    </row>
    <row r="588" spans="5:16" ht="15.75" customHeight="1" x14ac:dyDescent="0.25">
      <c r="E588" s="40"/>
      <c r="G588" s="40"/>
      <c r="J588" s="40"/>
      <c r="M588" s="40"/>
      <c r="P588" s="40"/>
    </row>
    <row r="589" spans="5:16" ht="15.75" customHeight="1" x14ac:dyDescent="0.25">
      <c r="E589" s="40"/>
      <c r="G589" s="40"/>
      <c r="J589" s="40"/>
      <c r="M589" s="40"/>
      <c r="P589" s="40"/>
    </row>
    <row r="590" spans="5:16" ht="15.75" customHeight="1" x14ac:dyDescent="0.25">
      <c r="E590" s="40"/>
      <c r="G590" s="40"/>
      <c r="J590" s="40"/>
      <c r="M590" s="40"/>
      <c r="P590" s="40"/>
    </row>
    <row r="591" spans="5:16" ht="15.75" customHeight="1" x14ac:dyDescent="0.25">
      <c r="E591" s="40"/>
      <c r="G591" s="40"/>
      <c r="J591" s="40"/>
      <c r="M591" s="40"/>
      <c r="P591" s="40"/>
    </row>
    <row r="592" spans="5:16" ht="15.75" customHeight="1" x14ac:dyDescent="0.25">
      <c r="E592" s="40"/>
      <c r="G592" s="40"/>
      <c r="J592" s="40"/>
      <c r="M592" s="40"/>
      <c r="P592" s="40"/>
    </row>
    <row r="593" spans="5:16" ht="15.75" customHeight="1" x14ac:dyDescent="0.25">
      <c r="E593" s="40"/>
      <c r="G593" s="40"/>
      <c r="J593" s="40"/>
      <c r="M593" s="40"/>
      <c r="P593" s="40"/>
    </row>
    <row r="594" spans="5:16" ht="15.75" customHeight="1" x14ac:dyDescent="0.25">
      <c r="E594" s="40"/>
      <c r="G594" s="40"/>
      <c r="J594" s="40"/>
      <c r="M594" s="40"/>
      <c r="P594" s="40"/>
    </row>
    <row r="595" spans="5:16" ht="15.75" customHeight="1" x14ac:dyDescent="0.25">
      <c r="E595" s="40"/>
      <c r="G595" s="40"/>
      <c r="J595" s="40"/>
      <c r="M595" s="40"/>
      <c r="P595" s="40"/>
    </row>
    <row r="596" spans="5:16" ht="15.75" customHeight="1" x14ac:dyDescent="0.25">
      <c r="E596" s="40"/>
      <c r="G596" s="40"/>
      <c r="J596" s="40"/>
      <c r="M596" s="40"/>
      <c r="P596" s="40"/>
    </row>
    <row r="597" spans="5:16" ht="15.75" customHeight="1" x14ac:dyDescent="0.25">
      <c r="E597" s="40"/>
      <c r="G597" s="40"/>
      <c r="J597" s="40"/>
      <c r="M597" s="40"/>
      <c r="P597" s="40"/>
    </row>
    <row r="598" spans="5:16" ht="15.75" customHeight="1" x14ac:dyDescent="0.25">
      <c r="E598" s="40"/>
      <c r="G598" s="40"/>
      <c r="J598" s="40"/>
      <c r="M598" s="40"/>
      <c r="P598" s="40"/>
    </row>
    <row r="599" spans="5:16" ht="15.75" customHeight="1" x14ac:dyDescent="0.25">
      <c r="E599" s="40"/>
      <c r="G599" s="40"/>
      <c r="J599" s="40"/>
      <c r="M599" s="40"/>
      <c r="P599" s="40"/>
    </row>
    <row r="600" spans="5:16" ht="15.75" customHeight="1" x14ac:dyDescent="0.25">
      <c r="E600" s="40"/>
      <c r="G600" s="40"/>
      <c r="J600" s="40"/>
      <c r="M600" s="40"/>
      <c r="P600" s="40"/>
    </row>
    <row r="601" spans="5:16" ht="15.75" customHeight="1" x14ac:dyDescent="0.25">
      <c r="E601" s="40"/>
      <c r="G601" s="40"/>
      <c r="J601" s="40"/>
      <c r="M601" s="40"/>
      <c r="P601" s="40"/>
    </row>
    <row r="602" spans="5:16" ht="15.75" customHeight="1" x14ac:dyDescent="0.25">
      <c r="E602" s="40"/>
      <c r="G602" s="40"/>
      <c r="J602" s="40"/>
      <c r="M602" s="40"/>
      <c r="P602" s="40"/>
    </row>
    <row r="603" spans="5:16" ht="15.75" customHeight="1" x14ac:dyDescent="0.25">
      <c r="E603" s="40"/>
      <c r="G603" s="40"/>
      <c r="J603" s="40"/>
      <c r="M603" s="40"/>
      <c r="P603" s="40"/>
    </row>
    <row r="604" spans="5:16" ht="15.75" customHeight="1" x14ac:dyDescent="0.25">
      <c r="E604" s="40"/>
      <c r="G604" s="40"/>
      <c r="J604" s="40"/>
      <c r="M604" s="40"/>
      <c r="P604" s="40"/>
    </row>
    <row r="605" spans="5:16" ht="15.75" customHeight="1" x14ac:dyDescent="0.25">
      <c r="E605" s="40"/>
      <c r="G605" s="40"/>
      <c r="J605" s="40"/>
      <c r="M605" s="40"/>
      <c r="P605" s="40"/>
    </row>
    <row r="606" spans="5:16" ht="15.75" customHeight="1" x14ac:dyDescent="0.25">
      <c r="E606" s="40"/>
      <c r="G606" s="40"/>
      <c r="J606" s="40"/>
      <c r="M606" s="40"/>
      <c r="P606" s="40"/>
    </row>
    <row r="607" spans="5:16" ht="15.75" customHeight="1" x14ac:dyDescent="0.25">
      <c r="E607" s="40"/>
      <c r="G607" s="40"/>
      <c r="J607" s="40"/>
      <c r="M607" s="40"/>
      <c r="P607" s="40"/>
    </row>
    <row r="608" spans="5:16" ht="15.75" customHeight="1" x14ac:dyDescent="0.25">
      <c r="E608" s="40"/>
      <c r="G608" s="40"/>
      <c r="J608" s="40"/>
      <c r="M608" s="40"/>
      <c r="P608" s="40"/>
    </row>
    <row r="609" spans="5:16" ht="15.75" customHeight="1" x14ac:dyDescent="0.25">
      <c r="E609" s="40"/>
      <c r="G609" s="40"/>
      <c r="J609" s="40"/>
      <c r="M609" s="40"/>
      <c r="P609" s="40"/>
    </row>
    <row r="610" spans="5:16" ht="15.75" customHeight="1" x14ac:dyDescent="0.25">
      <c r="E610" s="40"/>
      <c r="G610" s="40"/>
      <c r="J610" s="40"/>
      <c r="M610" s="40"/>
      <c r="P610" s="40"/>
    </row>
    <row r="611" spans="5:16" ht="15.75" customHeight="1" x14ac:dyDescent="0.25">
      <c r="E611" s="40"/>
      <c r="G611" s="40"/>
      <c r="J611" s="40"/>
      <c r="M611" s="40"/>
      <c r="P611" s="40"/>
    </row>
    <row r="612" spans="5:16" ht="15.75" customHeight="1" x14ac:dyDescent="0.25">
      <c r="E612" s="40"/>
      <c r="G612" s="40"/>
      <c r="J612" s="40"/>
      <c r="M612" s="40"/>
      <c r="P612" s="40"/>
    </row>
    <row r="613" spans="5:16" ht="15.75" customHeight="1" x14ac:dyDescent="0.25">
      <c r="E613" s="40"/>
      <c r="G613" s="40"/>
      <c r="J613" s="40"/>
      <c r="M613" s="40"/>
      <c r="P613" s="40"/>
    </row>
    <row r="614" spans="5:16" ht="15.75" customHeight="1" x14ac:dyDescent="0.25">
      <c r="E614" s="40"/>
      <c r="G614" s="40"/>
      <c r="J614" s="40"/>
      <c r="M614" s="40"/>
      <c r="P614" s="40"/>
    </row>
    <row r="615" spans="5:16" ht="15.75" customHeight="1" x14ac:dyDescent="0.25">
      <c r="E615" s="40"/>
      <c r="G615" s="40"/>
      <c r="J615" s="40"/>
      <c r="M615" s="40"/>
      <c r="P615" s="40"/>
    </row>
    <row r="616" spans="5:16" ht="15.75" customHeight="1" x14ac:dyDescent="0.25">
      <c r="E616" s="40"/>
      <c r="G616" s="40"/>
      <c r="J616" s="40"/>
      <c r="M616" s="40"/>
      <c r="P616" s="40"/>
    </row>
    <row r="617" spans="5:16" ht="15.75" customHeight="1" x14ac:dyDescent="0.25">
      <c r="E617" s="40"/>
      <c r="G617" s="40"/>
      <c r="J617" s="40"/>
      <c r="M617" s="40"/>
      <c r="P617" s="40"/>
    </row>
    <row r="618" spans="5:16" ht="15.75" customHeight="1" x14ac:dyDescent="0.25">
      <c r="E618" s="40"/>
      <c r="G618" s="40"/>
      <c r="J618" s="40"/>
      <c r="M618" s="40"/>
      <c r="P618" s="40"/>
    </row>
    <row r="619" spans="5:16" ht="15.75" customHeight="1" x14ac:dyDescent="0.25">
      <c r="E619" s="40"/>
      <c r="G619" s="40"/>
      <c r="J619" s="40"/>
      <c r="M619" s="40"/>
      <c r="P619" s="40"/>
    </row>
    <row r="620" spans="5:16" ht="15.75" customHeight="1" x14ac:dyDescent="0.25">
      <c r="E620" s="40"/>
      <c r="G620" s="40"/>
      <c r="J620" s="40"/>
      <c r="M620" s="40"/>
      <c r="P620" s="40"/>
    </row>
    <row r="621" spans="5:16" ht="15.75" customHeight="1" x14ac:dyDescent="0.25">
      <c r="E621" s="40"/>
      <c r="G621" s="40"/>
      <c r="J621" s="40"/>
      <c r="M621" s="40"/>
      <c r="P621" s="40"/>
    </row>
    <row r="622" spans="5:16" ht="15.75" customHeight="1" x14ac:dyDescent="0.25">
      <c r="E622" s="40"/>
      <c r="G622" s="40"/>
      <c r="J622" s="40"/>
      <c r="M622" s="40"/>
      <c r="P622" s="40"/>
    </row>
    <row r="623" spans="5:16" ht="15.75" customHeight="1" x14ac:dyDescent="0.25">
      <c r="E623" s="40"/>
      <c r="G623" s="40"/>
      <c r="J623" s="40"/>
      <c r="M623" s="40"/>
      <c r="P623" s="40"/>
    </row>
    <row r="624" spans="5:16" ht="15.75" customHeight="1" x14ac:dyDescent="0.25">
      <c r="E624" s="40"/>
      <c r="G624" s="40"/>
      <c r="J624" s="40"/>
      <c r="M624" s="40"/>
      <c r="P624" s="40"/>
    </row>
    <row r="625" spans="5:16" ht="15.75" customHeight="1" x14ac:dyDescent="0.25">
      <c r="E625" s="40"/>
      <c r="G625" s="40"/>
      <c r="J625" s="40"/>
      <c r="M625" s="40"/>
      <c r="P625" s="40"/>
    </row>
    <row r="626" spans="5:16" ht="15.75" customHeight="1" x14ac:dyDescent="0.25">
      <c r="E626" s="40"/>
      <c r="G626" s="40"/>
      <c r="J626" s="40"/>
      <c r="M626" s="40"/>
      <c r="P626" s="40"/>
    </row>
    <row r="627" spans="5:16" ht="15.75" customHeight="1" x14ac:dyDescent="0.25">
      <c r="E627" s="40"/>
      <c r="G627" s="40"/>
      <c r="J627" s="40"/>
      <c r="M627" s="40"/>
      <c r="P627" s="40"/>
    </row>
    <row r="628" spans="5:16" ht="15.75" customHeight="1" x14ac:dyDescent="0.25">
      <c r="E628" s="40"/>
      <c r="G628" s="40"/>
      <c r="J628" s="40"/>
      <c r="M628" s="40"/>
      <c r="P628" s="40"/>
    </row>
    <row r="629" spans="5:16" ht="15.75" customHeight="1" x14ac:dyDescent="0.25">
      <c r="E629" s="40"/>
      <c r="G629" s="40"/>
      <c r="J629" s="40"/>
      <c r="M629" s="40"/>
      <c r="P629" s="40"/>
    </row>
    <row r="630" spans="5:16" ht="15.75" customHeight="1" x14ac:dyDescent="0.25">
      <c r="E630" s="40"/>
      <c r="G630" s="40"/>
      <c r="J630" s="40"/>
      <c r="M630" s="40"/>
      <c r="P630" s="40"/>
    </row>
    <row r="631" spans="5:16" ht="15.75" customHeight="1" x14ac:dyDescent="0.25">
      <c r="E631" s="40"/>
      <c r="G631" s="40"/>
      <c r="J631" s="40"/>
      <c r="M631" s="40"/>
      <c r="P631" s="40"/>
    </row>
    <row r="632" spans="5:16" ht="15.75" customHeight="1" x14ac:dyDescent="0.25">
      <c r="E632" s="40"/>
      <c r="G632" s="40"/>
      <c r="J632" s="40"/>
      <c r="M632" s="40"/>
      <c r="P632" s="40"/>
    </row>
    <row r="633" spans="5:16" ht="15.75" customHeight="1" x14ac:dyDescent="0.25">
      <c r="E633" s="40"/>
      <c r="G633" s="40"/>
      <c r="J633" s="40"/>
      <c r="M633" s="40"/>
      <c r="P633" s="40"/>
    </row>
    <row r="634" spans="5:16" ht="15.75" customHeight="1" x14ac:dyDescent="0.25">
      <c r="E634" s="40"/>
      <c r="G634" s="40"/>
      <c r="J634" s="40"/>
      <c r="M634" s="40"/>
      <c r="P634" s="40"/>
    </row>
    <row r="635" spans="5:16" ht="15.75" customHeight="1" x14ac:dyDescent="0.25">
      <c r="E635" s="40"/>
      <c r="G635" s="40"/>
      <c r="J635" s="40"/>
      <c r="M635" s="40"/>
      <c r="P635" s="40"/>
    </row>
    <row r="636" spans="5:16" ht="15.75" customHeight="1" x14ac:dyDescent="0.25">
      <c r="E636" s="40"/>
      <c r="G636" s="40"/>
      <c r="J636" s="40"/>
      <c r="M636" s="40"/>
      <c r="P636" s="40"/>
    </row>
    <row r="637" spans="5:16" ht="15.75" customHeight="1" x14ac:dyDescent="0.25">
      <c r="E637" s="40"/>
      <c r="G637" s="40"/>
      <c r="J637" s="40"/>
      <c r="M637" s="40"/>
      <c r="P637" s="40"/>
    </row>
    <row r="638" spans="5:16" ht="15.75" customHeight="1" x14ac:dyDescent="0.25">
      <c r="E638" s="40"/>
      <c r="G638" s="40"/>
      <c r="J638" s="40"/>
      <c r="M638" s="40"/>
      <c r="P638" s="40"/>
    </row>
    <row r="639" spans="5:16" ht="15.75" customHeight="1" x14ac:dyDescent="0.25">
      <c r="E639" s="40"/>
      <c r="G639" s="40"/>
      <c r="J639" s="40"/>
      <c r="M639" s="40"/>
      <c r="P639" s="40"/>
    </row>
    <row r="640" spans="5:16" ht="15.75" customHeight="1" x14ac:dyDescent="0.25">
      <c r="E640" s="40"/>
      <c r="G640" s="40"/>
      <c r="J640" s="40"/>
      <c r="M640" s="40"/>
      <c r="P640" s="40"/>
    </row>
    <row r="641" spans="5:16" ht="15.75" customHeight="1" x14ac:dyDescent="0.25">
      <c r="E641" s="40"/>
      <c r="G641" s="40"/>
      <c r="J641" s="40"/>
      <c r="M641" s="40"/>
      <c r="P641" s="40"/>
    </row>
    <row r="642" spans="5:16" ht="15.75" customHeight="1" x14ac:dyDescent="0.25">
      <c r="E642" s="40"/>
      <c r="G642" s="40"/>
      <c r="J642" s="40"/>
      <c r="M642" s="40"/>
      <c r="P642" s="40"/>
    </row>
    <row r="643" spans="5:16" ht="15.75" customHeight="1" x14ac:dyDescent="0.25">
      <c r="E643" s="40"/>
      <c r="G643" s="40"/>
      <c r="J643" s="40"/>
      <c r="M643" s="40"/>
      <c r="P643" s="40"/>
    </row>
    <row r="644" spans="5:16" ht="15.75" customHeight="1" x14ac:dyDescent="0.25">
      <c r="E644" s="40"/>
      <c r="G644" s="40"/>
      <c r="J644" s="40"/>
      <c r="M644" s="40"/>
      <c r="P644" s="40"/>
    </row>
    <row r="645" spans="5:16" ht="15.75" customHeight="1" x14ac:dyDescent="0.25">
      <c r="E645" s="40"/>
      <c r="G645" s="40"/>
      <c r="J645" s="40"/>
      <c r="M645" s="40"/>
      <c r="P645" s="40"/>
    </row>
    <row r="646" spans="5:16" ht="15.75" customHeight="1" x14ac:dyDescent="0.25">
      <c r="E646" s="40"/>
      <c r="G646" s="40"/>
      <c r="J646" s="40"/>
      <c r="M646" s="40"/>
      <c r="P646" s="40"/>
    </row>
    <row r="647" spans="5:16" ht="15.75" customHeight="1" x14ac:dyDescent="0.25">
      <c r="E647" s="40"/>
      <c r="G647" s="40"/>
      <c r="J647" s="40"/>
      <c r="M647" s="40"/>
      <c r="P647" s="40"/>
    </row>
    <row r="648" spans="5:16" ht="15.75" customHeight="1" x14ac:dyDescent="0.25">
      <c r="E648" s="40"/>
      <c r="G648" s="40"/>
      <c r="J648" s="40"/>
      <c r="M648" s="40"/>
      <c r="P648" s="40"/>
    </row>
    <row r="649" spans="5:16" ht="15.75" customHeight="1" x14ac:dyDescent="0.25">
      <c r="E649" s="40"/>
      <c r="G649" s="40"/>
      <c r="J649" s="40"/>
      <c r="M649" s="40"/>
      <c r="P649" s="40"/>
    </row>
    <row r="650" spans="5:16" ht="15.75" customHeight="1" x14ac:dyDescent="0.25">
      <c r="E650" s="40"/>
      <c r="G650" s="40"/>
      <c r="J650" s="40"/>
      <c r="M650" s="40"/>
      <c r="P650" s="40"/>
    </row>
    <row r="651" spans="5:16" ht="15.75" customHeight="1" x14ac:dyDescent="0.25">
      <c r="E651" s="40"/>
      <c r="G651" s="40"/>
      <c r="J651" s="40"/>
      <c r="M651" s="40"/>
      <c r="P651" s="40"/>
    </row>
    <row r="652" spans="5:16" ht="15.75" customHeight="1" x14ac:dyDescent="0.25">
      <c r="E652" s="40"/>
      <c r="G652" s="40"/>
      <c r="J652" s="40"/>
      <c r="M652" s="40"/>
      <c r="P652" s="40"/>
    </row>
    <row r="653" spans="5:16" ht="15.75" customHeight="1" x14ac:dyDescent="0.25">
      <c r="E653" s="40"/>
      <c r="G653" s="40"/>
      <c r="J653" s="40"/>
      <c r="M653" s="40"/>
      <c r="P653" s="40"/>
    </row>
    <row r="654" spans="5:16" ht="15.75" customHeight="1" x14ac:dyDescent="0.25">
      <c r="E654" s="40"/>
      <c r="G654" s="40"/>
      <c r="J654" s="40"/>
      <c r="M654" s="40"/>
      <c r="P654" s="40"/>
    </row>
    <row r="655" spans="5:16" ht="15.75" customHeight="1" x14ac:dyDescent="0.25">
      <c r="E655" s="40"/>
      <c r="G655" s="40"/>
      <c r="J655" s="40"/>
      <c r="M655" s="40"/>
      <c r="P655" s="40"/>
    </row>
    <row r="656" spans="5:16" ht="15.75" customHeight="1" x14ac:dyDescent="0.25">
      <c r="E656" s="40"/>
      <c r="G656" s="40"/>
      <c r="J656" s="40"/>
      <c r="M656" s="40"/>
      <c r="P656" s="40"/>
    </row>
    <row r="657" spans="5:16" ht="15.75" customHeight="1" x14ac:dyDescent="0.25">
      <c r="E657" s="40"/>
      <c r="G657" s="40"/>
      <c r="J657" s="40"/>
      <c r="M657" s="40"/>
      <c r="P657" s="40"/>
    </row>
    <row r="658" spans="5:16" ht="15.75" customHeight="1" x14ac:dyDescent="0.25">
      <c r="E658" s="40"/>
      <c r="G658" s="40"/>
      <c r="J658" s="40"/>
      <c r="M658" s="40"/>
      <c r="P658" s="40"/>
    </row>
    <row r="659" spans="5:16" ht="15.75" customHeight="1" x14ac:dyDescent="0.25">
      <c r="E659" s="40"/>
      <c r="G659" s="40"/>
      <c r="J659" s="40"/>
      <c r="M659" s="40"/>
      <c r="P659" s="40"/>
    </row>
    <row r="660" spans="5:16" ht="15.75" customHeight="1" x14ac:dyDescent="0.25">
      <c r="E660" s="40"/>
      <c r="G660" s="40"/>
      <c r="J660" s="40"/>
      <c r="M660" s="40"/>
      <c r="P660" s="40"/>
    </row>
    <row r="661" spans="5:16" ht="15.75" customHeight="1" x14ac:dyDescent="0.25">
      <c r="E661" s="40"/>
      <c r="G661" s="40"/>
      <c r="J661" s="40"/>
      <c r="M661" s="40"/>
      <c r="P661" s="40"/>
    </row>
    <row r="662" spans="5:16" ht="15.75" customHeight="1" x14ac:dyDescent="0.25">
      <c r="E662" s="40"/>
      <c r="G662" s="40"/>
      <c r="J662" s="40"/>
      <c r="M662" s="40"/>
      <c r="P662" s="40"/>
    </row>
    <row r="663" spans="5:16" ht="15.75" customHeight="1" x14ac:dyDescent="0.25">
      <c r="E663" s="40"/>
      <c r="G663" s="40"/>
      <c r="J663" s="40"/>
      <c r="M663" s="40"/>
      <c r="P663" s="40"/>
    </row>
    <row r="664" spans="5:16" ht="15.75" customHeight="1" x14ac:dyDescent="0.25">
      <c r="E664" s="40"/>
      <c r="G664" s="40"/>
      <c r="J664" s="40"/>
      <c r="M664" s="40"/>
      <c r="P664" s="40"/>
    </row>
    <row r="665" spans="5:16" ht="15.75" customHeight="1" x14ac:dyDescent="0.25">
      <c r="E665" s="40"/>
      <c r="G665" s="40"/>
      <c r="J665" s="40"/>
      <c r="M665" s="40"/>
      <c r="P665" s="40"/>
    </row>
    <row r="666" spans="5:16" ht="15.75" customHeight="1" x14ac:dyDescent="0.25">
      <c r="E666" s="40"/>
      <c r="G666" s="40"/>
      <c r="J666" s="40"/>
      <c r="M666" s="40"/>
      <c r="P666" s="40"/>
    </row>
    <row r="667" spans="5:16" ht="15.75" customHeight="1" x14ac:dyDescent="0.25">
      <c r="E667" s="40"/>
      <c r="G667" s="40"/>
      <c r="J667" s="40"/>
      <c r="M667" s="40"/>
      <c r="P667" s="40"/>
    </row>
    <row r="668" spans="5:16" ht="15.75" customHeight="1" x14ac:dyDescent="0.25">
      <c r="E668" s="40"/>
      <c r="G668" s="40"/>
      <c r="J668" s="40"/>
      <c r="M668" s="40"/>
      <c r="P668" s="40"/>
    </row>
    <row r="669" spans="5:16" ht="15.75" customHeight="1" x14ac:dyDescent="0.25">
      <c r="E669" s="40"/>
      <c r="G669" s="40"/>
      <c r="J669" s="40"/>
      <c r="M669" s="40"/>
      <c r="P669" s="40"/>
    </row>
    <row r="670" spans="5:16" ht="15.75" customHeight="1" x14ac:dyDescent="0.25">
      <c r="E670" s="40"/>
      <c r="G670" s="40"/>
      <c r="J670" s="40"/>
      <c r="M670" s="40"/>
      <c r="P670" s="40"/>
    </row>
    <row r="671" spans="5:16" ht="15.75" customHeight="1" x14ac:dyDescent="0.25">
      <c r="E671" s="40"/>
      <c r="G671" s="40"/>
      <c r="J671" s="40"/>
      <c r="M671" s="40"/>
      <c r="P671" s="40"/>
    </row>
    <row r="672" spans="5:16" ht="15.75" customHeight="1" x14ac:dyDescent="0.25">
      <c r="E672" s="40"/>
      <c r="G672" s="40"/>
      <c r="J672" s="40"/>
      <c r="M672" s="40"/>
      <c r="P672" s="40"/>
    </row>
    <row r="673" spans="5:16" ht="15.75" customHeight="1" x14ac:dyDescent="0.25">
      <c r="E673" s="40"/>
      <c r="G673" s="40"/>
      <c r="J673" s="40"/>
      <c r="M673" s="40"/>
      <c r="P673" s="40"/>
    </row>
    <row r="674" spans="5:16" ht="15.75" customHeight="1" x14ac:dyDescent="0.25">
      <c r="E674" s="40"/>
      <c r="G674" s="40"/>
      <c r="J674" s="40"/>
      <c r="M674" s="40"/>
      <c r="P674" s="40"/>
    </row>
    <row r="675" spans="5:16" ht="15.75" customHeight="1" x14ac:dyDescent="0.25">
      <c r="E675" s="40"/>
      <c r="G675" s="40"/>
      <c r="J675" s="40"/>
      <c r="M675" s="40"/>
      <c r="P675" s="40"/>
    </row>
    <row r="676" spans="5:16" ht="15.75" customHeight="1" x14ac:dyDescent="0.25">
      <c r="E676" s="40"/>
      <c r="G676" s="40"/>
      <c r="J676" s="40"/>
      <c r="M676" s="40"/>
      <c r="P676" s="40"/>
    </row>
    <row r="677" spans="5:16" ht="15.75" customHeight="1" x14ac:dyDescent="0.25">
      <c r="E677" s="40"/>
      <c r="G677" s="40"/>
      <c r="J677" s="40"/>
      <c r="M677" s="40"/>
      <c r="P677" s="40"/>
    </row>
    <row r="678" spans="5:16" ht="15.75" customHeight="1" x14ac:dyDescent="0.25">
      <c r="E678" s="40"/>
      <c r="G678" s="40"/>
      <c r="J678" s="40"/>
      <c r="M678" s="40"/>
      <c r="P678" s="40"/>
    </row>
    <row r="679" spans="5:16" ht="15.75" customHeight="1" x14ac:dyDescent="0.25">
      <c r="E679" s="40"/>
      <c r="G679" s="40"/>
      <c r="J679" s="40"/>
      <c r="M679" s="40"/>
      <c r="P679" s="40"/>
    </row>
    <row r="680" spans="5:16" ht="15.75" customHeight="1" x14ac:dyDescent="0.25">
      <c r="E680" s="40"/>
      <c r="G680" s="40"/>
      <c r="J680" s="40"/>
      <c r="M680" s="40"/>
      <c r="P680" s="40"/>
    </row>
    <row r="681" spans="5:16" ht="15.75" customHeight="1" x14ac:dyDescent="0.25">
      <c r="E681" s="40"/>
      <c r="G681" s="40"/>
      <c r="J681" s="40"/>
      <c r="M681" s="40"/>
      <c r="P681" s="40"/>
    </row>
    <row r="682" spans="5:16" ht="15.75" customHeight="1" x14ac:dyDescent="0.25">
      <c r="E682" s="40"/>
      <c r="G682" s="40"/>
      <c r="J682" s="40"/>
      <c r="M682" s="40"/>
      <c r="P682" s="40"/>
    </row>
    <row r="683" spans="5:16" ht="15.75" customHeight="1" x14ac:dyDescent="0.25">
      <c r="E683" s="40"/>
      <c r="G683" s="40"/>
      <c r="J683" s="40"/>
      <c r="M683" s="40"/>
      <c r="P683" s="40"/>
    </row>
    <row r="684" spans="5:16" ht="15.75" customHeight="1" x14ac:dyDescent="0.25">
      <c r="E684" s="40"/>
      <c r="G684" s="40"/>
      <c r="J684" s="40"/>
      <c r="M684" s="40"/>
      <c r="P684" s="40"/>
    </row>
    <row r="685" spans="5:16" ht="15.75" customHeight="1" x14ac:dyDescent="0.25">
      <c r="E685" s="40"/>
      <c r="G685" s="40"/>
      <c r="J685" s="40"/>
      <c r="M685" s="40"/>
      <c r="P685" s="40"/>
    </row>
    <row r="686" spans="5:16" ht="15.75" customHeight="1" x14ac:dyDescent="0.25">
      <c r="E686" s="40"/>
      <c r="G686" s="40"/>
      <c r="J686" s="40"/>
      <c r="M686" s="40"/>
      <c r="P686" s="40"/>
    </row>
    <row r="687" spans="5:16" ht="15.75" customHeight="1" x14ac:dyDescent="0.25">
      <c r="E687" s="40"/>
      <c r="G687" s="40"/>
      <c r="J687" s="40"/>
      <c r="M687" s="40"/>
      <c r="P687" s="40"/>
    </row>
    <row r="688" spans="5:16" ht="15.75" customHeight="1" x14ac:dyDescent="0.25">
      <c r="E688" s="40"/>
      <c r="G688" s="40"/>
      <c r="J688" s="40"/>
      <c r="M688" s="40"/>
      <c r="P688" s="40"/>
    </row>
    <row r="689" spans="5:16" ht="15.75" customHeight="1" x14ac:dyDescent="0.25">
      <c r="E689" s="40"/>
      <c r="G689" s="40"/>
      <c r="J689" s="40"/>
      <c r="M689" s="40"/>
      <c r="P689" s="40"/>
    </row>
    <row r="690" spans="5:16" ht="15.75" customHeight="1" x14ac:dyDescent="0.25">
      <c r="E690" s="40"/>
      <c r="G690" s="40"/>
      <c r="J690" s="40"/>
      <c r="M690" s="40"/>
      <c r="P690" s="40"/>
    </row>
    <row r="691" spans="5:16" ht="15.75" customHeight="1" x14ac:dyDescent="0.25">
      <c r="E691" s="40"/>
      <c r="G691" s="40"/>
      <c r="J691" s="40"/>
      <c r="M691" s="40"/>
      <c r="P691" s="40"/>
    </row>
    <row r="692" spans="5:16" ht="15.75" customHeight="1" x14ac:dyDescent="0.25">
      <c r="E692" s="40"/>
      <c r="G692" s="40"/>
      <c r="J692" s="40"/>
      <c r="M692" s="40"/>
      <c r="P692" s="40"/>
    </row>
    <row r="693" spans="5:16" ht="15.75" customHeight="1" x14ac:dyDescent="0.25">
      <c r="E693" s="40"/>
      <c r="G693" s="40"/>
      <c r="J693" s="40"/>
      <c r="M693" s="40"/>
      <c r="P693" s="40"/>
    </row>
    <row r="694" spans="5:16" ht="15.75" customHeight="1" x14ac:dyDescent="0.25">
      <c r="E694" s="40"/>
      <c r="G694" s="40"/>
      <c r="J694" s="40"/>
      <c r="M694" s="40"/>
      <c r="P694" s="40"/>
    </row>
    <row r="695" spans="5:16" ht="15.75" customHeight="1" x14ac:dyDescent="0.25">
      <c r="E695" s="40"/>
      <c r="G695" s="40"/>
      <c r="J695" s="40"/>
      <c r="M695" s="40"/>
      <c r="P695" s="40"/>
    </row>
    <row r="696" spans="5:16" ht="15.75" customHeight="1" x14ac:dyDescent="0.25">
      <c r="E696" s="40"/>
      <c r="G696" s="40"/>
      <c r="J696" s="40"/>
      <c r="M696" s="40"/>
      <c r="P696" s="40"/>
    </row>
    <row r="697" spans="5:16" ht="15.75" customHeight="1" x14ac:dyDescent="0.25">
      <c r="E697" s="40"/>
      <c r="G697" s="40"/>
      <c r="J697" s="40"/>
      <c r="M697" s="40"/>
      <c r="P697" s="40"/>
    </row>
    <row r="698" spans="5:16" ht="15.75" customHeight="1" x14ac:dyDescent="0.25">
      <c r="E698" s="40"/>
      <c r="G698" s="40"/>
      <c r="J698" s="40"/>
      <c r="M698" s="40"/>
      <c r="P698" s="40"/>
    </row>
    <row r="699" spans="5:16" ht="15.75" customHeight="1" x14ac:dyDescent="0.25">
      <c r="E699" s="40"/>
      <c r="G699" s="40"/>
      <c r="J699" s="40"/>
      <c r="M699" s="40"/>
      <c r="P699" s="40"/>
    </row>
    <row r="700" spans="5:16" ht="15.75" customHeight="1" x14ac:dyDescent="0.25">
      <c r="E700" s="40"/>
      <c r="G700" s="40"/>
      <c r="J700" s="40"/>
      <c r="M700" s="40"/>
      <c r="P700" s="40"/>
    </row>
    <row r="701" spans="5:16" ht="15.75" customHeight="1" x14ac:dyDescent="0.25">
      <c r="E701" s="40"/>
      <c r="G701" s="40"/>
      <c r="J701" s="40"/>
      <c r="M701" s="40"/>
      <c r="P701" s="40"/>
    </row>
    <row r="702" spans="5:16" ht="15.75" customHeight="1" x14ac:dyDescent="0.25">
      <c r="E702" s="40"/>
      <c r="G702" s="40"/>
      <c r="J702" s="40"/>
      <c r="M702" s="40"/>
      <c r="P702" s="40"/>
    </row>
    <row r="703" spans="5:16" ht="15.75" customHeight="1" x14ac:dyDescent="0.25">
      <c r="E703" s="40"/>
      <c r="G703" s="40"/>
      <c r="J703" s="40"/>
      <c r="M703" s="40"/>
      <c r="P703" s="40"/>
    </row>
    <row r="704" spans="5:16" ht="15.75" customHeight="1" x14ac:dyDescent="0.25">
      <c r="E704" s="40"/>
      <c r="G704" s="40"/>
      <c r="J704" s="40"/>
      <c r="M704" s="40"/>
      <c r="P704" s="40"/>
    </row>
    <row r="705" spans="5:16" ht="15.75" customHeight="1" x14ac:dyDescent="0.25">
      <c r="E705" s="40"/>
      <c r="G705" s="40"/>
      <c r="J705" s="40"/>
      <c r="M705" s="40"/>
      <c r="P705" s="40"/>
    </row>
    <row r="706" spans="5:16" ht="15.75" customHeight="1" x14ac:dyDescent="0.25">
      <c r="E706" s="40"/>
      <c r="G706" s="40"/>
      <c r="J706" s="40"/>
      <c r="M706" s="40"/>
      <c r="P706" s="40"/>
    </row>
    <row r="707" spans="5:16" ht="15.75" customHeight="1" x14ac:dyDescent="0.25">
      <c r="E707" s="40"/>
      <c r="G707" s="40"/>
      <c r="J707" s="40"/>
      <c r="M707" s="40"/>
      <c r="P707" s="40"/>
    </row>
    <row r="708" spans="5:16" ht="15.75" customHeight="1" x14ac:dyDescent="0.25">
      <c r="E708" s="40"/>
      <c r="G708" s="40"/>
      <c r="J708" s="40"/>
      <c r="M708" s="40"/>
      <c r="P708" s="40"/>
    </row>
    <row r="709" spans="5:16" ht="15.75" customHeight="1" x14ac:dyDescent="0.25">
      <c r="E709" s="40"/>
      <c r="G709" s="40"/>
      <c r="J709" s="40"/>
      <c r="M709" s="40"/>
      <c r="P709" s="40"/>
    </row>
    <row r="710" spans="5:16" ht="15.75" customHeight="1" x14ac:dyDescent="0.25">
      <c r="E710" s="40"/>
      <c r="G710" s="40"/>
      <c r="J710" s="40"/>
      <c r="M710" s="40"/>
      <c r="P710" s="40"/>
    </row>
    <row r="711" spans="5:16" ht="15.75" customHeight="1" x14ac:dyDescent="0.25">
      <c r="E711" s="40"/>
      <c r="G711" s="40"/>
      <c r="J711" s="40"/>
      <c r="M711" s="40"/>
      <c r="P711" s="40"/>
    </row>
    <row r="712" spans="5:16" ht="15.75" customHeight="1" x14ac:dyDescent="0.25">
      <c r="E712" s="40"/>
      <c r="G712" s="40"/>
      <c r="J712" s="40"/>
      <c r="M712" s="40"/>
      <c r="P712" s="40"/>
    </row>
    <row r="713" spans="5:16" ht="15.75" customHeight="1" x14ac:dyDescent="0.25">
      <c r="E713" s="40"/>
      <c r="G713" s="40"/>
      <c r="J713" s="40"/>
      <c r="M713" s="40"/>
      <c r="P713" s="40"/>
    </row>
    <row r="714" spans="5:16" ht="15.75" customHeight="1" x14ac:dyDescent="0.25">
      <c r="E714" s="40"/>
      <c r="G714" s="40"/>
      <c r="J714" s="40"/>
      <c r="M714" s="40"/>
      <c r="P714" s="40"/>
    </row>
    <row r="715" spans="5:16" ht="15.75" customHeight="1" x14ac:dyDescent="0.25">
      <c r="E715" s="40"/>
      <c r="G715" s="40"/>
      <c r="J715" s="40"/>
      <c r="M715" s="40"/>
      <c r="P715" s="40"/>
    </row>
    <row r="716" spans="5:16" ht="15.75" customHeight="1" x14ac:dyDescent="0.25">
      <c r="E716" s="40"/>
      <c r="G716" s="40"/>
      <c r="J716" s="40"/>
      <c r="M716" s="40"/>
      <c r="P716" s="40"/>
    </row>
    <row r="717" spans="5:16" ht="15.75" customHeight="1" x14ac:dyDescent="0.25">
      <c r="E717" s="40"/>
      <c r="G717" s="40"/>
      <c r="J717" s="40"/>
      <c r="M717" s="40"/>
      <c r="P717" s="40"/>
    </row>
    <row r="718" spans="5:16" ht="15.75" customHeight="1" x14ac:dyDescent="0.25">
      <c r="E718" s="40"/>
      <c r="G718" s="40"/>
      <c r="J718" s="40"/>
      <c r="M718" s="40"/>
      <c r="P718" s="40"/>
    </row>
    <row r="719" spans="5:16" ht="15.75" customHeight="1" x14ac:dyDescent="0.25">
      <c r="E719" s="40"/>
      <c r="G719" s="40"/>
      <c r="J719" s="40"/>
      <c r="M719" s="40"/>
      <c r="P719" s="40"/>
    </row>
    <row r="720" spans="5:16" ht="15.75" customHeight="1" x14ac:dyDescent="0.25">
      <c r="E720" s="40"/>
      <c r="G720" s="40"/>
      <c r="J720" s="40"/>
      <c r="M720" s="40"/>
      <c r="P720" s="40"/>
    </row>
    <row r="721" spans="5:16" ht="15.75" customHeight="1" x14ac:dyDescent="0.25">
      <c r="E721" s="40"/>
      <c r="G721" s="40"/>
      <c r="J721" s="40"/>
      <c r="M721" s="40"/>
      <c r="P721" s="40"/>
    </row>
    <row r="722" spans="5:16" ht="15.75" customHeight="1" x14ac:dyDescent="0.25">
      <c r="E722" s="40"/>
      <c r="G722" s="40"/>
      <c r="J722" s="40"/>
      <c r="M722" s="40"/>
      <c r="P722" s="40"/>
    </row>
    <row r="723" spans="5:16" ht="15.75" customHeight="1" x14ac:dyDescent="0.25">
      <c r="E723" s="40"/>
      <c r="G723" s="40"/>
      <c r="J723" s="40"/>
      <c r="M723" s="40"/>
      <c r="P723" s="40"/>
    </row>
    <row r="724" spans="5:16" ht="15.75" customHeight="1" x14ac:dyDescent="0.25">
      <c r="E724" s="40"/>
      <c r="G724" s="40"/>
      <c r="J724" s="40"/>
      <c r="M724" s="40"/>
      <c r="P724" s="40"/>
    </row>
    <row r="725" spans="5:16" ht="15.75" customHeight="1" x14ac:dyDescent="0.25">
      <c r="E725" s="40"/>
      <c r="G725" s="40"/>
      <c r="J725" s="40"/>
      <c r="M725" s="40"/>
      <c r="P725" s="40"/>
    </row>
    <row r="726" spans="5:16" ht="15.75" customHeight="1" x14ac:dyDescent="0.25">
      <c r="E726" s="40"/>
      <c r="G726" s="40"/>
      <c r="J726" s="40"/>
      <c r="M726" s="40"/>
      <c r="P726" s="40"/>
    </row>
    <row r="727" spans="5:16" ht="15.75" customHeight="1" x14ac:dyDescent="0.25">
      <c r="E727" s="40"/>
      <c r="G727" s="40"/>
      <c r="J727" s="40"/>
      <c r="M727" s="40"/>
      <c r="P727" s="40"/>
    </row>
    <row r="728" spans="5:16" ht="15.75" customHeight="1" x14ac:dyDescent="0.25">
      <c r="E728" s="40"/>
      <c r="G728" s="40"/>
      <c r="J728" s="40"/>
      <c r="M728" s="40"/>
      <c r="P728" s="40"/>
    </row>
    <row r="729" spans="5:16" ht="15.75" customHeight="1" x14ac:dyDescent="0.25">
      <c r="E729" s="40"/>
      <c r="G729" s="40"/>
      <c r="J729" s="40"/>
      <c r="M729" s="40"/>
      <c r="P729" s="40"/>
    </row>
    <row r="730" spans="5:16" ht="15.75" customHeight="1" x14ac:dyDescent="0.25">
      <c r="E730" s="40"/>
      <c r="G730" s="40"/>
      <c r="J730" s="40"/>
      <c r="M730" s="40"/>
      <c r="P730" s="40"/>
    </row>
    <row r="731" spans="5:16" ht="15.75" customHeight="1" x14ac:dyDescent="0.25">
      <c r="E731" s="40"/>
      <c r="G731" s="40"/>
      <c r="J731" s="40"/>
      <c r="M731" s="40"/>
      <c r="P731" s="40"/>
    </row>
    <row r="732" spans="5:16" ht="15.75" customHeight="1" x14ac:dyDescent="0.25">
      <c r="E732" s="40"/>
      <c r="G732" s="40"/>
      <c r="J732" s="40"/>
      <c r="M732" s="40"/>
      <c r="P732" s="40"/>
    </row>
    <row r="733" spans="5:16" ht="15.75" customHeight="1" x14ac:dyDescent="0.25">
      <c r="E733" s="40"/>
      <c r="G733" s="40"/>
      <c r="J733" s="40"/>
      <c r="M733" s="40"/>
      <c r="P733" s="40"/>
    </row>
    <row r="734" spans="5:16" ht="15.75" customHeight="1" x14ac:dyDescent="0.25">
      <c r="E734" s="40"/>
      <c r="G734" s="40"/>
      <c r="J734" s="40"/>
      <c r="M734" s="40"/>
      <c r="P734" s="40"/>
    </row>
    <row r="735" spans="5:16" ht="15.75" customHeight="1" x14ac:dyDescent="0.25">
      <c r="E735" s="40"/>
      <c r="G735" s="40"/>
      <c r="J735" s="40"/>
      <c r="M735" s="40"/>
      <c r="P735" s="40"/>
    </row>
    <row r="736" spans="5:16" ht="15.75" customHeight="1" x14ac:dyDescent="0.25">
      <c r="E736" s="40"/>
      <c r="G736" s="40"/>
      <c r="J736" s="40"/>
      <c r="M736" s="40"/>
      <c r="P736" s="40"/>
    </row>
    <row r="737" spans="5:16" ht="15.75" customHeight="1" x14ac:dyDescent="0.25">
      <c r="E737" s="40"/>
      <c r="G737" s="40"/>
      <c r="J737" s="40"/>
      <c r="M737" s="40"/>
      <c r="P737" s="40"/>
    </row>
    <row r="738" spans="5:16" ht="15.75" customHeight="1" x14ac:dyDescent="0.25">
      <c r="E738" s="40"/>
      <c r="G738" s="40"/>
      <c r="J738" s="40"/>
      <c r="M738" s="40"/>
      <c r="P738" s="40"/>
    </row>
    <row r="739" spans="5:16" ht="15.75" customHeight="1" x14ac:dyDescent="0.25">
      <c r="E739" s="40"/>
      <c r="G739" s="40"/>
      <c r="J739" s="40"/>
      <c r="M739" s="40"/>
      <c r="P739" s="40"/>
    </row>
    <row r="740" spans="5:16" ht="15.75" customHeight="1" x14ac:dyDescent="0.25">
      <c r="E740" s="40"/>
      <c r="G740" s="40"/>
      <c r="J740" s="40"/>
      <c r="M740" s="40"/>
      <c r="P740" s="40"/>
    </row>
    <row r="741" spans="5:16" ht="15.75" customHeight="1" x14ac:dyDescent="0.25">
      <c r="E741" s="40"/>
      <c r="G741" s="40"/>
      <c r="J741" s="40"/>
      <c r="M741" s="40"/>
      <c r="P741" s="40"/>
    </row>
    <row r="742" spans="5:16" ht="15.75" customHeight="1" x14ac:dyDescent="0.25">
      <c r="E742" s="40"/>
      <c r="G742" s="40"/>
      <c r="J742" s="40"/>
      <c r="M742" s="40"/>
      <c r="P742" s="40"/>
    </row>
    <row r="743" spans="5:16" ht="15.75" customHeight="1" x14ac:dyDescent="0.25">
      <c r="E743" s="40"/>
      <c r="G743" s="40"/>
      <c r="J743" s="40"/>
      <c r="M743" s="40"/>
      <c r="P743" s="40"/>
    </row>
    <row r="744" spans="5:16" ht="15.75" customHeight="1" x14ac:dyDescent="0.25">
      <c r="E744" s="40"/>
      <c r="G744" s="40"/>
      <c r="J744" s="40"/>
      <c r="M744" s="40"/>
      <c r="P744" s="40"/>
    </row>
    <row r="745" spans="5:16" ht="15.75" customHeight="1" x14ac:dyDescent="0.25">
      <c r="E745" s="40"/>
      <c r="G745" s="40"/>
      <c r="J745" s="40"/>
      <c r="M745" s="40"/>
      <c r="P745" s="40"/>
    </row>
    <row r="746" spans="5:16" ht="15.75" customHeight="1" x14ac:dyDescent="0.25">
      <c r="E746" s="40"/>
      <c r="G746" s="40"/>
      <c r="J746" s="40"/>
      <c r="M746" s="40"/>
      <c r="P746" s="40"/>
    </row>
    <row r="747" spans="5:16" ht="15.75" customHeight="1" x14ac:dyDescent="0.25">
      <c r="E747" s="40"/>
      <c r="G747" s="40"/>
      <c r="J747" s="40"/>
      <c r="M747" s="40"/>
      <c r="P747" s="40"/>
    </row>
    <row r="748" spans="5:16" ht="15.75" customHeight="1" x14ac:dyDescent="0.25">
      <c r="E748" s="40"/>
      <c r="G748" s="40"/>
      <c r="J748" s="40"/>
      <c r="M748" s="40"/>
      <c r="P748" s="40"/>
    </row>
    <row r="749" spans="5:16" ht="15.75" customHeight="1" x14ac:dyDescent="0.25">
      <c r="E749" s="40"/>
      <c r="G749" s="40"/>
      <c r="J749" s="40"/>
      <c r="M749" s="40"/>
      <c r="P749" s="40"/>
    </row>
    <row r="750" spans="5:16" ht="15.75" customHeight="1" x14ac:dyDescent="0.25">
      <c r="E750" s="40"/>
      <c r="G750" s="40"/>
      <c r="J750" s="40"/>
      <c r="M750" s="40"/>
      <c r="P750" s="40"/>
    </row>
    <row r="751" spans="5:16" ht="15.75" customHeight="1" x14ac:dyDescent="0.25">
      <c r="E751" s="40"/>
      <c r="G751" s="40"/>
      <c r="J751" s="40"/>
      <c r="M751" s="40"/>
      <c r="P751" s="40"/>
    </row>
    <row r="752" spans="5:16" ht="15.75" customHeight="1" x14ac:dyDescent="0.25">
      <c r="E752" s="40"/>
      <c r="G752" s="40"/>
      <c r="J752" s="40"/>
      <c r="M752" s="40"/>
      <c r="P752" s="40"/>
    </row>
    <row r="753" spans="5:16" ht="15.75" customHeight="1" x14ac:dyDescent="0.25">
      <c r="E753" s="40"/>
      <c r="G753" s="40"/>
      <c r="J753" s="40"/>
      <c r="M753" s="40"/>
      <c r="P753" s="40"/>
    </row>
    <row r="754" spans="5:16" ht="15.75" customHeight="1" x14ac:dyDescent="0.25">
      <c r="E754" s="40"/>
      <c r="G754" s="40"/>
      <c r="J754" s="40"/>
      <c r="M754" s="40"/>
      <c r="P754" s="40"/>
    </row>
    <row r="755" spans="5:16" ht="15.75" customHeight="1" x14ac:dyDescent="0.25">
      <c r="E755" s="40"/>
      <c r="G755" s="40"/>
      <c r="J755" s="40"/>
      <c r="M755" s="40"/>
      <c r="P755" s="40"/>
    </row>
    <row r="756" spans="5:16" ht="15.75" customHeight="1" x14ac:dyDescent="0.25">
      <c r="E756" s="40"/>
      <c r="G756" s="40"/>
      <c r="J756" s="40"/>
      <c r="M756" s="40"/>
      <c r="P756" s="40"/>
    </row>
    <row r="757" spans="5:16" ht="15.75" customHeight="1" x14ac:dyDescent="0.25">
      <c r="E757" s="40"/>
      <c r="G757" s="40"/>
      <c r="J757" s="40"/>
      <c r="M757" s="40"/>
      <c r="P757" s="40"/>
    </row>
    <row r="758" spans="5:16" ht="15.75" customHeight="1" x14ac:dyDescent="0.25">
      <c r="E758" s="40"/>
      <c r="G758" s="40"/>
      <c r="J758" s="40"/>
      <c r="M758" s="40"/>
      <c r="P758" s="40"/>
    </row>
    <row r="759" spans="5:16" ht="15.75" customHeight="1" x14ac:dyDescent="0.25">
      <c r="E759" s="40"/>
      <c r="G759" s="40"/>
      <c r="J759" s="40"/>
      <c r="M759" s="40"/>
      <c r="P759" s="40"/>
    </row>
    <row r="760" spans="5:16" ht="15.75" customHeight="1" x14ac:dyDescent="0.25">
      <c r="E760" s="40"/>
      <c r="G760" s="40"/>
      <c r="J760" s="40"/>
      <c r="M760" s="40"/>
      <c r="P760" s="40"/>
    </row>
    <row r="761" spans="5:16" ht="15.75" customHeight="1" x14ac:dyDescent="0.25">
      <c r="E761" s="40"/>
      <c r="G761" s="40"/>
      <c r="J761" s="40"/>
      <c r="M761" s="40"/>
      <c r="P761" s="40"/>
    </row>
    <row r="762" spans="5:16" ht="15.75" customHeight="1" x14ac:dyDescent="0.25">
      <c r="E762" s="40"/>
      <c r="G762" s="40"/>
      <c r="J762" s="40"/>
      <c r="M762" s="40"/>
      <c r="P762" s="40"/>
    </row>
    <row r="763" spans="5:16" ht="15.75" customHeight="1" x14ac:dyDescent="0.25">
      <c r="E763" s="40"/>
      <c r="G763" s="40"/>
      <c r="J763" s="40"/>
      <c r="M763" s="40"/>
      <c r="P763" s="40"/>
    </row>
    <row r="764" spans="5:16" ht="15.75" customHeight="1" x14ac:dyDescent="0.25">
      <c r="E764" s="40"/>
      <c r="G764" s="40"/>
      <c r="J764" s="40"/>
      <c r="M764" s="40"/>
      <c r="P764" s="40"/>
    </row>
    <row r="765" spans="5:16" ht="15.75" customHeight="1" x14ac:dyDescent="0.25">
      <c r="E765" s="40"/>
      <c r="G765" s="40"/>
      <c r="J765" s="40"/>
      <c r="M765" s="40"/>
      <c r="P765" s="40"/>
    </row>
    <row r="766" spans="5:16" ht="15.75" customHeight="1" x14ac:dyDescent="0.25">
      <c r="E766" s="40"/>
      <c r="G766" s="40"/>
      <c r="J766" s="40"/>
      <c r="M766" s="40"/>
      <c r="P766" s="40"/>
    </row>
    <row r="767" spans="5:16" ht="15.75" customHeight="1" x14ac:dyDescent="0.25">
      <c r="E767" s="40"/>
      <c r="G767" s="40"/>
      <c r="J767" s="40"/>
      <c r="M767" s="40"/>
      <c r="P767" s="40"/>
    </row>
    <row r="768" spans="5:16" ht="15.75" customHeight="1" x14ac:dyDescent="0.25">
      <c r="E768" s="40"/>
      <c r="G768" s="40"/>
      <c r="J768" s="40"/>
      <c r="M768" s="40"/>
      <c r="P768" s="40"/>
    </row>
    <row r="769" spans="5:16" ht="15.75" customHeight="1" x14ac:dyDescent="0.25">
      <c r="E769" s="40"/>
      <c r="G769" s="40"/>
      <c r="J769" s="40"/>
      <c r="M769" s="40"/>
      <c r="P769" s="40"/>
    </row>
    <row r="770" spans="5:16" ht="15.75" customHeight="1" x14ac:dyDescent="0.25">
      <c r="E770" s="40"/>
      <c r="G770" s="40"/>
      <c r="J770" s="40"/>
      <c r="M770" s="40"/>
      <c r="P770" s="40"/>
    </row>
    <row r="771" spans="5:16" ht="15.75" customHeight="1" x14ac:dyDescent="0.25">
      <c r="E771" s="40"/>
      <c r="G771" s="40"/>
      <c r="J771" s="40"/>
      <c r="M771" s="40"/>
      <c r="P771" s="40"/>
    </row>
    <row r="772" spans="5:16" ht="15.75" customHeight="1" x14ac:dyDescent="0.25">
      <c r="E772" s="40"/>
      <c r="G772" s="40"/>
      <c r="J772" s="40"/>
      <c r="M772" s="40"/>
      <c r="P772" s="40"/>
    </row>
    <row r="773" spans="5:16" ht="15.75" customHeight="1" x14ac:dyDescent="0.25">
      <c r="E773" s="40"/>
      <c r="G773" s="40"/>
      <c r="J773" s="40"/>
      <c r="M773" s="40"/>
      <c r="P773" s="40"/>
    </row>
    <row r="774" spans="5:16" ht="15.75" customHeight="1" x14ac:dyDescent="0.25">
      <c r="E774" s="40"/>
      <c r="G774" s="40"/>
      <c r="J774" s="40"/>
      <c r="M774" s="40"/>
      <c r="P774" s="40"/>
    </row>
    <row r="775" spans="5:16" ht="15.75" customHeight="1" x14ac:dyDescent="0.25">
      <c r="E775" s="40"/>
      <c r="G775" s="40"/>
      <c r="J775" s="40"/>
      <c r="M775" s="40"/>
      <c r="P775" s="40"/>
    </row>
    <row r="776" spans="5:16" ht="15.75" customHeight="1" x14ac:dyDescent="0.25">
      <c r="E776" s="40"/>
      <c r="G776" s="40"/>
      <c r="J776" s="40"/>
      <c r="M776" s="40"/>
      <c r="P776" s="40"/>
    </row>
    <row r="777" spans="5:16" ht="15.75" customHeight="1" x14ac:dyDescent="0.25">
      <c r="E777" s="40"/>
      <c r="G777" s="40"/>
      <c r="J777" s="40"/>
      <c r="M777" s="40"/>
      <c r="P777" s="40"/>
    </row>
    <row r="778" spans="5:16" ht="15.75" customHeight="1" x14ac:dyDescent="0.25">
      <c r="E778" s="40"/>
      <c r="G778" s="40"/>
      <c r="J778" s="40"/>
      <c r="M778" s="40"/>
      <c r="P778" s="40"/>
    </row>
    <row r="779" spans="5:16" ht="15.75" customHeight="1" x14ac:dyDescent="0.25">
      <c r="E779" s="40"/>
      <c r="G779" s="40"/>
      <c r="J779" s="40"/>
      <c r="M779" s="40"/>
      <c r="P779" s="40"/>
    </row>
    <row r="780" spans="5:16" ht="15.75" customHeight="1" x14ac:dyDescent="0.25">
      <c r="E780" s="40"/>
      <c r="G780" s="40"/>
      <c r="J780" s="40"/>
      <c r="M780" s="40"/>
      <c r="P780" s="40"/>
    </row>
    <row r="781" spans="5:16" ht="15.75" customHeight="1" x14ac:dyDescent="0.25">
      <c r="E781" s="40"/>
      <c r="G781" s="40"/>
      <c r="J781" s="40"/>
      <c r="M781" s="40"/>
      <c r="P781" s="40"/>
    </row>
    <row r="782" spans="5:16" ht="15.75" customHeight="1" x14ac:dyDescent="0.25">
      <c r="E782" s="40"/>
      <c r="G782" s="40"/>
      <c r="J782" s="40"/>
      <c r="M782" s="40"/>
      <c r="P782" s="40"/>
    </row>
    <row r="783" spans="5:16" ht="15.75" customHeight="1" x14ac:dyDescent="0.25">
      <c r="E783" s="40"/>
      <c r="G783" s="40"/>
      <c r="J783" s="40"/>
      <c r="M783" s="40"/>
      <c r="P783" s="40"/>
    </row>
    <row r="784" spans="5:16" ht="15.75" customHeight="1" x14ac:dyDescent="0.25">
      <c r="E784" s="40"/>
      <c r="G784" s="40"/>
      <c r="J784" s="40"/>
      <c r="M784" s="40"/>
      <c r="P784" s="40"/>
    </row>
    <row r="785" spans="5:16" ht="15.75" customHeight="1" x14ac:dyDescent="0.25">
      <c r="E785" s="40"/>
      <c r="G785" s="40"/>
      <c r="J785" s="40"/>
      <c r="M785" s="40"/>
      <c r="P785" s="40"/>
    </row>
    <row r="786" spans="5:16" ht="15.75" customHeight="1" x14ac:dyDescent="0.25">
      <c r="E786" s="40"/>
      <c r="G786" s="40"/>
      <c r="J786" s="40"/>
      <c r="M786" s="40"/>
      <c r="P786" s="40"/>
    </row>
    <row r="787" spans="5:16" ht="15.75" customHeight="1" x14ac:dyDescent="0.25">
      <c r="E787" s="40"/>
      <c r="G787" s="40"/>
      <c r="J787" s="40"/>
      <c r="M787" s="40"/>
      <c r="P787" s="40"/>
    </row>
    <row r="788" spans="5:16" ht="15.75" customHeight="1" x14ac:dyDescent="0.25">
      <c r="E788" s="40"/>
      <c r="G788" s="40"/>
      <c r="J788" s="40"/>
      <c r="M788" s="40"/>
      <c r="P788" s="40"/>
    </row>
    <row r="789" spans="5:16" ht="15.75" customHeight="1" x14ac:dyDescent="0.25">
      <c r="E789" s="40"/>
      <c r="G789" s="40"/>
      <c r="J789" s="40"/>
      <c r="M789" s="40"/>
      <c r="P789" s="40"/>
    </row>
    <row r="790" spans="5:16" ht="15.75" customHeight="1" x14ac:dyDescent="0.25">
      <c r="E790" s="40"/>
      <c r="G790" s="40"/>
      <c r="J790" s="40"/>
      <c r="M790" s="40"/>
      <c r="P790" s="40"/>
    </row>
    <row r="791" spans="5:16" ht="15.75" customHeight="1" x14ac:dyDescent="0.25">
      <c r="E791" s="40"/>
      <c r="G791" s="40"/>
      <c r="J791" s="40"/>
      <c r="M791" s="40"/>
      <c r="P791" s="40"/>
    </row>
    <row r="792" spans="5:16" ht="15.75" customHeight="1" x14ac:dyDescent="0.25">
      <c r="E792" s="40"/>
      <c r="G792" s="40"/>
      <c r="J792" s="40"/>
      <c r="M792" s="40"/>
      <c r="P792" s="40"/>
    </row>
    <row r="793" spans="5:16" ht="15.75" customHeight="1" x14ac:dyDescent="0.25">
      <c r="E793" s="40"/>
      <c r="G793" s="40"/>
      <c r="J793" s="40"/>
      <c r="M793" s="40"/>
      <c r="P793" s="40"/>
    </row>
    <row r="794" spans="5:16" ht="15.75" customHeight="1" x14ac:dyDescent="0.25">
      <c r="E794" s="40"/>
      <c r="G794" s="40"/>
      <c r="J794" s="40"/>
      <c r="M794" s="40"/>
      <c r="P794" s="40"/>
    </row>
    <row r="795" spans="5:16" ht="15.75" customHeight="1" x14ac:dyDescent="0.25">
      <c r="E795" s="40"/>
      <c r="G795" s="40"/>
      <c r="J795" s="40"/>
      <c r="M795" s="40"/>
      <c r="P795" s="40"/>
    </row>
    <row r="796" spans="5:16" ht="15.75" customHeight="1" x14ac:dyDescent="0.25">
      <c r="E796" s="40"/>
      <c r="G796" s="40"/>
      <c r="J796" s="40"/>
      <c r="M796" s="40"/>
      <c r="P796" s="40"/>
    </row>
    <row r="797" spans="5:16" ht="15.75" customHeight="1" x14ac:dyDescent="0.25">
      <c r="E797" s="40"/>
      <c r="G797" s="40"/>
      <c r="J797" s="40"/>
      <c r="M797" s="40"/>
      <c r="P797" s="40"/>
    </row>
    <row r="798" spans="5:16" ht="15.75" customHeight="1" x14ac:dyDescent="0.25">
      <c r="E798" s="40"/>
      <c r="G798" s="40"/>
      <c r="J798" s="40"/>
      <c r="M798" s="40"/>
      <c r="P798" s="40"/>
    </row>
    <row r="799" spans="5:16" ht="15.75" customHeight="1" x14ac:dyDescent="0.25">
      <c r="E799" s="40"/>
      <c r="G799" s="40"/>
      <c r="J799" s="40"/>
      <c r="M799" s="40"/>
      <c r="P799" s="40"/>
    </row>
    <row r="800" spans="5:16" ht="15.75" customHeight="1" x14ac:dyDescent="0.25">
      <c r="E800" s="40"/>
      <c r="G800" s="40"/>
      <c r="J800" s="40"/>
      <c r="M800" s="40"/>
      <c r="P800" s="40"/>
    </row>
    <row r="801" spans="5:16" ht="15.75" customHeight="1" x14ac:dyDescent="0.25">
      <c r="E801" s="40"/>
      <c r="G801" s="40"/>
      <c r="J801" s="40"/>
      <c r="M801" s="40"/>
      <c r="P801" s="40"/>
    </row>
    <row r="802" spans="5:16" ht="15.75" customHeight="1" x14ac:dyDescent="0.25">
      <c r="E802" s="40"/>
      <c r="G802" s="40"/>
      <c r="J802" s="40"/>
      <c r="M802" s="40"/>
      <c r="P802" s="40"/>
    </row>
    <row r="803" spans="5:16" ht="15.75" customHeight="1" x14ac:dyDescent="0.25">
      <c r="E803" s="40"/>
      <c r="G803" s="40"/>
      <c r="J803" s="40"/>
      <c r="M803" s="40"/>
      <c r="P803" s="40"/>
    </row>
    <row r="804" spans="5:16" ht="15.75" customHeight="1" x14ac:dyDescent="0.25">
      <c r="E804" s="40"/>
      <c r="G804" s="40"/>
      <c r="J804" s="40"/>
      <c r="M804" s="40"/>
      <c r="P804" s="40"/>
    </row>
    <row r="805" spans="5:16" ht="15.75" customHeight="1" x14ac:dyDescent="0.25">
      <c r="E805" s="40"/>
      <c r="G805" s="40"/>
      <c r="J805" s="40"/>
      <c r="M805" s="40"/>
      <c r="P805" s="40"/>
    </row>
    <row r="806" spans="5:16" ht="15.75" customHeight="1" x14ac:dyDescent="0.25">
      <c r="E806" s="40"/>
      <c r="G806" s="40"/>
      <c r="J806" s="40"/>
      <c r="M806" s="40"/>
      <c r="P806" s="40"/>
    </row>
    <row r="807" spans="5:16" ht="15.75" customHeight="1" x14ac:dyDescent="0.25">
      <c r="E807" s="40"/>
      <c r="G807" s="40"/>
      <c r="J807" s="40"/>
      <c r="M807" s="40"/>
      <c r="P807" s="40"/>
    </row>
    <row r="808" spans="5:16" ht="15.75" customHeight="1" x14ac:dyDescent="0.25">
      <c r="E808" s="40"/>
      <c r="G808" s="40"/>
      <c r="J808" s="40"/>
      <c r="M808" s="40"/>
      <c r="P808" s="40"/>
    </row>
    <row r="809" spans="5:16" ht="15.75" customHeight="1" x14ac:dyDescent="0.25">
      <c r="E809" s="40"/>
      <c r="G809" s="40"/>
      <c r="J809" s="40"/>
      <c r="M809" s="40"/>
      <c r="P809" s="40"/>
    </row>
    <row r="810" spans="5:16" ht="15.75" customHeight="1" x14ac:dyDescent="0.25">
      <c r="E810" s="40"/>
      <c r="G810" s="40"/>
      <c r="J810" s="40"/>
      <c r="M810" s="40"/>
      <c r="P810" s="40"/>
    </row>
    <row r="811" spans="5:16" ht="15.75" customHeight="1" x14ac:dyDescent="0.25">
      <c r="E811" s="40"/>
      <c r="G811" s="40"/>
      <c r="J811" s="40"/>
      <c r="M811" s="40"/>
      <c r="P811" s="40"/>
    </row>
    <row r="812" spans="5:16" ht="15.75" customHeight="1" x14ac:dyDescent="0.25">
      <c r="E812" s="40"/>
      <c r="G812" s="40"/>
      <c r="J812" s="40"/>
      <c r="M812" s="40"/>
      <c r="P812" s="40"/>
    </row>
    <row r="813" spans="5:16" ht="15.75" customHeight="1" x14ac:dyDescent="0.25">
      <c r="E813" s="40"/>
      <c r="G813" s="40"/>
      <c r="J813" s="40"/>
      <c r="M813" s="40"/>
      <c r="P813" s="40"/>
    </row>
    <row r="814" spans="5:16" ht="15.75" customHeight="1" x14ac:dyDescent="0.25">
      <c r="E814" s="40"/>
      <c r="G814" s="40"/>
      <c r="J814" s="40"/>
      <c r="M814" s="40"/>
      <c r="P814" s="40"/>
    </row>
    <row r="815" spans="5:16" ht="15.75" customHeight="1" x14ac:dyDescent="0.25">
      <c r="E815" s="40"/>
      <c r="G815" s="40"/>
      <c r="J815" s="40"/>
      <c r="M815" s="40"/>
      <c r="P815" s="40"/>
    </row>
    <row r="816" spans="5:16" ht="15.75" customHeight="1" x14ac:dyDescent="0.25">
      <c r="E816" s="40"/>
      <c r="G816" s="40"/>
      <c r="J816" s="40"/>
      <c r="M816" s="40"/>
      <c r="P816" s="40"/>
    </row>
    <row r="817" spans="5:16" ht="15.75" customHeight="1" x14ac:dyDescent="0.25">
      <c r="E817" s="40"/>
      <c r="G817" s="40"/>
      <c r="J817" s="40"/>
      <c r="M817" s="40"/>
      <c r="P817" s="40"/>
    </row>
    <row r="818" spans="5:16" ht="15.75" customHeight="1" x14ac:dyDescent="0.25">
      <c r="E818" s="40"/>
      <c r="G818" s="40"/>
      <c r="J818" s="40"/>
      <c r="M818" s="40"/>
      <c r="P818" s="40"/>
    </row>
    <row r="819" spans="5:16" ht="15.75" customHeight="1" x14ac:dyDescent="0.25">
      <c r="E819" s="40"/>
      <c r="G819" s="40"/>
      <c r="J819" s="40"/>
      <c r="M819" s="40"/>
      <c r="P819" s="40"/>
    </row>
    <row r="820" spans="5:16" ht="15.75" customHeight="1" x14ac:dyDescent="0.25">
      <c r="E820" s="40"/>
      <c r="G820" s="40"/>
      <c r="J820" s="40"/>
      <c r="M820" s="40"/>
      <c r="P820" s="40"/>
    </row>
    <row r="821" spans="5:16" ht="15.75" customHeight="1" x14ac:dyDescent="0.25">
      <c r="E821" s="40"/>
      <c r="G821" s="40"/>
      <c r="J821" s="40"/>
      <c r="M821" s="40"/>
      <c r="P821" s="40"/>
    </row>
    <row r="822" spans="5:16" ht="15.75" customHeight="1" x14ac:dyDescent="0.25">
      <c r="E822" s="40"/>
      <c r="G822" s="40"/>
      <c r="J822" s="40"/>
      <c r="M822" s="40"/>
      <c r="P822" s="40"/>
    </row>
    <row r="823" spans="5:16" ht="15.75" customHeight="1" x14ac:dyDescent="0.25">
      <c r="E823" s="40"/>
      <c r="G823" s="40"/>
      <c r="J823" s="40"/>
      <c r="M823" s="40"/>
      <c r="P823" s="40"/>
    </row>
    <row r="824" spans="5:16" ht="15.75" customHeight="1" x14ac:dyDescent="0.25">
      <c r="E824" s="40"/>
      <c r="G824" s="40"/>
      <c r="J824" s="40"/>
      <c r="M824" s="40"/>
      <c r="P824" s="40"/>
    </row>
    <row r="825" spans="5:16" ht="15.75" customHeight="1" x14ac:dyDescent="0.25">
      <c r="E825" s="40"/>
      <c r="G825" s="40"/>
      <c r="J825" s="40"/>
      <c r="M825" s="40"/>
      <c r="P825" s="40"/>
    </row>
    <row r="826" spans="5:16" ht="15.75" customHeight="1" x14ac:dyDescent="0.25">
      <c r="E826" s="40"/>
      <c r="G826" s="40"/>
      <c r="J826" s="40"/>
      <c r="M826" s="40"/>
      <c r="P826" s="40"/>
    </row>
    <row r="827" spans="5:16" ht="15.75" customHeight="1" x14ac:dyDescent="0.25">
      <c r="E827" s="40"/>
      <c r="G827" s="40"/>
      <c r="J827" s="40"/>
      <c r="M827" s="40"/>
      <c r="P827" s="40"/>
    </row>
    <row r="828" spans="5:16" ht="15.75" customHeight="1" x14ac:dyDescent="0.25">
      <c r="E828" s="40"/>
      <c r="G828" s="40"/>
      <c r="J828" s="40"/>
      <c r="M828" s="40"/>
      <c r="P828" s="40"/>
    </row>
    <row r="829" spans="5:16" ht="15.75" customHeight="1" x14ac:dyDescent="0.25">
      <c r="E829" s="40"/>
      <c r="G829" s="40"/>
      <c r="J829" s="40"/>
      <c r="M829" s="40"/>
      <c r="P829" s="40"/>
    </row>
    <row r="830" spans="5:16" ht="15.75" customHeight="1" x14ac:dyDescent="0.25">
      <c r="E830" s="40"/>
      <c r="G830" s="40"/>
      <c r="J830" s="40"/>
      <c r="M830" s="40"/>
      <c r="P830" s="40"/>
    </row>
    <row r="831" spans="5:16" ht="15.75" customHeight="1" x14ac:dyDescent="0.25">
      <c r="E831" s="40"/>
      <c r="G831" s="40"/>
      <c r="J831" s="40"/>
      <c r="M831" s="40"/>
      <c r="P831" s="40"/>
    </row>
    <row r="832" spans="5:16" ht="15.75" customHeight="1" x14ac:dyDescent="0.25">
      <c r="E832" s="40"/>
      <c r="G832" s="40"/>
      <c r="J832" s="40"/>
      <c r="M832" s="40"/>
      <c r="P832" s="40"/>
    </row>
    <row r="833" spans="5:16" ht="15.75" customHeight="1" x14ac:dyDescent="0.25">
      <c r="E833" s="40"/>
      <c r="G833" s="40"/>
      <c r="J833" s="40"/>
      <c r="M833" s="40"/>
      <c r="P833" s="40"/>
    </row>
    <row r="834" spans="5:16" ht="15.75" customHeight="1" x14ac:dyDescent="0.25">
      <c r="E834" s="40"/>
      <c r="G834" s="40"/>
      <c r="J834" s="40"/>
      <c r="M834" s="40"/>
      <c r="P834" s="40"/>
    </row>
    <row r="835" spans="5:16" ht="15.75" customHeight="1" x14ac:dyDescent="0.25">
      <c r="E835" s="40"/>
      <c r="G835" s="40"/>
      <c r="J835" s="40"/>
      <c r="M835" s="40"/>
      <c r="P835" s="40"/>
    </row>
    <row r="836" spans="5:16" ht="15.75" customHeight="1" x14ac:dyDescent="0.25">
      <c r="E836" s="40"/>
      <c r="G836" s="40"/>
      <c r="J836" s="40"/>
      <c r="M836" s="40"/>
      <c r="P836" s="40"/>
    </row>
    <row r="837" spans="5:16" ht="15.75" customHeight="1" x14ac:dyDescent="0.25">
      <c r="E837" s="40"/>
      <c r="G837" s="40"/>
      <c r="J837" s="40"/>
      <c r="M837" s="40"/>
      <c r="P837" s="40"/>
    </row>
    <row r="838" spans="5:16" ht="15.75" customHeight="1" x14ac:dyDescent="0.25">
      <c r="E838" s="40"/>
      <c r="G838" s="40"/>
      <c r="J838" s="40"/>
      <c r="M838" s="40"/>
      <c r="P838" s="40"/>
    </row>
    <row r="839" spans="5:16" ht="15.75" customHeight="1" x14ac:dyDescent="0.25">
      <c r="E839" s="40"/>
      <c r="G839" s="40"/>
      <c r="J839" s="40"/>
      <c r="M839" s="40"/>
      <c r="P839" s="40"/>
    </row>
    <row r="840" spans="5:16" ht="15.75" customHeight="1" x14ac:dyDescent="0.25">
      <c r="E840" s="40"/>
      <c r="G840" s="40"/>
      <c r="J840" s="40"/>
      <c r="M840" s="40"/>
      <c r="P840" s="40"/>
    </row>
    <row r="841" spans="5:16" ht="15.75" customHeight="1" x14ac:dyDescent="0.25">
      <c r="E841" s="40"/>
      <c r="G841" s="40"/>
      <c r="J841" s="40"/>
      <c r="M841" s="40"/>
      <c r="P841" s="40"/>
    </row>
    <row r="842" spans="5:16" ht="15.75" customHeight="1" x14ac:dyDescent="0.25">
      <c r="E842" s="40"/>
      <c r="G842" s="40"/>
      <c r="J842" s="40"/>
      <c r="M842" s="40"/>
      <c r="P842" s="40"/>
    </row>
    <row r="843" spans="5:16" ht="15.75" customHeight="1" x14ac:dyDescent="0.25">
      <c r="E843" s="40"/>
      <c r="G843" s="40"/>
      <c r="J843" s="40"/>
      <c r="M843" s="40"/>
      <c r="P843" s="40"/>
    </row>
    <row r="844" spans="5:16" ht="15.75" customHeight="1" x14ac:dyDescent="0.25">
      <c r="E844" s="40"/>
      <c r="G844" s="40"/>
      <c r="J844" s="40"/>
      <c r="M844" s="40"/>
      <c r="P844" s="40"/>
    </row>
    <row r="845" spans="5:16" ht="15.75" customHeight="1" x14ac:dyDescent="0.25">
      <c r="E845" s="40"/>
      <c r="G845" s="40"/>
      <c r="J845" s="40"/>
      <c r="M845" s="40"/>
      <c r="P845" s="40"/>
    </row>
    <row r="846" spans="5:16" ht="15.75" customHeight="1" x14ac:dyDescent="0.25">
      <c r="E846" s="40"/>
      <c r="G846" s="40"/>
      <c r="J846" s="40"/>
      <c r="M846" s="40"/>
      <c r="P846" s="40"/>
    </row>
    <row r="847" spans="5:16" ht="15.75" customHeight="1" x14ac:dyDescent="0.25">
      <c r="E847" s="40"/>
      <c r="G847" s="40"/>
      <c r="J847" s="40"/>
      <c r="M847" s="40"/>
      <c r="P847" s="40"/>
    </row>
    <row r="848" spans="5:16" ht="15.75" customHeight="1" x14ac:dyDescent="0.25">
      <c r="E848" s="40"/>
      <c r="G848" s="40"/>
      <c r="J848" s="40"/>
      <c r="M848" s="40"/>
      <c r="P848" s="40"/>
    </row>
    <row r="849" spans="5:16" ht="15.75" customHeight="1" x14ac:dyDescent="0.25">
      <c r="E849" s="40"/>
      <c r="G849" s="40"/>
      <c r="J849" s="40"/>
      <c r="M849" s="40"/>
      <c r="P849" s="40"/>
    </row>
    <row r="850" spans="5:16" ht="15.75" customHeight="1" x14ac:dyDescent="0.25">
      <c r="E850" s="40"/>
      <c r="G850" s="40"/>
      <c r="J850" s="40"/>
      <c r="M850" s="40"/>
      <c r="P850" s="40"/>
    </row>
    <row r="851" spans="5:16" ht="15.75" customHeight="1" x14ac:dyDescent="0.25">
      <c r="E851" s="40"/>
      <c r="G851" s="40"/>
      <c r="J851" s="40"/>
      <c r="M851" s="40"/>
      <c r="P851" s="40"/>
    </row>
    <row r="852" spans="5:16" ht="15.75" customHeight="1" x14ac:dyDescent="0.25">
      <c r="E852" s="40"/>
      <c r="G852" s="40"/>
      <c r="J852" s="40"/>
      <c r="M852" s="40"/>
      <c r="P852" s="40"/>
    </row>
    <row r="853" spans="5:16" ht="15.75" customHeight="1" x14ac:dyDescent="0.25">
      <c r="E853" s="40"/>
      <c r="G853" s="40"/>
      <c r="J853" s="40"/>
      <c r="M853" s="40"/>
      <c r="P853" s="40"/>
    </row>
    <row r="854" spans="5:16" ht="15.75" customHeight="1" x14ac:dyDescent="0.25">
      <c r="E854" s="40"/>
      <c r="G854" s="40"/>
      <c r="J854" s="40"/>
      <c r="M854" s="40"/>
      <c r="P854" s="40"/>
    </row>
    <row r="855" spans="5:16" ht="15.75" customHeight="1" x14ac:dyDescent="0.25">
      <c r="E855" s="40"/>
      <c r="G855" s="40"/>
      <c r="J855" s="40"/>
      <c r="M855" s="40"/>
      <c r="P855" s="40"/>
    </row>
    <row r="856" spans="5:16" ht="15.75" customHeight="1" x14ac:dyDescent="0.25">
      <c r="E856" s="40"/>
      <c r="G856" s="40"/>
      <c r="J856" s="40"/>
      <c r="M856" s="40"/>
      <c r="P856" s="40"/>
    </row>
    <row r="857" spans="5:16" ht="15.75" customHeight="1" x14ac:dyDescent="0.25">
      <c r="E857" s="40"/>
      <c r="G857" s="40"/>
      <c r="J857" s="40"/>
      <c r="M857" s="40"/>
      <c r="P857" s="40"/>
    </row>
    <row r="858" spans="5:16" ht="15.75" customHeight="1" x14ac:dyDescent="0.25">
      <c r="E858" s="40"/>
      <c r="G858" s="40"/>
      <c r="J858" s="40"/>
      <c r="M858" s="40"/>
      <c r="P858" s="40"/>
    </row>
    <row r="859" spans="5:16" ht="15.75" customHeight="1" x14ac:dyDescent="0.25">
      <c r="E859" s="40"/>
      <c r="G859" s="40"/>
      <c r="J859" s="40"/>
      <c r="M859" s="40"/>
      <c r="P859" s="40"/>
    </row>
    <row r="860" spans="5:16" ht="15.75" customHeight="1" x14ac:dyDescent="0.25">
      <c r="E860" s="40"/>
      <c r="G860" s="40"/>
      <c r="J860" s="40"/>
      <c r="M860" s="40"/>
      <c r="P860" s="40"/>
    </row>
    <row r="861" spans="5:16" ht="15.75" customHeight="1" x14ac:dyDescent="0.25">
      <c r="E861" s="40"/>
      <c r="G861" s="40"/>
      <c r="J861" s="40"/>
      <c r="M861" s="40"/>
      <c r="P861" s="40"/>
    </row>
    <row r="862" spans="5:16" ht="15.75" customHeight="1" x14ac:dyDescent="0.25">
      <c r="E862" s="40"/>
      <c r="G862" s="40"/>
      <c r="J862" s="40"/>
      <c r="M862" s="40"/>
      <c r="P862" s="40"/>
    </row>
    <row r="863" spans="5:16" ht="15.75" customHeight="1" x14ac:dyDescent="0.25">
      <c r="E863" s="40"/>
      <c r="G863" s="40"/>
      <c r="J863" s="40"/>
      <c r="M863" s="40"/>
      <c r="P863" s="40"/>
    </row>
    <row r="864" spans="5:16" ht="15.75" customHeight="1" x14ac:dyDescent="0.25">
      <c r="E864" s="40"/>
      <c r="G864" s="40"/>
      <c r="J864" s="40"/>
      <c r="M864" s="40"/>
      <c r="P864" s="40"/>
    </row>
    <row r="865" spans="5:16" ht="15.75" customHeight="1" x14ac:dyDescent="0.25">
      <c r="E865" s="40"/>
      <c r="G865" s="40"/>
      <c r="J865" s="40"/>
      <c r="M865" s="40"/>
      <c r="P865" s="40"/>
    </row>
    <row r="866" spans="5:16" ht="15.75" customHeight="1" x14ac:dyDescent="0.25">
      <c r="E866" s="40"/>
      <c r="G866" s="40"/>
      <c r="J866" s="40"/>
      <c r="M866" s="40"/>
      <c r="P866" s="40"/>
    </row>
    <row r="867" spans="5:16" ht="15.75" customHeight="1" x14ac:dyDescent="0.25">
      <c r="E867" s="40"/>
      <c r="G867" s="40"/>
      <c r="J867" s="40"/>
      <c r="M867" s="40"/>
      <c r="P867" s="40"/>
    </row>
    <row r="868" spans="5:16" ht="15.75" customHeight="1" x14ac:dyDescent="0.25">
      <c r="E868" s="40"/>
      <c r="G868" s="40"/>
      <c r="J868" s="40"/>
      <c r="M868" s="40"/>
      <c r="P868" s="40"/>
    </row>
    <row r="869" spans="5:16" ht="15.75" customHeight="1" x14ac:dyDescent="0.25">
      <c r="E869" s="40"/>
      <c r="G869" s="40"/>
      <c r="J869" s="40"/>
      <c r="M869" s="40"/>
      <c r="P869" s="40"/>
    </row>
    <row r="870" spans="5:16" ht="15.75" customHeight="1" x14ac:dyDescent="0.25">
      <c r="E870" s="40"/>
      <c r="G870" s="40"/>
      <c r="J870" s="40"/>
      <c r="M870" s="40"/>
      <c r="P870" s="40"/>
    </row>
    <row r="871" spans="5:16" ht="15.75" customHeight="1" x14ac:dyDescent="0.25">
      <c r="E871" s="40"/>
      <c r="G871" s="40"/>
      <c r="J871" s="40"/>
      <c r="M871" s="40"/>
      <c r="P871" s="40"/>
    </row>
    <row r="872" spans="5:16" ht="15.75" customHeight="1" x14ac:dyDescent="0.25">
      <c r="E872" s="40"/>
      <c r="G872" s="40"/>
      <c r="J872" s="40"/>
      <c r="M872" s="40"/>
      <c r="P872" s="40"/>
    </row>
    <row r="873" spans="5:16" ht="15.75" customHeight="1" x14ac:dyDescent="0.25">
      <c r="E873" s="40"/>
      <c r="G873" s="40"/>
      <c r="J873" s="40"/>
      <c r="M873" s="40"/>
      <c r="P873" s="40"/>
    </row>
    <row r="874" spans="5:16" ht="15.75" customHeight="1" x14ac:dyDescent="0.25">
      <c r="E874" s="40"/>
      <c r="G874" s="40"/>
      <c r="J874" s="40"/>
      <c r="M874" s="40"/>
      <c r="P874" s="40"/>
    </row>
    <row r="875" spans="5:16" ht="15.75" customHeight="1" x14ac:dyDescent="0.25">
      <c r="E875" s="40"/>
      <c r="G875" s="40"/>
      <c r="J875" s="40"/>
      <c r="M875" s="40"/>
      <c r="P875" s="40"/>
    </row>
    <row r="876" spans="5:16" ht="15.75" customHeight="1" x14ac:dyDescent="0.25">
      <c r="E876" s="40"/>
      <c r="G876" s="40"/>
      <c r="J876" s="40"/>
      <c r="M876" s="40"/>
      <c r="P876" s="40"/>
    </row>
    <row r="877" spans="5:16" ht="15.75" customHeight="1" x14ac:dyDescent="0.25">
      <c r="E877" s="40"/>
      <c r="G877" s="40"/>
      <c r="J877" s="40"/>
      <c r="M877" s="40"/>
      <c r="P877" s="40"/>
    </row>
    <row r="878" spans="5:16" ht="15.75" customHeight="1" x14ac:dyDescent="0.25">
      <c r="E878" s="40"/>
      <c r="G878" s="40"/>
      <c r="J878" s="40"/>
      <c r="M878" s="40"/>
      <c r="P878" s="40"/>
    </row>
    <row r="879" spans="5:16" ht="15.75" customHeight="1" x14ac:dyDescent="0.25">
      <c r="E879" s="40"/>
      <c r="G879" s="40"/>
      <c r="J879" s="40"/>
      <c r="M879" s="40"/>
      <c r="P879" s="40"/>
    </row>
    <row r="880" spans="5:16" ht="15.75" customHeight="1" x14ac:dyDescent="0.25">
      <c r="E880" s="40"/>
      <c r="G880" s="40"/>
      <c r="J880" s="40"/>
      <c r="M880" s="40"/>
      <c r="P880" s="40"/>
    </row>
    <row r="881" spans="5:16" ht="15.75" customHeight="1" x14ac:dyDescent="0.25">
      <c r="E881" s="40"/>
      <c r="G881" s="40"/>
      <c r="J881" s="40"/>
      <c r="M881" s="40"/>
      <c r="P881" s="40"/>
    </row>
    <row r="882" spans="5:16" ht="15.75" customHeight="1" x14ac:dyDescent="0.25">
      <c r="E882" s="40"/>
      <c r="G882" s="40"/>
      <c r="J882" s="40"/>
      <c r="M882" s="40"/>
      <c r="P882" s="40"/>
    </row>
    <row r="883" spans="5:16" ht="15.75" customHeight="1" x14ac:dyDescent="0.25">
      <c r="E883" s="40"/>
      <c r="G883" s="40"/>
      <c r="J883" s="40"/>
      <c r="M883" s="40"/>
      <c r="P883" s="40"/>
    </row>
    <row r="884" spans="5:16" ht="15.75" customHeight="1" x14ac:dyDescent="0.25">
      <c r="E884" s="40"/>
      <c r="G884" s="40"/>
      <c r="J884" s="40"/>
      <c r="M884" s="40"/>
      <c r="P884" s="40"/>
    </row>
    <row r="885" spans="5:16" ht="15.75" customHeight="1" x14ac:dyDescent="0.25">
      <c r="E885" s="40"/>
      <c r="G885" s="40"/>
      <c r="J885" s="40"/>
      <c r="M885" s="40"/>
      <c r="P885" s="40"/>
    </row>
    <row r="886" spans="5:16" ht="15.75" customHeight="1" x14ac:dyDescent="0.25">
      <c r="E886" s="40"/>
      <c r="G886" s="40"/>
      <c r="J886" s="40"/>
      <c r="M886" s="40"/>
      <c r="P886" s="40"/>
    </row>
    <row r="887" spans="5:16" ht="15.75" customHeight="1" x14ac:dyDescent="0.25">
      <c r="E887" s="40"/>
      <c r="G887" s="40"/>
      <c r="J887" s="40"/>
      <c r="M887" s="40"/>
      <c r="P887" s="40"/>
    </row>
    <row r="888" spans="5:16" ht="15.75" customHeight="1" x14ac:dyDescent="0.25">
      <c r="E888" s="40"/>
      <c r="G888" s="40"/>
      <c r="J888" s="40"/>
      <c r="M888" s="40"/>
      <c r="P888" s="40"/>
    </row>
    <row r="889" spans="5:16" ht="15.75" customHeight="1" x14ac:dyDescent="0.25">
      <c r="E889" s="40"/>
      <c r="G889" s="40"/>
      <c r="J889" s="40"/>
      <c r="M889" s="40"/>
      <c r="P889" s="40"/>
    </row>
    <row r="890" spans="5:16" ht="15.75" customHeight="1" x14ac:dyDescent="0.25">
      <c r="E890" s="40"/>
      <c r="G890" s="40"/>
      <c r="J890" s="40"/>
      <c r="M890" s="40"/>
      <c r="P890" s="40"/>
    </row>
    <row r="891" spans="5:16" ht="15.75" customHeight="1" x14ac:dyDescent="0.25">
      <c r="E891" s="40"/>
      <c r="G891" s="40"/>
      <c r="J891" s="40"/>
      <c r="M891" s="40"/>
      <c r="P891" s="40"/>
    </row>
    <row r="892" spans="5:16" ht="15.75" customHeight="1" x14ac:dyDescent="0.25">
      <c r="E892" s="40"/>
      <c r="G892" s="40"/>
      <c r="J892" s="40"/>
      <c r="M892" s="40"/>
      <c r="P892" s="40"/>
    </row>
    <row r="893" spans="5:16" ht="15.75" customHeight="1" x14ac:dyDescent="0.25">
      <c r="E893" s="40"/>
      <c r="G893" s="40"/>
      <c r="J893" s="40"/>
      <c r="M893" s="40"/>
      <c r="P893" s="40"/>
    </row>
    <row r="894" spans="5:16" ht="15.75" customHeight="1" x14ac:dyDescent="0.25">
      <c r="E894" s="40"/>
      <c r="G894" s="40"/>
      <c r="J894" s="40"/>
      <c r="M894" s="40"/>
      <c r="P894" s="40"/>
    </row>
    <row r="895" spans="5:16" ht="15.75" customHeight="1" x14ac:dyDescent="0.25">
      <c r="E895" s="40"/>
      <c r="G895" s="40"/>
      <c r="J895" s="40"/>
      <c r="M895" s="40"/>
      <c r="P895" s="40"/>
    </row>
    <row r="896" spans="5:16" ht="15.75" customHeight="1" x14ac:dyDescent="0.25">
      <c r="E896" s="40"/>
      <c r="G896" s="40"/>
      <c r="J896" s="40"/>
      <c r="M896" s="40"/>
      <c r="P896" s="40"/>
    </row>
    <row r="897" spans="5:16" ht="15.75" customHeight="1" x14ac:dyDescent="0.25">
      <c r="E897" s="40"/>
      <c r="G897" s="40"/>
      <c r="J897" s="40"/>
      <c r="M897" s="40"/>
      <c r="P897" s="40"/>
    </row>
    <row r="898" spans="5:16" ht="15.75" customHeight="1" x14ac:dyDescent="0.25">
      <c r="E898" s="40"/>
      <c r="G898" s="40"/>
      <c r="J898" s="40"/>
      <c r="M898" s="40"/>
      <c r="P898" s="40"/>
    </row>
    <row r="899" spans="5:16" ht="15.75" customHeight="1" x14ac:dyDescent="0.25">
      <c r="E899" s="40"/>
      <c r="G899" s="40"/>
      <c r="J899" s="40"/>
      <c r="M899" s="40"/>
      <c r="P899" s="40"/>
    </row>
    <row r="900" spans="5:16" ht="15.75" customHeight="1" x14ac:dyDescent="0.25">
      <c r="E900" s="40"/>
      <c r="G900" s="40"/>
      <c r="J900" s="40"/>
      <c r="M900" s="40"/>
      <c r="P900" s="40"/>
    </row>
    <row r="901" spans="5:16" ht="15.75" customHeight="1" x14ac:dyDescent="0.25">
      <c r="E901" s="40"/>
      <c r="G901" s="40"/>
      <c r="J901" s="40"/>
      <c r="M901" s="40"/>
      <c r="P901" s="40"/>
    </row>
    <row r="902" spans="5:16" ht="15.75" customHeight="1" x14ac:dyDescent="0.25">
      <c r="E902" s="40"/>
      <c r="G902" s="40"/>
      <c r="J902" s="40"/>
      <c r="M902" s="40"/>
      <c r="P902" s="40"/>
    </row>
    <row r="903" spans="5:16" ht="15.75" customHeight="1" x14ac:dyDescent="0.25">
      <c r="E903" s="40"/>
      <c r="G903" s="40"/>
      <c r="J903" s="40"/>
      <c r="M903" s="40"/>
      <c r="P903" s="40"/>
    </row>
    <row r="904" spans="5:16" ht="15.75" customHeight="1" x14ac:dyDescent="0.25">
      <c r="E904" s="40"/>
      <c r="G904" s="40"/>
      <c r="J904" s="40"/>
      <c r="M904" s="40"/>
      <c r="P904" s="40"/>
    </row>
    <row r="905" spans="5:16" ht="15.75" customHeight="1" x14ac:dyDescent="0.25">
      <c r="E905" s="40"/>
      <c r="G905" s="40"/>
      <c r="J905" s="40"/>
      <c r="M905" s="40"/>
      <c r="P905" s="40"/>
    </row>
    <row r="906" spans="5:16" ht="15.75" customHeight="1" x14ac:dyDescent="0.25">
      <c r="E906" s="40"/>
      <c r="G906" s="40"/>
      <c r="J906" s="40"/>
      <c r="M906" s="40"/>
      <c r="P906" s="40"/>
    </row>
    <row r="907" spans="5:16" ht="15.75" customHeight="1" x14ac:dyDescent="0.25">
      <c r="E907" s="40"/>
      <c r="G907" s="40"/>
      <c r="J907" s="40"/>
      <c r="M907" s="40"/>
      <c r="P907" s="40"/>
    </row>
    <row r="908" spans="5:16" ht="15.75" customHeight="1" x14ac:dyDescent="0.25">
      <c r="E908" s="40"/>
      <c r="G908" s="40"/>
      <c r="J908" s="40"/>
      <c r="M908" s="40"/>
      <c r="P908" s="40"/>
    </row>
    <row r="909" spans="5:16" ht="15.75" customHeight="1" x14ac:dyDescent="0.25">
      <c r="E909" s="40"/>
      <c r="G909" s="40"/>
      <c r="J909" s="40"/>
      <c r="M909" s="40"/>
      <c r="P909" s="40"/>
    </row>
    <row r="910" spans="5:16" ht="15.75" customHeight="1" x14ac:dyDescent="0.25">
      <c r="E910" s="40"/>
      <c r="G910" s="40"/>
      <c r="J910" s="40"/>
      <c r="M910" s="40"/>
      <c r="P910" s="40"/>
    </row>
    <row r="911" spans="5:16" ht="15.75" customHeight="1" x14ac:dyDescent="0.25">
      <c r="E911" s="40"/>
      <c r="G911" s="40"/>
      <c r="J911" s="40"/>
      <c r="M911" s="40"/>
      <c r="P911" s="40"/>
    </row>
    <row r="912" spans="5:16" ht="15.75" customHeight="1" x14ac:dyDescent="0.25">
      <c r="E912" s="40"/>
      <c r="G912" s="40"/>
      <c r="J912" s="40"/>
      <c r="M912" s="40"/>
      <c r="P912" s="40"/>
    </row>
    <row r="913" spans="5:16" ht="15.75" customHeight="1" x14ac:dyDescent="0.25">
      <c r="E913" s="40"/>
      <c r="G913" s="40"/>
      <c r="J913" s="40"/>
      <c r="M913" s="40"/>
      <c r="P913" s="40"/>
    </row>
    <row r="914" spans="5:16" ht="15.75" customHeight="1" x14ac:dyDescent="0.25">
      <c r="E914" s="40"/>
      <c r="G914" s="40"/>
      <c r="J914" s="40"/>
      <c r="M914" s="40"/>
      <c r="P914" s="40"/>
    </row>
    <row r="915" spans="5:16" ht="15.75" customHeight="1" x14ac:dyDescent="0.25">
      <c r="E915" s="40"/>
      <c r="G915" s="40"/>
      <c r="J915" s="40"/>
      <c r="M915" s="40"/>
      <c r="P915" s="40"/>
    </row>
    <row r="916" spans="5:16" ht="15.75" customHeight="1" x14ac:dyDescent="0.25">
      <c r="E916" s="40"/>
      <c r="G916" s="40"/>
      <c r="J916" s="40"/>
      <c r="M916" s="40"/>
      <c r="P916" s="40"/>
    </row>
    <row r="917" spans="5:16" ht="15.75" customHeight="1" x14ac:dyDescent="0.25">
      <c r="E917" s="40"/>
      <c r="G917" s="40"/>
      <c r="J917" s="40"/>
      <c r="M917" s="40"/>
      <c r="P917" s="40"/>
    </row>
    <row r="918" spans="5:16" ht="15.75" customHeight="1" x14ac:dyDescent="0.25">
      <c r="E918" s="40"/>
      <c r="G918" s="40"/>
      <c r="J918" s="40"/>
      <c r="M918" s="40"/>
      <c r="P918" s="40"/>
    </row>
    <row r="919" spans="5:16" ht="15.75" customHeight="1" x14ac:dyDescent="0.25">
      <c r="E919" s="40"/>
      <c r="G919" s="40"/>
      <c r="J919" s="40"/>
      <c r="M919" s="40"/>
      <c r="P919" s="40"/>
    </row>
    <row r="920" spans="5:16" ht="15.75" customHeight="1" x14ac:dyDescent="0.25">
      <c r="E920" s="40"/>
      <c r="G920" s="40"/>
      <c r="J920" s="40"/>
      <c r="M920" s="40"/>
      <c r="P920" s="40"/>
    </row>
    <row r="921" spans="5:16" ht="15.75" customHeight="1" x14ac:dyDescent="0.25">
      <c r="E921" s="40"/>
      <c r="G921" s="40"/>
      <c r="J921" s="40"/>
      <c r="M921" s="40"/>
      <c r="P921" s="40"/>
    </row>
    <row r="922" spans="5:16" ht="15.75" customHeight="1" x14ac:dyDescent="0.25">
      <c r="E922" s="40"/>
      <c r="G922" s="40"/>
      <c r="J922" s="40"/>
      <c r="M922" s="40"/>
      <c r="P922" s="40"/>
    </row>
    <row r="923" spans="5:16" ht="15.75" customHeight="1" x14ac:dyDescent="0.25">
      <c r="E923" s="40"/>
      <c r="G923" s="40"/>
      <c r="J923" s="40"/>
      <c r="M923" s="40"/>
      <c r="P923" s="40"/>
    </row>
    <row r="924" spans="5:16" ht="15.75" customHeight="1" x14ac:dyDescent="0.25">
      <c r="E924" s="40"/>
      <c r="G924" s="40"/>
      <c r="J924" s="40"/>
      <c r="M924" s="40"/>
      <c r="P924" s="40"/>
    </row>
    <row r="925" spans="5:16" ht="15.75" customHeight="1" x14ac:dyDescent="0.25">
      <c r="E925" s="40"/>
      <c r="G925" s="40"/>
      <c r="J925" s="40"/>
      <c r="M925" s="40"/>
      <c r="P925" s="40"/>
    </row>
    <row r="926" spans="5:16" ht="15.75" customHeight="1" x14ac:dyDescent="0.25">
      <c r="E926" s="40"/>
      <c r="G926" s="40"/>
      <c r="J926" s="40"/>
      <c r="M926" s="40"/>
      <c r="P926" s="40"/>
    </row>
    <row r="927" spans="5:16" ht="15.75" customHeight="1" x14ac:dyDescent="0.25">
      <c r="E927" s="40"/>
      <c r="G927" s="40"/>
      <c r="J927" s="40"/>
      <c r="M927" s="40"/>
      <c r="P927" s="40"/>
    </row>
    <row r="928" spans="5:16" ht="15.75" customHeight="1" x14ac:dyDescent="0.25">
      <c r="E928" s="40"/>
      <c r="G928" s="40"/>
      <c r="J928" s="40"/>
      <c r="M928" s="40"/>
      <c r="P928" s="40"/>
    </row>
    <row r="929" spans="5:16" ht="15.75" customHeight="1" x14ac:dyDescent="0.25">
      <c r="E929" s="40"/>
      <c r="G929" s="40"/>
      <c r="J929" s="40"/>
      <c r="M929" s="40"/>
      <c r="P929" s="40"/>
    </row>
    <row r="930" spans="5:16" ht="15.75" customHeight="1" x14ac:dyDescent="0.25">
      <c r="E930" s="40"/>
      <c r="G930" s="40"/>
      <c r="J930" s="40"/>
      <c r="M930" s="40"/>
      <c r="P930" s="40"/>
    </row>
    <row r="931" spans="5:16" ht="15.75" customHeight="1" x14ac:dyDescent="0.25">
      <c r="E931" s="40"/>
      <c r="G931" s="40"/>
      <c r="J931" s="40"/>
      <c r="M931" s="40"/>
      <c r="P931" s="40"/>
    </row>
    <row r="932" spans="5:16" ht="15.75" customHeight="1" x14ac:dyDescent="0.25">
      <c r="E932" s="40"/>
      <c r="G932" s="40"/>
      <c r="J932" s="40"/>
      <c r="M932" s="40"/>
      <c r="P932" s="40"/>
    </row>
    <row r="933" spans="5:16" ht="15.75" customHeight="1" x14ac:dyDescent="0.25">
      <c r="E933" s="40"/>
      <c r="G933" s="40"/>
      <c r="J933" s="40"/>
      <c r="M933" s="40"/>
      <c r="P933" s="40"/>
    </row>
    <row r="934" spans="5:16" ht="15.75" customHeight="1" x14ac:dyDescent="0.25">
      <c r="E934" s="40"/>
      <c r="G934" s="40"/>
      <c r="J934" s="40"/>
      <c r="M934" s="40"/>
      <c r="P934" s="40"/>
    </row>
    <row r="935" spans="5:16" ht="15.75" customHeight="1" x14ac:dyDescent="0.25">
      <c r="E935" s="40"/>
      <c r="G935" s="40"/>
      <c r="J935" s="40"/>
      <c r="M935" s="40"/>
      <c r="P935" s="40"/>
    </row>
    <row r="936" spans="5:16" ht="15.75" customHeight="1" x14ac:dyDescent="0.25">
      <c r="E936" s="40"/>
      <c r="G936" s="40"/>
      <c r="J936" s="40"/>
      <c r="M936" s="40"/>
      <c r="P936" s="40"/>
    </row>
    <row r="937" spans="5:16" ht="15.75" customHeight="1" x14ac:dyDescent="0.25">
      <c r="E937" s="40"/>
      <c r="G937" s="40"/>
      <c r="J937" s="40"/>
      <c r="M937" s="40"/>
      <c r="P937" s="40"/>
    </row>
    <row r="938" spans="5:16" ht="15.75" customHeight="1" x14ac:dyDescent="0.25">
      <c r="E938" s="40"/>
      <c r="G938" s="40"/>
      <c r="J938" s="40"/>
      <c r="M938" s="40"/>
      <c r="P938" s="40"/>
    </row>
    <row r="939" spans="5:16" ht="15.75" customHeight="1" x14ac:dyDescent="0.25">
      <c r="E939" s="40"/>
      <c r="G939" s="40"/>
      <c r="J939" s="40"/>
      <c r="M939" s="40"/>
      <c r="P939" s="40"/>
    </row>
    <row r="940" spans="5:16" ht="15.75" customHeight="1" x14ac:dyDescent="0.25">
      <c r="E940" s="40"/>
      <c r="G940" s="40"/>
      <c r="J940" s="40"/>
      <c r="M940" s="40"/>
      <c r="P940" s="40"/>
    </row>
    <row r="941" spans="5:16" ht="15.75" customHeight="1" x14ac:dyDescent="0.25">
      <c r="E941" s="40"/>
      <c r="G941" s="40"/>
      <c r="J941" s="40"/>
      <c r="M941" s="40"/>
      <c r="P941" s="40"/>
    </row>
    <row r="942" spans="5:16" ht="15.75" customHeight="1" x14ac:dyDescent="0.25">
      <c r="E942" s="40"/>
      <c r="G942" s="40"/>
      <c r="J942" s="40"/>
      <c r="M942" s="40"/>
      <c r="P942" s="40"/>
    </row>
    <row r="943" spans="5:16" ht="15.75" customHeight="1" x14ac:dyDescent="0.25">
      <c r="E943" s="40"/>
      <c r="G943" s="40"/>
      <c r="J943" s="40"/>
      <c r="M943" s="40"/>
      <c r="P943" s="40"/>
    </row>
    <row r="944" spans="5:16" ht="15.75" customHeight="1" x14ac:dyDescent="0.25">
      <c r="E944" s="40"/>
      <c r="G944" s="40"/>
      <c r="J944" s="40"/>
      <c r="M944" s="40"/>
      <c r="P944" s="40"/>
    </row>
    <row r="945" spans="5:16" ht="15.75" customHeight="1" x14ac:dyDescent="0.25">
      <c r="E945" s="40"/>
      <c r="G945" s="40"/>
      <c r="J945" s="40"/>
      <c r="M945" s="40"/>
      <c r="P945" s="40"/>
    </row>
    <row r="946" spans="5:16" ht="15.75" customHeight="1" x14ac:dyDescent="0.25">
      <c r="E946" s="40"/>
      <c r="G946" s="40"/>
      <c r="J946" s="40"/>
      <c r="M946" s="40"/>
      <c r="P946" s="40"/>
    </row>
    <row r="947" spans="5:16" ht="15.75" customHeight="1" x14ac:dyDescent="0.25">
      <c r="E947" s="40"/>
      <c r="G947" s="40"/>
      <c r="J947" s="40"/>
      <c r="M947" s="40"/>
      <c r="P947" s="40"/>
    </row>
    <row r="948" spans="5:16" ht="15.75" customHeight="1" x14ac:dyDescent="0.25">
      <c r="E948" s="40"/>
      <c r="G948" s="40"/>
      <c r="J948" s="40"/>
      <c r="M948" s="40"/>
      <c r="P948" s="40"/>
    </row>
    <row r="949" spans="5:16" ht="15.75" customHeight="1" x14ac:dyDescent="0.25">
      <c r="E949" s="40"/>
      <c r="G949" s="40"/>
      <c r="J949" s="40"/>
      <c r="M949" s="40"/>
      <c r="P949" s="40"/>
    </row>
    <row r="950" spans="5:16" ht="15.75" customHeight="1" x14ac:dyDescent="0.25">
      <c r="E950" s="40"/>
      <c r="G950" s="40"/>
      <c r="J950" s="40"/>
      <c r="M950" s="40"/>
      <c r="P950" s="40"/>
    </row>
    <row r="951" spans="5:16" ht="15.75" customHeight="1" x14ac:dyDescent="0.25">
      <c r="E951" s="40"/>
      <c r="G951" s="40"/>
      <c r="J951" s="40"/>
      <c r="M951" s="40"/>
      <c r="P951" s="40"/>
    </row>
    <row r="952" spans="5:16" ht="15.75" customHeight="1" x14ac:dyDescent="0.25">
      <c r="E952" s="40"/>
      <c r="G952" s="40"/>
      <c r="J952" s="40"/>
      <c r="M952" s="40"/>
      <c r="P952" s="40"/>
    </row>
    <row r="953" spans="5:16" ht="15.75" customHeight="1" x14ac:dyDescent="0.25">
      <c r="E953" s="40"/>
      <c r="G953" s="40"/>
      <c r="J953" s="40"/>
      <c r="M953" s="40"/>
      <c r="P953" s="40"/>
    </row>
    <row r="954" spans="5:16" ht="15.75" customHeight="1" x14ac:dyDescent="0.25">
      <c r="E954" s="40"/>
      <c r="G954" s="40"/>
      <c r="J954" s="40"/>
      <c r="M954" s="40"/>
      <c r="P954" s="40"/>
    </row>
    <row r="955" spans="5:16" ht="15.75" customHeight="1" x14ac:dyDescent="0.25">
      <c r="E955" s="40"/>
      <c r="G955" s="40"/>
      <c r="J955" s="40"/>
      <c r="M955" s="40"/>
      <c r="P955" s="40"/>
    </row>
    <row r="956" spans="5:16" ht="15.75" customHeight="1" x14ac:dyDescent="0.25">
      <c r="E956" s="40"/>
      <c r="G956" s="40"/>
      <c r="J956" s="40"/>
      <c r="M956" s="40"/>
      <c r="P956" s="40"/>
    </row>
    <row r="957" spans="5:16" ht="15.75" customHeight="1" x14ac:dyDescent="0.25">
      <c r="E957" s="40"/>
      <c r="G957" s="40"/>
      <c r="J957" s="40"/>
      <c r="M957" s="40"/>
      <c r="P957" s="40"/>
    </row>
    <row r="958" spans="5:16" ht="15.75" customHeight="1" x14ac:dyDescent="0.25">
      <c r="E958" s="40"/>
      <c r="G958" s="40"/>
      <c r="J958" s="40"/>
      <c r="M958" s="40"/>
      <c r="P958" s="40"/>
    </row>
    <row r="959" spans="5:16" ht="15.75" customHeight="1" x14ac:dyDescent="0.25">
      <c r="E959" s="40"/>
      <c r="G959" s="40"/>
      <c r="J959" s="40"/>
      <c r="M959" s="40"/>
      <c r="P959" s="40"/>
    </row>
    <row r="960" spans="5:16" ht="15.75" customHeight="1" x14ac:dyDescent="0.25">
      <c r="E960" s="40"/>
      <c r="G960" s="40"/>
      <c r="J960" s="40"/>
      <c r="M960" s="40"/>
      <c r="P960" s="40"/>
    </row>
    <row r="961" spans="5:16" ht="15.75" customHeight="1" x14ac:dyDescent="0.25">
      <c r="E961" s="40"/>
      <c r="G961" s="40"/>
      <c r="J961" s="40"/>
      <c r="M961" s="40"/>
      <c r="P961" s="40"/>
    </row>
    <row r="962" spans="5:16" ht="15.75" customHeight="1" x14ac:dyDescent="0.25">
      <c r="E962" s="40"/>
      <c r="G962" s="40"/>
      <c r="J962" s="40"/>
      <c r="M962" s="40"/>
      <c r="P962" s="40"/>
    </row>
    <row r="963" spans="5:16" ht="15.75" customHeight="1" x14ac:dyDescent="0.25">
      <c r="E963" s="40"/>
      <c r="G963" s="40"/>
      <c r="J963" s="40"/>
      <c r="M963" s="40"/>
      <c r="P963" s="40"/>
    </row>
    <row r="964" spans="5:16" ht="15.75" customHeight="1" x14ac:dyDescent="0.25">
      <c r="E964" s="40"/>
      <c r="G964" s="40"/>
      <c r="J964" s="40"/>
      <c r="M964" s="40"/>
      <c r="P964" s="40"/>
    </row>
    <row r="965" spans="5:16" ht="15.75" customHeight="1" x14ac:dyDescent="0.25">
      <c r="E965" s="40"/>
      <c r="G965" s="40"/>
      <c r="J965" s="40"/>
      <c r="M965" s="40"/>
      <c r="P965" s="40"/>
    </row>
    <row r="966" spans="5:16" ht="15.75" customHeight="1" x14ac:dyDescent="0.25">
      <c r="E966" s="40"/>
      <c r="G966" s="40"/>
      <c r="J966" s="40"/>
      <c r="M966" s="40"/>
      <c r="P966" s="40"/>
    </row>
    <row r="967" spans="5:16" ht="15.75" customHeight="1" x14ac:dyDescent="0.25">
      <c r="E967" s="40"/>
      <c r="G967" s="40"/>
      <c r="J967" s="40"/>
      <c r="M967" s="40"/>
      <c r="P967" s="40"/>
    </row>
    <row r="968" spans="5:16" ht="15.75" customHeight="1" x14ac:dyDescent="0.25">
      <c r="E968" s="40"/>
      <c r="G968" s="40"/>
      <c r="J968" s="40"/>
      <c r="M968" s="40"/>
      <c r="P968" s="40"/>
    </row>
    <row r="969" spans="5:16" ht="15.75" customHeight="1" x14ac:dyDescent="0.25">
      <c r="E969" s="40"/>
      <c r="G969" s="40"/>
      <c r="J969" s="40"/>
      <c r="M969" s="40"/>
      <c r="P969" s="40"/>
    </row>
    <row r="970" spans="5:16" ht="15.75" customHeight="1" x14ac:dyDescent="0.25">
      <c r="E970" s="40"/>
      <c r="G970" s="40"/>
      <c r="J970" s="40"/>
      <c r="M970" s="40"/>
      <c r="P970" s="40"/>
    </row>
    <row r="971" spans="5:16" ht="15.75" customHeight="1" x14ac:dyDescent="0.25">
      <c r="E971" s="40"/>
      <c r="G971" s="40"/>
      <c r="J971" s="40"/>
      <c r="M971" s="40"/>
      <c r="P971" s="40"/>
    </row>
    <row r="972" spans="5:16" ht="15.75" customHeight="1" x14ac:dyDescent="0.25">
      <c r="E972" s="40"/>
      <c r="G972" s="40"/>
      <c r="J972" s="40"/>
      <c r="M972" s="40"/>
      <c r="P972" s="40"/>
    </row>
    <row r="973" spans="5:16" ht="15.75" customHeight="1" x14ac:dyDescent="0.25">
      <c r="E973" s="40"/>
      <c r="G973" s="40"/>
      <c r="J973" s="40"/>
      <c r="M973" s="40"/>
      <c r="P973" s="40"/>
    </row>
    <row r="974" spans="5:16" ht="15.75" customHeight="1" x14ac:dyDescent="0.25">
      <c r="E974" s="40"/>
      <c r="G974" s="40"/>
      <c r="J974" s="40"/>
      <c r="M974" s="40"/>
      <c r="P974" s="40"/>
    </row>
    <row r="975" spans="5:16" ht="15.75" customHeight="1" x14ac:dyDescent="0.25">
      <c r="E975" s="40"/>
      <c r="G975" s="40"/>
      <c r="J975" s="40"/>
      <c r="M975" s="40"/>
      <c r="P975" s="40"/>
    </row>
    <row r="976" spans="5:16" ht="15.75" customHeight="1" x14ac:dyDescent="0.25">
      <c r="E976" s="40"/>
      <c r="G976" s="40"/>
      <c r="J976" s="40"/>
      <c r="M976" s="40"/>
      <c r="P976" s="40"/>
    </row>
    <row r="977" spans="5:16" ht="15.75" customHeight="1" x14ac:dyDescent="0.25">
      <c r="E977" s="40"/>
      <c r="G977" s="40"/>
      <c r="J977" s="40"/>
      <c r="M977" s="40"/>
      <c r="P977" s="40"/>
    </row>
    <row r="978" spans="5:16" ht="15.75" customHeight="1" x14ac:dyDescent="0.25">
      <c r="E978" s="40"/>
      <c r="G978" s="40"/>
      <c r="J978" s="40"/>
      <c r="M978" s="40"/>
      <c r="P978" s="40"/>
    </row>
    <row r="979" spans="5:16" ht="15.75" customHeight="1" x14ac:dyDescent="0.25">
      <c r="E979" s="40"/>
      <c r="G979" s="40"/>
      <c r="J979" s="40"/>
      <c r="M979" s="40"/>
      <c r="P979" s="40"/>
    </row>
    <row r="980" spans="5:16" ht="15.75" customHeight="1" x14ac:dyDescent="0.25">
      <c r="E980" s="40"/>
      <c r="G980" s="40"/>
      <c r="J980" s="40"/>
      <c r="M980" s="40"/>
      <c r="P980" s="40"/>
    </row>
    <row r="981" spans="5:16" ht="15.75" customHeight="1" x14ac:dyDescent="0.25">
      <c r="E981" s="40"/>
      <c r="G981" s="40"/>
      <c r="J981" s="40"/>
      <c r="M981" s="40"/>
      <c r="P981" s="40"/>
    </row>
    <row r="982" spans="5:16" ht="15.75" customHeight="1" x14ac:dyDescent="0.25">
      <c r="E982" s="40"/>
      <c r="G982" s="40"/>
      <c r="J982" s="40"/>
      <c r="M982" s="40"/>
      <c r="P982" s="40"/>
    </row>
    <row r="983" spans="5:16" ht="15.75" customHeight="1" x14ac:dyDescent="0.25">
      <c r="E983" s="40"/>
      <c r="G983" s="40"/>
      <c r="J983" s="40"/>
      <c r="M983" s="40"/>
      <c r="P983" s="40"/>
    </row>
    <row r="984" spans="5:16" ht="15.75" customHeight="1" x14ac:dyDescent="0.25">
      <c r="E984" s="40"/>
      <c r="G984" s="40"/>
      <c r="J984" s="40"/>
      <c r="M984" s="40"/>
      <c r="P984" s="40"/>
    </row>
    <row r="985" spans="5:16" ht="15.75" customHeight="1" x14ac:dyDescent="0.25">
      <c r="E985" s="40"/>
      <c r="G985" s="40"/>
      <c r="J985" s="40"/>
      <c r="M985" s="40"/>
      <c r="P985" s="40"/>
    </row>
    <row r="986" spans="5:16" ht="15.75" customHeight="1" x14ac:dyDescent="0.25">
      <c r="E986" s="40"/>
      <c r="G986" s="40"/>
      <c r="J986" s="40"/>
      <c r="M986" s="40"/>
      <c r="P986" s="40"/>
    </row>
    <row r="987" spans="5:16" ht="15.75" customHeight="1" x14ac:dyDescent="0.25">
      <c r="E987" s="40"/>
      <c r="G987" s="40"/>
      <c r="J987" s="40"/>
      <c r="M987" s="40"/>
      <c r="P987" s="40"/>
    </row>
    <row r="988" spans="5:16" ht="15.75" customHeight="1" x14ac:dyDescent="0.25">
      <c r="E988" s="40"/>
      <c r="G988" s="40"/>
      <c r="J988" s="40"/>
      <c r="M988" s="40"/>
      <c r="P988" s="40"/>
    </row>
    <row r="989" spans="5:16" ht="15.75" customHeight="1" x14ac:dyDescent="0.25">
      <c r="E989" s="40"/>
      <c r="G989" s="40"/>
      <c r="J989" s="40"/>
      <c r="M989" s="40"/>
      <c r="P989" s="40"/>
    </row>
    <row r="990" spans="5:16" ht="15.75" customHeight="1" x14ac:dyDescent="0.25">
      <c r="E990" s="40"/>
      <c r="G990" s="40"/>
      <c r="J990" s="40"/>
      <c r="M990" s="40"/>
      <c r="P990" s="40"/>
    </row>
    <row r="991" spans="5:16" ht="15.75" customHeight="1" x14ac:dyDescent="0.25">
      <c r="E991" s="40"/>
      <c r="G991" s="40"/>
      <c r="J991" s="40"/>
      <c r="M991" s="40"/>
      <c r="P991" s="40"/>
    </row>
    <row r="992" spans="5:16" ht="15.75" customHeight="1" x14ac:dyDescent="0.25"/>
    <row r="993" ht="15.75" customHeight="1" x14ac:dyDescent="0.25"/>
    <row r="994" ht="15.75" customHeight="1" x14ac:dyDescent="0.25"/>
    <row r="995" ht="15.75" customHeight="1" x14ac:dyDescent="0.25"/>
  </sheetData>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Data_Val!$A$2:$A$4</xm:f>
          </x14:formula1>
          <xm:sqref>P2:P991 M2:M991 J2:J991 E2:E991</xm:sqref>
        </x14:dataValidation>
        <x14:dataValidation type="list" allowBlank="1" showErrorMessage="1" xr:uid="{00000000-0002-0000-0000-000001000000}">
          <x14:formula1>
            <xm:f>Data_Val!$C$2:$C$4</xm:f>
          </x14:formula1>
          <xm:sqref>G2:G991</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7F7F7F"/>
  </sheetPr>
  <dimension ref="A1:Z1001"/>
  <sheetViews>
    <sheetView workbookViewId="0">
      <pane xSplit="2" ySplit="1" topLeftCell="C2" activePane="bottomRight" state="frozen"/>
      <selection pane="topRight" activeCell="C1" sqref="C1"/>
      <selection pane="bottomLeft" activeCell="A2" sqref="A2"/>
      <selection pane="bottomRight" activeCell="C2" sqref="C2"/>
    </sheetView>
  </sheetViews>
  <sheetFormatPr defaultColWidth="12.6328125" defaultRowHeight="15" customHeight="1" x14ac:dyDescent="0.25"/>
  <cols>
    <col min="1" max="1" width="14.7265625" customWidth="1"/>
    <col min="2" max="2" width="23" customWidth="1"/>
    <col min="3" max="3" width="19.90625" customWidth="1"/>
    <col min="4" max="4" width="13.7265625" customWidth="1"/>
    <col min="5" max="5" width="12.26953125" customWidth="1"/>
    <col min="6" max="6" width="18.7265625" customWidth="1"/>
    <col min="7" max="7" width="19.26953125" customWidth="1"/>
    <col min="8" max="8" width="20.7265625" customWidth="1"/>
    <col min="9" max="9" width="15.6328125" customWidth="1"/>
    <col min="10" max="10" width="12.26953125" customWidth="1"/>
    <col min="11" max="11" width="12.6328125" customWidth="1"/>
    <col min="12" max="12" width="23" customWidth="1"/>
    <col min="13" max="13" width="12.26953125" customWidth="1"/>
    <col min="14" max="14" width="12.6328125" customWidth="1"/>
    <col min="15" max="15" width="23" customWidth="1"/>
    <col min="16" max="16" width="12.26953125" customWidth="1"/>
    <col min="17" max="17" width="12.6328125" customWidth="1"/>
    <col min="18" max="26" width="8.6328125" customWidth="1"/>
  </cols>
  <sheetData>
    <row r="1" spans="1:26" ht="56.25" customHeight="1" x14ac:dyDescent="0.25">
      <c r="A1" s="1" t="s">
        <v>0</v>
      </c>
      <c r="B1" s="1" t="s">
        <v>1</v>
      </c>
      <c r="C1" s="1" t="s">
        <v>2</v>
      </c>
      <c r="D1" s="1" t="s">
        <v>3</v>
      </c>
      <c r="E1" s="1" t="s">
        <v>4</v>
      </c>
      <c r="F1" s="1" t="s">
        <v>5</v>
      </c>
      <c r="G1" s="2" t="s">
        <v>6</v>
      </c>
      <c r="H1" s="2" t="s">
        <v>30</v>
      </c>
      <c r="I1" s="3" t="s">
        <v>31</v>
      </c>
      <c r="J1" s="3" t="s">
        <v>32</v>
      </c>
      <c r="K1" s="3" t="s">
        <v>33</v>
      </c>
      <c r="L1" s="4" t="s">
        <v>34</v>
      </c>
      <c r="M1" s="4" t="s">
        <v>12</v>
      </c>
      <c r="N1" s="4" t="s">
        <v>13</v>
      </c>
      <c r="O1" s="5" t="s">
        <v>14</v>
      </c>
      <c r="P1" s="5" t="s">
        <v>15</v>
      </c>
      <c r="Q1" s="41" t="s">
        <v>16</v>
      </c>
      <c r="R1" s="42"/>
      <c r="S1" s="42"/>
      <c r="T1" s="42"/>
      <c r="U1" s="42"/>
      <c r="V1" s="42"/>
      <c r="W1" s="42"/>
      <c r="X1" s="42"/>
      <c r="Y1" s="42"/>
      <c r="Z1" s="42"/>
    </row>
    <row r="2" spans="1:26" ht="12" customHeight="1" x14ac:dyDescent="0.25">
      <c r="A2" s="36" t="e">
        <f>IF(Data!#REF!="","",IF(COUNTIFS(Data!A$1:Data!#REF!,Data!#REF!)&lt;=1,0,1))</f>
        <v>#REF!</v>
      </c>
      <c r="B2" s="36"/>
      <c r="C2" s="36" t="e">
        <f>IF(Data!#REF!="","",(IF(ISNUMBER(MATCH("*@*.?*",Data!#REF!,0)),0,1)+IF(COUNTIFS(Data!C$1:Data!#REF!,Data!#REF!)&gt;1,1,0)))</f>
        <v>#REF!</v>
      </c>
      <c r="D2" s="36" t="e">
        <f>IF(Data!#REF!="","",IF(ISNUMBER(Data!#REF!),IF(AND(Data!#REF!&gt;999999999,Data!#REF!&lt;=9999999999),IF(COUNTIFS(Data!D$1:Data!#REF!,Data!#REF!)&lt;=1,0,1),1),1))</f>
        <v>#REF!</v>
      </c>
      <c r="E2" s="36" t="e">
        <f>IF(Data!#REF!="","",IF(ISNUMBER(MATCH(Data!#REF!,Data_Val!$A$2:$A$3,0)),0,1))</f>
        <v>#REF!</v>
      </c>
      <c r="F2" s="36" t="e">
        <f ca="1">IF(Data!#REF!="","",IF(ISNUMBER(Data!#REF!),IF(AND(Data!#REF!&gt;(TODAY()-(Data_Val!$H$3*365.25)),Data!#REF!&lt;=(TODAY()-(Data_Val!$H$2*365.25))),0,1),1))</f>
        <v>#REF!</v>
      </c>
      <c r="G2" s="12" t="e">
        <f>IF(Data!#REF!="","",IF(AND(Data!#REF!="",Data!#REF!&lt;&gt;""),1,IF(ISNUMBER(MATCH(Data!#REF!,Data_Val!$C$2:$C$5,0)),0,1)))</f>
        <v>#REF!</v>
      </c>
      <c r="H2" s="12" t="e">
        <f>IF(Data!#REF!="","",IF(AND(Data!#REF!&lt;&gt;"",Data!#REF!=""),1,IF(Data!#REF!="",1,IF(ISNUMBER(MATCH(Data!#REF!,Data_Val!$D$2:$D$35,0)),0,1))))</f>
        <v>#REF!</v>
      </c>
      <c r="I2" s="38" t="e">
        <f>IF(Data!#REF!="","",IF(Data!#REF!=Data_Val!$C$2,IF(Data!#REF!="",0,1),0))</f>
        <v>#REF!</v>
      </c>
      <c r="J2" s="38" t="e">
        <f>IF(Data!#REF!="","",IF(ISNUMBER(MATCH(Data!#REF!,Data_Val!$A$2:$A$3,0)),0,1))</f>
        <v>#REF!</v>
      </c>
      <c r="K2" s="38" t="e">
        <f ca="1">IF(Data!#REF!="","",IF(ISNUMBER(Data!#REF!),IF(AND(Data!#REF!&gt;(TODAY()-(Data_Val!$K$3*365.25)),Data!#REF!&lt;=(TODAY()-(Data_Val!$K$2*365.25))),0,1),1))</f>
        <v>#REF!</v>
      </c>
      <c r="L2" s="16" t="e">
        <f>IF(Data!#REF!="","",IF(Data!#REF!=Data_Val!$C$2,IF(Data!#REF!="",0,1),0))</f>
        <v>#REF!</v>
      </c>
      <c r="M2" s="16" t="e">
        <f>IF(Data!#REF!="","",IF(ISNUMBER(MATCH(Data!#REF!,Data_Val!$A$2:$A$3,0)),0,1))</f>
        <v>#REF!</v>
      </c>
      <c r="N2" s="43" t="e">
        <f ca="1">IF(Data!#REF!="","",IF(ISNUMBER(Data!#REF!),IF(AND(Data!#REF!&gt;(TODAY()-(Data_Val!$L$3*365.25)),Data!#REF!&lt;=(TODAY()-(Data_Val!$L$2*365.25))),0,1),1))</f>
        <v>#REF!</v>
      </c>
      <c r="O2" s="18" t="e">
        <f>IF(Data!#REF!="","",IF(Data!#REF!=Data_Val!$C$2,IF(Data!#REF!="",0,1),0))</f>
        <v>#REF!</v>
      </c>
      <c r="P2" s="18" t="e">
        <f>IF(Data!#REF!="","",IF(ISNUMBER(MATCH(Data!#REF!,Data_Val!$A$2:$A$3,0)),0,1))</f>
        <v>#REF!</v>
      </c>
      <c r="Q2" s="44" t="e">
        <f ca="1">IF(Data!#REF!="","",IF(ISNUMBER(Data!#REF!),IF(AND(Data!#REF!&gt;(TODAY()-(Data_Val!$L$3*365.25)),Data!#REF!&lt;=(TODAY()-(Data_Val!$L$2*365.25))),0,1),1))</f>
        <v>#REF!</v>
      </c>
    </row>
    <row r="3" spans="1:26" ht="12" customHeight="1" x14ac:dyDescent="0.25">
      <c r="A3" s="36" t="e">
        <f>IF(Data!#REF!="","",IF(COUNTIFS(Data!A$1:Data!#REF!,Data!#REF!)&lt;=1,0,1))</f>
        <v>#REF!</v>
      </c>
      <c r="B3" s="36"/>
      <c r="C3" s="36" t="e">
        <f>IF(Data!#REF!="","",(IF(ISNUMBER(MATCH("*@*.?*",Data!#REF!,0)),0,1)+IF(COUNTIFS(Data!C$1:Data!#REF!,Data!#REF!)&gt;1,1,0)))</f>
        <v>#REF!</v>
      </c>
      <c r="D3" s="36" t="e">
        <f>IF(Data!#REF!="","",IF(ISNUMBER(Data!#REF!),IF(AND(Data!#REF!&gt;999999999,Data!#REF!&lt;=9999999999),IF(COUNTIFS(Data!D$1:Data!#REF!,Data!#REF!)&lt;=1,0,1),1),1))</f>
        <v>#REF!</v>
      </c>
      <c r="E3" s="36" t="e">
        <f>IF(Data!#REF!="","",IF(ISNUMBER(MATCH(Data!#REF!,Data_Val!$A$2:$A$3,0)),0,1))</f>
        <v>#REF!</v>
      </c>
      <c r="F3" s="36" t="e">
        <f ca="1">IF(Data!#REF!="","",IF(ISNUMBER(Data!#REF!),IF(AND(Data!#REF!&gt;(TODAY()-(Data_Val!$H$3*365.25)),Data!#REF!&lt;=(TODAY()-(Data_Val!$H$2*365.25))),0,1),1))</f>
        <v>#REF!</v>
      </c>
      <c r="G3" s="12" t="e">
        <f>IF(Data!#REF!="","",IF(AND(Data!#REF!="",Data!#REF!&lt;&gt;""),1,IF(ISNUMBER(MATCH(Data!#REF!,Data_Val!$C$2:$C$5,0)),0,1)))</f>
        <v>#REF!</v>
      </c>
      <c r="H3" s="12" t="e">
        <f>IF(Data!#REF!="","",IF(AND(Data!#REF!&lt;&gt;"",Data!#REF!=""),1,IF(Data!#REF!="",1,IF(ISNUMBER(MATCH(Data!#REF!,Data_Val!$D$2:$D$35,0)),0,1))))</f>
        <v>#REF!</v>
      </c>
      <c r="I3" s="38" t="e">
        <f>IF(Data!#REF!="","",IF(Data!#REF!=Data_Val!$C$2,IF(Data!#REF!="",0,1),0))</f>
        <v>#REF!</v>
      </c>
      <c r="J3" s="38" t="e">
        <f>IF(Data!#REF!="","",IF(ISNUMBER(MATCH(Data!#REF!,Data_Val!$A$2:$A$3,0)),0,1))</f>
        <v>#REF!</v>
      </c>
      <c r="K3" s="38" t="e">
        <f ca="1">IF(Data!#REF!="","",IF(ISNUMBER(Data!#REF!),IF(AND(Data!#REF!&gt;(TODAY()-(Data_Val!$K$3*365.25)),Data!#REF!&lt;=(TODAY()-(Data_Val!$K$2*365.25))),0,1),1))</f>
        <v>#REF!</v>
      </c>
      <c r="L3" s="16" t="e">
        <f>IF(Data!#REF!="","",IF(Data!#REF!=Data_Val!$C$2,IF(Data!#REF!="",0,1),0))</f>
        <v>#REF!</v>
      </c>
      <c r="M3" s="16" t="e">
        <f>IF(Data!#REF!="","",IF(ISNUMBER(MATCH(Data!#REF!,Data_Val!$A$2:$A$3,0)),0,1))</f>
        <v>#REF!</v>
      </c>
      <c r="N3" s="43" t="e">
        <f ca="1">IF(Data!#REF!="","",IF(ISNUMBER(Data!#REF!),IF(AND(Data!#REF!&gt;(TODAY()-(Data_Val!$L$3*365.25)),Data!#REF!&lt;=(TODAY()-(Data_Val!$L$2*365.25))),0,1),1))</f>
        <v>#REF!</v>
      </c>
      <c r="O3" s="18" t="e">
        <f>IF(Data!#REF!="","",IF(Data!#REF!=Data_Val!$C$2,IF(Data!#REF!="",0,1),0))</f>
        <v>#REF!</v>
      </c>
      <c r="P3" s="18" t="e">
        <f>IF(Data!#REF!="","",IF(ISNUMBER(MATCH(Data!#REF!,Data_Val!$A$2:$A$3,0)),0,1))</f>
        <v>#REF!</v>
      </c>
      <c r="Q3" s="44" t="e">
        <f ca="1">IF(Data!#REF!="","",IF(ISNUMBER(Data!#REF!),IF(AND(Data!#REF!&gt;(TODAY()-(Data_Val!$L$3*365.25)),Data!#REF!&lt;=(TODAY()-(Data_Val!$L$2*365.25))),0,1),1))</f>
        <v>#REF!</v>
      </c>
    </row>
    <row r="4" spans="1:26" ht="12" customHeight="1" x14ac:dyDescent="0.25">
      <c r="A4" s="36" t="e">
        <f>IF(Data!#REF!="","",IF(COUNTIFS(Data!A$1:Data!#REF!,Data!#REF!)&lt;=1,0,1))</f>
        <v>#REF!</v>
      </c>
      <c r="B4" s="36"/>
      <c r="C4" s="36" t="e">
        <f>IF(Data!#REF!="","",(IF(ISNUMBER(MATCH("*@*.?*",Data!#REF!,0)),0,1)+IF(COUNTIFS(Data!C$1:Data!#REF!,Data!#REF!)&gt;1,1,0)))</f>
        <v>#REF!</v>
      </c>
      <c r="D4" s="36" t="e">
        <f>IF(Data!#REF!="","",IF(ISNUMBER(Data!#REF!),IF(AND(Data!#REF!&gt;999999999,Data!#REF!&lt;=9999999999),IF(COUNTIFS(Data!D$1:Data!#REF!,Data!#REF!)&lt;=1,0,1),1),1))</f>
        <v>#REF!</v>
      </c>
      <c r="E4" s="36" t="e">
        <f>IF(Data!#REF!="","",IF(ISNUMBER(MATCH(Data!#REF!,Data_Val!$A$2:$A$3,0)),0,1))</f>
        <v>#REF!</v>
      </c>
      <c r="F4" s="36" t="e">
        <f ca="1">IF(Data!#REF!="","",IF(ISNUMBER(Data!#REF!),IF(AND(Data!#REF!&gt;(TODAY()-(Data_Val!$H$3*365.25)),Data!#REF!&lt;=(TODAY()-(Data_Val!$H$2*365.25))),0,1),1))</f>
        <v>#REF!</v>
      </c>
      <c r="G4" s="12" t="e">
        <f>IF(Data!#REF!="","",IF(AND(Data!#REF!="",Data!#REF!&lt;&gt;""),1,IF(ISNUMBER(MATCH(Data!#REF!,Data_Val!$C$2:$C$5,0)),0,1)))</f>
        <v>#REF!</v>
      </c>
      <c r="H4" s="12" t="e">
        <f>IF(Data!#REF!="","",IF(AND(Data!#REF!&lt;&gt;"",Data!#REF!=""),1,IF(Data!#REF!="",1,IF(ISNUMBER(MATCH(Data!#REF!,Data_Val!$D$2:$D$35,0)),0,1))))</f>
        <v>#REF!</v>
      </c>
      <c r="I4" s="38" t="e">
        <f>IF(Data!#REF!="","",IF(Data!#REF!=Data_Val!$C$2,IF(Data!#REF!="",0,1),0))</f>
        <v>#REF!</v>
      </c>
      <c r="J4" s="38" t="e">
        <f>IF(Data!#REF!="","",IF(ISNUMBER(MATCH(Data!#REF!,Data_Val!$A$2:$A$3,0)),0,1))</f>
        <v>#REF!</v>
      </c>
      <c r="K4" s="38" t="e">
        <f ca="1">IF(Data!#REF!="","",IF(ISNUMBER(Data!#REF!),IF(AND(Data!#REF!&gt;(TODAY()-(Data_Val!$K$3*365.25)),Data!#REF!&lt;=(TODAY()-(Data_Val!$K$2*365.25))),0,1),1))</f>
        <v>#REF!</v>
      </c>
      <c r="L4" s="16" t="e">
        <f>IF(Data!#REF!="","",IF(Data!#REF!=Data_Val!$C$2,IF(Data!#REF!="",0,1),0))</f>
        <v>#REF!</v>
      </c>
      <c r="M4" s="16" t="e">
        <f>IF(Data!#REF!="","",IF(ISNUMBER(MATCH(Data!#REF!,Data_Val!$A$2:$A$3,0)),0,1))</f>
        <v>#REF!</v>
      </c>
      <c r="N4" s="43" t="e">
        <f ca="1">IF(Data!#REF!="","",IF(ISNUMBER(Data!#REF!),IF(AND(Data!#REF!&gt;(TODAY()-(Data_Val!$L$3*365.25)),Data!#REF!&lt;=(TODAY()-(Data_Val!$L$2*365.25))),0,1),1))</f>
        <v>#REF!</v>
      </c>
      <c r="O4" s="18" t="e">
        <f>IF(Data!#REF!="","",IF(Data!#REF!=Data_Val!$C$2,IF(Data!#REF!="",0,1),0))</f>
        <v>#REF!</v>
      </c>
      <c r="P4" s="18" t="e">
        <f>IF(Data!#REF!="","",IF(ISNUMBER(MATCH(Data!#REF!,Data_Val!$A$2:$A$3,0)),0,1))</f>
        <v>#REF!</v>
      </c>
      <c r="Q4" s="44" t="e">
        <f ca="1">IF(Data!#REF!="","",IF(ISNUMBER(Data!#REF!),IF(AND(Data!#REF!&gt;(TODAY()-(Data_Val!$L$3*365.25)),Data!#REF!&lt;=(TODAY()-(Data_Val!$L$2*365.25))),0,1),1))</f>
        <v>#REF!</v>
      </c>
    </row>
    <row r="5" spans="1:26" ht="12" customHeight="1" x14ac:dyDescent="0.25">
      <c r="A5" s="36" t="e">
        <f>IF(Data!#REF!="","",IF(COUNTIFS(Data!A$1:Data!#REF!,Data!#REF!)&lt;=1,0,1))</f>
        <v>#REF!</v>
      </c>
      <c r="B5" s="36"/>
      <c r="C5" s="36" t="e">
        <f>IF(Data!#REF!="","",(IF(ISNUMBER(MATCH("*@*.?*",Data!#REF!,0)),0,1)+IF(COUNTIFS(Data!C$1:Data!#REF!,Data!#REF!)&gt;1,1,0)))</f>
        <v>#REF!</v>
      </c>
      <c r="D5" s="36" t="e">
        <f>IF(Data!#REF!="","",IF(ISNUMBER(Data!#REF!),IF(AND(Data!#REF!&gt;999999999,Data!#REF!&lt;=9999999999),IF(COUNTIFS(Data!D$1:Data!#REF!,Data!#REF!)&lt;=1,0,1),1),1))</f>
        <v>#REF!</v>
      </c>
      <c r="E5" s="36" t="e">
        <f>IF(Data!#REF!="","",IF(ISNUMBER(MATCH(Data!#REF!,Data_Val!$A$2:$A$3,0)),0,1))</f>
        <v>#REF!</v>
      </c>
      <c r="F5" s="36" t="e">
        <f ca="1">IF(Data!#REF!="","",IF(ISNUMBER(Data!#REF!),IF(AND(Data!#REF!&gt;(TODAY()-(Data_Val!$H$3*365.25)),Data!#REF!&lt;=(TODAY()-(Data_Val!$H$2*365.25))),0,1),1))</f>
        <v>#REF!</v>
      </c>
      <c r="G5" s="12" t="e">
        <f>IF(Data!#REF!="","",IF(AND(Data!#REF!="",Data!#REF!&lt;&gt;""),1,IF(ISNUMBER(MATCH(Data!#REF!,Data_Val!$C$2:$C$5,0)),0,1)))</f>
        <v>#REF!</v>
      </c>
      <c r="H5" s="12" t="e">
        <f>IF(Data!#REF!="","",IF(AND(Data!#REF!&lt;&gt;"",Data!#REF!=""),1,IF(Data!#REF!="",1,IF(ISNUMBER(MATCH(Data!#REF!,Data_Val!$D$2:$D$35,0)),0,1))))</f>
        <v>#REF!</v>
      </c>
      <c r="I5" s="38" t="e">
        <f>IF(Data!#REF!="","",IF(Data!#REF!=Data_Val!$C$2,IF(Data!#REF!="",0,1),0))</f>
        <v>#REF!</v>
      </c>
      <c r="J5" s="38" t="e">
        <f>IF(Data!#REF!="","",IF(ISNUMBER(MATCH(Data!#REF!,Data_Val!$A$2:$A$3,0)),0,1))</f>
        <v>#REF!</v>
      </c>
      <c r="K5" s="38" t="e">
        <f ca="1">IF(Data!#REF!="","",IF(ISNUMBER(Data!#REF!),IF(AND(Data!#REF!&gt;(TODAY()-(Data_Val!$K$3*365.25)),Data!#REF!&lt;=(TODAY()-(Data_Val!$K$2*365.25))),0,1),1))</f>
        <v>#REF!</v>
      </c>
      <c r="L5" s="16" t="e">
        <f>IF(Data!#REF!="","",IF(Data!#REF!=Data_Val!$C$2,IF(Data!#REF!="",0,1),0))</f>
        <v>#REF!</v>
      </c>
      <c r="M5" s="16" t="e">
        <f>IF(Data!#REF!="","",IF(ISNUMBER(MATCH(Data!#REF!,Data_Val!$A$2:$A$3,0)),0,1))</f>
        <v>#REF!</v>
      </c>
      <c r="N5" s="43" t="e">
        <f ca="1">IF(Data!#REF!="","",IF(ISNUMBER(Data!#REF!),IF(AND(Data!#REF!&gt;(TODAY()-(Data_Val!$L$3*365.25)),Data!#REF!&lt;=(TODAY()-(Data_Val!$L$2*365.25))),0,1),1))</f>
        <v>#REF!</v>
      </c>
      <c r="O5" s="18" t="e">
        <f>IF(Data!#REF!="","",IF(Data!#REF!=Data_Val!$C$2,IF(Data!#REF!="",0,1),0))</f>
        <v>#REF!</v>
      </c>
      <c r="P5" s="18" t="e">
        <f>IF(Data!#REF!="","",IF(ISNUMBER(MATCH(Data!#REF!,Data_Val!$A$2:$A$3,0)),0,1))</f>
        <v>#REF!</v>
      </c>
      <c r="Q5" s="44" t="e">
        <f ca="1">IF(Data!#REF!="","",IF(ISNUMBER(Data!#REF!),IF(AND(Data!#REF!&gt;(TODAY()-(Data_Val!$L$3*365.25)),Data!#REF!&lt;=(TODAY()-(Data_Val!$L$2*365.25))),0,1),1))</f>
        <v>#REF!</v>
      </c>
    </row>
    <row r="6" spans="1:26" ht="12" customHeight="1" x14ac:dyDescent="0.25">
      <c r="A6" s="36" t="e">
        <f>IF(Data!#REF!="","",IF(COUNTIFS(Data!A$1:Data!#REF!,Data!#REF!)&lt;=1,0,1))</f>
        <v>#REF!</v>
      </c>
      <c r="B6" s="36"/>
      <c r="C6" s="36" t="e">
        <f>IF(Data!#REF!="","",(IF(ISNUMBER(MATCH("*@*.?*",Data!#REF!,0)),0,1)+IF(COUNTIFS(Data!C$1:Data!#REF!,Data!#REF!)&gt;1,1,0)))</f>
        <v>#REF!</v>
      </c>
      <c r="D6" s="36" t="e">
        <f>IF(Data!#REF!="","",IF(ISNUMBER(Data!#REF!),IF(AND(Data!#REF!&gt;999999999,Data!#REF!&lt;=9999999999),IF(COUNTIFS(Data!D$1:Data!#REF!,Data!#REF!)&lt;=1,0,1),1),1))</f>
        <v>#REF!</v>
      </c>
      <c r="E6" s="36" t="e">
        <f>IF(Data!#REF!="","",IF(ISNUMBER(MATCH(Data!#REF!,Data_Val!$A$2:$A$3,0)),0,1))</f>
        <v>#REF!</v>
      </c>
      <c r="F6" s="36" t="e">
        <f ca="1">IF(Data!#REF!="","",IF(ISNUMBER(Data!#REF!),IF(AND(Data!#REF!&gt;(TODAY()-(Data_Val!$H$3*365.25)),Data!#REF!&lt;=(TODAY()-(Data_Val!$H$2*365.25))),0,1),1))</f>
        <v>#REF!</v>
      </c>
      <c r="G6" s="12" t="e">
        <f>IF(Data!#REF!="","",IF(AND(Data!#REF!="",Data!#REF!&lt;&gt;""),1,IF(ISNUMBER(MATCH(Data!#REF!,Data_Val!$C$2:$C$5,0)),0,1)))</f>
        <v>#REF!</v>
      </c>
      <c r="H6" s="12" t="e">
        <f>IF(Data!#REF!="","",IF(AND(Data!#REF!&lt;&gt;"",Data!#REF!=""),1,IF(Data!#REF!="",1,IF(ISNUMBER(MATCH(Data!#REF!,Data_Val!$D$2:$D$35,0)),0,1))))</f>
        <v>#REF!</v>
      </c>
      <c r="I6" s="38" t="e">
        <f>IF(Data!#REF!="","",IF(Data!#REF!=Data_Val!$C$2,IF(Data!#REF!="",0,1),0))</f>
        <v>#REF!</v>
      </c>
      <c r="J6" s="38" t="e">
        <f>IF(Data!#REF!="","",IF(ISNUMBER(MATCH(Data!#REF!,Data_Val!$A$2:$A$3,0)),0,1))</f>
        <v>#REF!</v>
      </c>
      <c r="K6" s="38" t="e">
        <f ca="1">IF(Data!#REF!="","",IF(ISNUMBER(Data!#REF!),IF(AND(Data!#REF!&gt;(TODAY()-(Data_Val!$K$3*365.25)),Data!#REF!&lt;=(TODAY()-(Data_Val!$K$2*365.25))),0,1),1))</f>
        <v>#REF!</v>
      </c>
      <c r="L6" s="16" t="e">
        <f>IF(Data!#REF!="","",IF(Data!#REF!=Data_Val!$C$2,IF(Data!#REF!="",0,1),0))</f>
        <v>#REF!</v>
      </c>
      <c r="M6" s="16" t="e">
        <f>IF(Data!#REF!="","",IF(ISNUMBER(MATCH(Data!#REF!,Data_Val!$A$2:$A$3,0)),0,1))</f>
        <v>#REF!</v>
      </c>
      <c r="N6" s="43" t="e">
        <f ca="1">IF(Data!#REF!="","",IF(ISNUMBER(Data!#REF!),IF(AND(Data!#REF!&gt;(TODAY()-(Data_Val!$L$3*365.25)),Data!#REF!&lt;=(TODAY()-(Data_Val!$L$2*365.25))),0,1),1))</f>
        <v>#REF!</v>
      </c>
      <c r="O6" s="18" t="e">
        <f>IF(Data!#REF!="","",IF(Data!#REF!=Data_Val!$C$2,IF(Data!#REF!="",0,1),0))</f>
        <v>#REF!</v>
      </c>
      <c r="P6" s="18" t="e">
        <f>IF(Data!#REF!="","",IF(ISNUMBER(MATCH(Data!#REF!,Data_Val!$A$2:$A$3,0)),0,1))</f>
        <v>#REF!</v>
      </c>
      <c r="Q6" s="44" t="e">
        <f ca="1">IF(Data!#REF!="","",IF(ISNUMBER(Data!#REF!),IF(AND(Data!#REF!&gt;(TODAY()-(Data_Val!$L$3*365.25)),Data!#REF!&lt;=(TODAY()-(Data_Val!$L$2*365.25))),0,1),1))</f>
        <v>#REF!</v>
      </c>
    </row>
    <row r="7" spans="1:26" ht="12" customHeight="1" x14ac:dyDescent="0.25">
      <c r="A7" s="36" t="e">
        <f>IF(Data!#REF!="","",IF(COUNTIFS(Data!A$1:Data!#REF!,Data!#REF!)&lt;=1,0,1))</f>
        <v>#REF!</v>
      </c>
      <c r="B7" s="36"/>
      <c r="C7" s="36" t="e">
        <f>IF(Data!#REF!="","",(IF(ISNUMBER(MATCH("*@*.?*",Data!#REF!,0)),0,1)+IF(COUNTIFS(Data!C$1:Data!#REF!,Data!#REF!)&gt;1,1,0)))</f>
        <v>#REF!</v>
      </c>
      <c r="D7" s="36" t="e">
        <f>IF(Data!#REF!="","",IF(ISNUMBER(Data!#REF!),IF(AND(Data!#REF!&gt;999999999,Data!#REF!&lt;=9999999999),IF(COUNTIFS(Data!D$1:Data!#REF!,Data!#REF!)&lt;=1,0,1),1),1))</f>
        <v>#REF!</v>
      </c>
      <c r="E7" s="36" t="e">
        <f>IF(Data!#REF!="","",IF(ISNUMBER(MATCH(Data!#REF!,Data_Val!$A$2:$A$3,0)),0,1))</f>
        <v>#REF!</v>
      </c>
      <c r="F7" s="36" t="e">
        <f ca="1">IF(Data!#REF!="","",IF(ISNUMBER(Data!#REF!),IF(AND(Data!#REF!&gt;(TODAY()-(Data_Val!$H$3*365.25)),Data!#REF!&lt;=(TODAY()-(Data_Val!$H$2*365.25))),0,1),1))</f>
        <v>#REF!</v>
      </c>
      <c r="G7" s="12" t="e">
        <f>IF(Data!#REF!="","",IF(AND(Data!#REF!="",Data!#REF!&lt;&gt;""),1,IF(ISNUMBER(MATCH(Data!#REF!,Data_Val!$C$2:$C$5,0)),0,1)))</f>
        <v>#REF!</v>
      </c>
      <c r="H7" s="12" t="e">
        <f>IF(Data!#REF!="","",IF(AND(Data!#REF!&lt;&gt;"",Data!#REF!=""),1,IF(Data!#REF!="",1,IF(ISNUMBER(MATCH(Data!#REF!,Data_Val!$D$2:$D$35,0)),0,1))))</f>
        <v>#REF!</v>
      </c>
      <c r="I7" s="38" t="e">
        <f>IF(Data!#REF!="","",IF(Data!#REF!=Data_Val!$C$2,IF(Data!#REF!="",0,1),0))</f>
        <v>#REF!</v>
      </c>
      <c r="J7" s="38" t="e">
        <f>IF(Data!#REF!="","",IF(ISNUMBER(MATCH(Data!#REF!,Data_Val!$A$2:$A$3,0)),0,1))</f>
        <v>#REF!</v>
      </c>
      <c r="K7" s="38" t="e">
        <f ca="1">IF(Data!#REF!="","",IF(ISNUMBER(Data!#REF!),IF(AND(Data!#REF!&gt;(TODAY()-(Data_Val!$K$3*365.25)),Data!#REF!&lt;=(TODAY()-(Data_Val!$K$2*365.25))),0,1),1))</f>
        <v>#REF!</v>
      </c>
      <c r="L7" s="16" t="e">
        <f>IF(Data!#REF!="","",IF(Data!#REF!=Data_Val!$C$2,IF(Data!#REF!="",0,1),0))</f>
        <v>#REF!</v>
      </c>
      <c r="M7" s="16" t="e">
        <f>IF(Data!#REF!="","",IF(ISNUMBER(MATCH(Data!#REF!,Data_Val!$A$2:$A$3,0)),0,1))</f>
        <v>#REF!</v>
      </c>
      <c r="N7" s="43" t="e">
        <f ca="1">IF(Data!#REF!="","",IF(ISNUMBER(Data!#REF!),IF(AND(Data!#REF!&gt;(TODAY()-(Data_Val!$L$3*365.25)),Data!#REF!&lt;=(TODAY()-(Data_Val!$L$2*365.25))),0,1),1))</f>
        <v>#REF!</v>
      </c>
      <c r="O7" s="18" t="e">
        <f>IF(Data!#REF!="","",IF(Data!#REF!=Data_Val!$C$2,IF(Data!#REF!="",0,1),0))</f>
        <v>#REF!</v>
      </c>
      <c r="P7" s="18" t="e">
        <f>IF(Data!#REF!="","",IF(ISNUMBER(MATCH(Data!#REF!,Data_Val!$A$2:$A$3,0)),0,1))</f>
        <v>#REF!</v>
      </c>
      <c r="Q7" s="44" t="e">
        <f ca="1">IF(Data!#REF!="","",IF(ISNUMBER(Data!#REF!),IF(AND(Data!#REF!&gt;(TODAY()-(Data_Val!$L$3*365.25)),Data!#REF!&lt;=(TODAY()-(Data_Val!$L$2*365.25))),0,1),1))</f>
        <v>#REF!</v>
      </c>
    </row>
    <row r="8" spans="1:26" ht="12" customHeight="1" x14ac:dyDescent="0.25">
      <c r="A8" s="36" t="e">
        <f>IF(Data!#REF!="","",IF(COUNTIFS(Data!A$1:Data!#REF!,Data!#REF!)&lt;=1,0,1))</f>
        <v>#REF!</v>
      </c>
      <c r="B8" s="36"/>
      <c r="C8" s="36" t="e">
        <f>IF(Data!#REF!="","",(IF(ISNUMBER(MATCH("*@*.?*",Data!#REF!,0)),0,1)+IF(COUNTIFS(Data!C$1:Data!#REF!,Data!#REF!)&gt;1,1,0)))</f>
        <v>#REF!</v>
      </c>
      <c r="D8" s="36" t="e">
        <f>IF(Data!#REF!="","",IF(ISNUMBER(Data!#REF!),IF(AND(Data!#REF!&gt;999999999,Data!#REF!&lt;=9999999999),IF(COUNTIFS(Data!D$1:Data!#REF!,Data!#REF!)&lt;=1,0,1),1),1))</f>
        <v>#REF!</v>
      </c>
      <c r="E8" s="36" t="e">
        <f>IF(Data!#REF!="","",IF(ISNUMBER(MATCH(Data!#REF!,Data_Val!$A$2:$A$3,0)),0,1))</f>
        <v>#REF!</v>
      </c>
      <c r="F8" s="36" t="e">
        <f ca="1">IF(Data!#REF!="","",IF(ISNUMBER(Data!#REF!),IF(AND(Data!#REF!&gt;(TODAY()-(Data_Val!$H$3*365.25)),Data!#REF!&lt;=(TODAY()-(Data_Val!$H$2*365.25))),0,1),1))</f>
        <v>#REF!</v>
      </c>
      <c r="G8" s="12" t="e">
        <f>IF(Data!#REF!="","",IF(AND(Data!#REF!="",Data!#REF!&lt;&gt;""),1,IF(ISNUMBER(MATCH(Data!#REF!,Data_Val!$C$2:$C$5,0)),0,1)))</f>
        <v>#REF!</v>
      </c>
      <c r="H8" s="12" t="e">
        <f>IF(Data!#REF!="","",IF(AND(Data!#REF!&lt;&gt;"",Data!#REF!=""),1,IF(Data!#REF!="",1,IF(ISNUMBER(MATCH(Data!#REF!,Data_Val!$D$2:$D$35,0)),0,1))))</f>
        <v>#REF!</v>
      </c>
      <c r="I8" s="38" t="e">
        <f>IF(Data!#REF!="","",IF(Data!#REF!=Data_Val!$C$2,IF(Data!#REF!="",0,1),0))</f>
        <v>#REF!</v>
      </c>
      <c r="J8" s="38" t="e">
        <f>IF(Data!#REF!="","",IF(ISNUMBER(MATCH(Data!#REF!,Data_Val!$A$2:$A$3,0)),0,1))</f>
        <v>#REF!</v>
      </c>
      <c r="K8" s="38" t="e">
        <f ca="1">IF(Data!#REF!="","",IF(ISNUMBER(Data!#REF!),IF(AND(Data!#REF!&gt;(TODAY()-(Data_Val!$K$3*365.25)),Data!#REF!&lt;=(TODAY()-(Data_Val!$K$2*365.25))),0,1),1))</f>
        <v>#REF!</v>
      </c>
      <c r="L8" s="16" t="e">
        <f>IF(Data!#REF!="","",IF(Data!#REF!=Data_Val!$C$2,IF(Data!#REF!="",0,1),0))</f>
        <v>#REF!</v>
      </c>
      <c r="M8" s="16" t="e">
        <f>IF(Data!#REF!="","",IF(ISNUMBER(MATCH(Data!#REF!,Data_Val!$A$2:$A$3,0)),0,1))</f>
        <v>#REF!</v>
      </c>
      <c r="N8" s="43" t="e">
        <f ca="1">IF(Data!#REF!="","",IF(ISNUMBER(Data!#REF!),IF(AND(Data!#REF!&gt;(TODAY()-(Data_Val!$L$3*365.25)),Data!#REF!&lt;=(TODAY()-(Data_Val!$L$2*365.25))),0,1),1))</f>
        <v>#REF!</v>
      </c>
      <c r="O8" s="18" t="e">
        <f>IF(Data!#REF!="","",IF(Data!#REF!=Data_Val!$C$2,IF(Data!#REF!="",0,1),0))</f>
        <v>#REF!</v>
      </c>
      <c r="P8" s="18" t="e">
        <f>IF(Data!#REF!="","",IF(ISNUMBER(MATCH(Data!#REF!,Data_Val!$A$2:$A$3,0)),0,1))</f>
        <v>#REF!</v>
      </c>
      <c r="Q8" s="44" t="e">
        <f ca="1">IF(Data!#REF!="","",IF(ISNUMBER(Data!#REF!),IF(AND(Data!#REF!&gt;(TODAY()-(Data_Val!$L$3*365.25)),Data!#REF!&lt;=(TODAY()-(Data_Val!$L$2*365.25))),0,1),1))</f>
        <v>#REF!</v>
      </c>
    </row>
    <row r="9" spans="1:26" ht="12" customHeight="1" x14ac:dyDescent="0.25">
      <c r="A9" s="36" t="e">
        <f>IF(Data!#REF!="","",IF(COUNTIFS(Data!A$1:Data!#REF!,Data!#REF!)&lt;=1,0,1))</f>
        <v>#REF!</v>
      </c>
      <c r="B9" s="36"/>
      <c r="C9" s="36" t="e">
        <f>IF(Data!#REF!="","",(IF(ISNUMBER(MATCH("*@*.?*",Data!#REF!,0)),0,1)+IF(COUNTIFS(Data!C$1:Data!#REF!,Data!#REF!)&gt;1,1,0)))</f>
        <v>#REF!</v>
      </c>
      <c r="D9" s="36" t="e">
        <f>IF(Data!#REF!="","",IF(ISNUMBER(Data!#REF!),IF(AND(Data!#REF!&gt;999999999,Data!#REF!&lt;=9999999999),IF(COUNTIFS(Data!D$1:Data!#REF!,Data!#REF!)&lt;=1,0,1),1),1))</f>
        <v>#REF!</v>
      </c>
      <c r="E9" s="36" t="e">
        <f>IF(Data!#REF!="","",IF(ISNUMBER(MATCH(Data!#REF!,Data_Val!$A$2:$A$3,0)),0,1))</f>
        <v>#REF!</v>
      </c>
      <c r="F9" s="36" t="e">
        <f ca="1">IF(Data!#REF!="","",IF(ISNUMBER(Data!#REF!),IF(AND(Data!#REF!&gt;(TODAY()-(Data_Val!$H$3*365.25)),Data!#REF!&lt;=(TODAY()-(Data_Val!$H$2*365.25))),0,1),1))</f>
        <v>#REF!</v>
      </c>
      <c r="G9" s="12" t="e">
        <f>IF(Data!#REF!="","",IF(AND(Data!#REF!="",Data!#REF!&lt;&gt;""),1,IF(ISNUMBER(MATCH(Data!#REF!,Data_Val!$C$2:$C$5,0)),0,1)))</f>
        <v>#REF!</v>
      </c>
      <c r="H9" s="12" t="e">
        <f>IF(Data!#REF!="","",IF(AND(Data!#REF!&lt;&gt;"",Data!#REF!=""),1,IF(Data!#REF!="",1,IF(ISNUMBER(MATCH(Data!#REF!,Data_Val!$D$2:$D$35,0)),0,1))))</f>
        <v>#REF!</v>
      </c>
      <c r="I9" s="38" t="e">
        <f>IF(Data!#REF!="","",IF(Data!#REF!=Data_Val!$C$2,IF(Data!#REF!="",0,1),0))</f>
        <v>#REF!</v>
      </c>
      <c r="J9" s="38" t="e">
        <f>IF(Data!#REF!="","",IF(ISNUMBER(MATCH(Data!#REF!,Data_Val!$A$2:$A$3,0)),0,1))</f>
        <v>#REF!</v>
      </c>
      <c r="K9" s="38" t="e">
        <f ca="1">IF(Data!#REF!="","",IF(ISNUMBER(Data!#REF!),IF(AND(Data!#REF!&gt;(TODAY()-(Data_Val!$K$3*365.25)),Data!#REF!&lt;=(TODAY()-(Data_Val!$K$2*365.25))),0,1),1))</f>
        <v>#REF!</v>
      </c>
      <c r="L9" s="16" t="e">
        <f>IF(Data!#REF!="","",IF(Data!#REF!=Data_Val!$C$2,IF(Data!#REF!="",0,1),0))</f>
        <v>#REF!</v>
      </c>
      <c r="M9" s="16" t="e">
        <f>IF(Data!#REF!="","",IF(ISNUMBER(MATCH(Data!#REF!,Data_Val!$A$2:$A$3,0)),0,1))</f>
        <v>#REF!</v>
      </c>
      <c r="N9" s="43" t="e">
        <f ca="1">IF(Data!#REF!="","",IF(ISNUMBER(Data!#REF!),IF(AND(Data!#REF!&gt;(TODAY()-(Data_Val!$L$3*365.25)),Data!#REF!&lt;=(TODAY()-(Data_Val!$L$2*365.25))),0,1),1))</f>
        <v>#REF!</v>
      </c>
      <c r="O9" s="18" t="e">
        <f>IF(Data!#REF!="","",IF(Data!#REF!=Data_Val!$C$2,IF(Data!#REF!="",0,1),0))</f>
        <v>#REF!</v>
      </c>
      <c r="P9" s="18" t="e">
        <f>IF(Data!#REF!="","",IF(ISNUMBER(MATCH(Data!#REF!,Data_Val!$A$2:$A$3,0)),0,1))</f>
        <v>#REF!</v>
      </c>
      <c r="Q9" s="44" t="e">
        <f ca="1">IF(Data!#REF!="","",IF(ISNUMBER(Data!#REF!),IF(AND(Data!#REF!&gt;(TODAY()-(Data_Val!$L$3*365.25)),Data!#REF!&lt;=(TODAY()-(Data_Val!$L$2*365.25))),0,1),1))</f>
        <v>#REF!</v>
      </c>
    </row>
    <row r="10" spans="1:26" ht="12" customHeight="1" x14ac:dyDescent="0.25">
      <c r="A10" s="36" t="e">
        <f>IF(Data!#REF!="","",IF(COUNTIFS(Data!A$1:Data!#REF!,Data!#REF!)&lt;=1,0,1))</f>
        <v>#REF!</v>
      </c>
      <c r="B10" s="36"/>
      <c r="C10" s="36" t="e">
        <f>IF(Data!#REF!="","",(IF(ISNUMBER(MATCH("*@*.?*",Data!#REF!,0)),0,1)+IF(COUNTIFS(Data!C$1:Data!#REF!,Data!#REF!)&gt;1,1,0)))</f>
        <v>#REF!</v>
      </c>
      <c r="D10" s="36" t="e">
        <f>IF(Data!#REF!="","",IF(ISNUMBER(Data!#REF!),IF(AND(Data!#REF!&gt;999999999,Data!#REF!&lt;=9999999999),IF(COUNTIFS(Data!D$1:Data!#REF!,Data!#REF!)&lt;=1,0,1),1),1))</f>
        <v>#REF!</v>
      </c>
      <c r="E10" s="36" t="e">
        <f>IF(Data!#REF!="","",IF(ISNUMBER(MATCH(Data!#REF!,Data_Val!$A$2:$A$3,0)),0,1))</f>
        <v>#REF!</v>
      </c>
      <c r="F10" s="36" t="e">
        <f ca="1">IF(Data!#REF!="","",IF(ISNUMBER(Data!#REF!),IF(AND(Data!#REF!&gt;(TODAY()-(Data_Val!$H$3*365.25)),Data!#REF!&lt;=(TODAY()-(Data_Val!$H$2*365.25))),0,1),1))</f>
        <v>#REF!</v>
      </c>
      <c r="G10" s="12" t="e">
        <f>IF(Data!#REF!="","",IF(AND(Data!#REF!="",Data!#REF!&lt;&gt;""),1,IF(ISNUMBER(MATCH(Data!#REF!,Data_Val!$C$2:$C$5,0)),0,1)))</f>
        <v>#REF!</v>
      </c>
      <c r="H10" s="12" t="e">
        <f>IF(Data!#REF!="","",IF(AND(Data!#REF!&lt;&gt;"",Data!#REF!=""),1,IF(Data!#REF!="",1,IF(ISNUMBER(MATCH(Data!#REF!,Data_Val!$D$2:$D$35,0)),0,1))))</f>
        <v>#REF!</v>
      </c>
      <c r="I10" s="38" t="e">
        <f>IF(Data!#REF!="","",IF(Data!#REF!=Data_Val!$C$2,IF(Data!#REF!="",0,1),0))</f>
        <v>#REF!</v>
      </c>
      <c r="J10" s="38" t="e">
        <f>IF(Data!#REF!="","",IF(ISNUMBER(MATCH(Data!#REF!,Data_Val!$A$2:$A$3,0)),0,1))</f>
        <v>#REF!</v>
      </c>
      <c r="K10" s="38" t="e">
        <f ca="1">IF(Data!#REF!="","",IF(ISNUMBER(Data!#REF!),IF(AND(Data!#REF!&gt;(TODAY()-(Data_Val!$K$3*365.25)),Data!#REF!&lt;=(TODAY()-(Data_Val!$K$2*365.25))),0,1),1))</f>
        <v>#REF!</v>
      </c>
      <c r="L10" s="16" t="e">
        <f>IF(Data!#REF!="","",IF(Data!#REF!=Data_Val!$C$2,IF(Data!#REF!="",0,1),0))</f>
        <v>#REF!</v>
      </c>
      <c r="M10" s="16" t="e">
        <f>IF(Data!#REF!="","",IF(ISNUMBER(MATCH(Data!#REF!,Data_Val!$A$2:$A$3,0)),0,1))</f>
        <v>#REF!</v>
      </c>
      <c r="N10" s="43" t="e">
        <f ca="1">IF(Data!#REF!="","",IF(ISNUMBER(Data!#REF!),IF(AND(Data!#REF!&gt;(TODAY()-(Data_Val!$L$3*365.25)),Data!#REF!&lt;=(TODAY()-(Data_Val!$L$2*365.25))),0,1),1))</f>
        <v>#REF!</v>
      </c>
      <c r="O10" s="18" t="e">
        <f>IF(Data!#REF!="","",IF(Data!#REF!=Data_Val!$C$2,IF(Data!#REF!="",0,1),0))</f>
        <v>#REF!</v>
      </c>
      <c r="P10" s="18" t="e">
        <f>IF(Data!#REF!="","",IF(ISNUMBER(MATCH(Data!#REF!,Data_Val!$A$2:$A$3,0)),0,1))</f>
        <v>#REF!</v>
      </c>
      <c r="Q10" s="44" t="e">
        <f ca="1">IF(Data!#REF!="","",IF(ISNUMBER(Data!#REF!),IF(AND(Data!#REF!&gt;(TODAY()-(Data_Val!$L$3*365.25)),Data!#REF!&lt;=(TODAY()-(Data_Val!$L$2*365.25))),0,1),1))</f>
        <v>#REF!</v>
      </c>
    </row>
    <row r="11" spans="1:26" ht="12" customHeight="1" x14ac:dyDescent="0.25">
      <c r="A11" s="36" t="e">
        <f>IF(Data!#REF!="","",IF(COUNTIFS(Data!A$1:Data!#REF!,Data!#REF!)&lt;=1,0,1))</f>
        <v>#REF!</v>
      </c>
      <c r="B11" s="36"/>
      <c r="C11" s="36" t="e">
        <f>IF(Data!#REF!="","",(IF(ISNUMBER(MATCH("*@*.?*",Data!#REF!,0)),0,1)+IF(COUNTIFS(Data!C$1:Data!#REF!,Data!#REF!)&gt;1,1,0)))</f>
        <v>#REF!</v>
      </c>
      <c r="D11" s="36" t="e">
        <f>IF(Data!#REF!="","",IF(ISNUMBER(Data!#REF!),IF(AND(Data!#REF!&gt;999999999,Data!#REF!&lt;=9999999999),IF(COUNTIFS(Data!D$1:Data!#REF!,Data!#REF!)&lt;=1,0,1),1),1))</f>
        <v>#REF!</v>
      </c>
      <c r="E11" s="36" t="e">
        <f>IF(Data!#REF!="","",IF(ISNUMBER(MATCH(Data!#REF!,Data_Val!$A$2:$A$3,0)),0,1))</f>
        <v>#REF!</v>
      </c>
      <c r="F11" s="36" t="e">
        <f ca="1">IF(Data!#REF!="","",IF(ISNUMBER(Data!#REF!),IF(AND(Data!#REF!&gt;(TODAY()-(Data_Val!$H$3*365.25)),Data!#REF!&lt;=(TODAY()-(Data_Val!$H$2*365.25))),0,1),1))</f>
        <v>#REF!</v>
      </c>
      <c r="G11" s="12" t="e">
        <f>IF(Data!#REF!="","",IF(AND(Data!#REF!="",Data!#REF!&lt;&gt;""),1,IF(ISNUMBER(MATCH(Data!#REF!,Data_Val!$C$2:$C$5,0)),0,1)))</f>
        <v>#REF!</v>
      </c>
      <c r="H11" s="12" t="e">
        <f>IF(Data!#REF!="","",IF(AND(Data!#REF!&lt;&gt;"",Data!#REF!=""),1,IF(Data!#REF!="",1,IF(ISNUMBER(MATCH(Data!#REF!,Data_Val!$D$2:$D$35,0)),0,1))))</f>
        <v>#REF!</v>
      </c>
      <c r="I11" s="38" t="e">
        <f>IF(Data!#REF!="","",IF(Data!#REF!=Data_Val!$C$2,IF(Data!#REF!="",0,1),0))</f>
        <v>#REF!</v>
      </c>
      <c r="J11" s="38" t="e">
        <f>IF(Data!#REF!="","",IF(ISNUMBER(MATCH(Data!#REF!,Data_Val!$A$2:$A$3,0)),0,1))</f>
        <v>#REF!</v>
      </c>
      <c r="K11" s="38" t="e">
        <f ca="1">IF(Data!#REF!="","",IF(ISNUMBER(Data!#REF!),IF(AND(Data!#REF!&gt;(TODAY()-(Data_Val!$K$3*365.25)),Data!#REF!&lt;=(TODAY()-(Data_Val!$K$2*365.25))),0,1),1))</f>
        <v>#REF!</v>
      </c>
      <c r="L11" s="16" t="e">
        <f>IF(Data!#REF!="","",IF(Data!#REF!=Data_Val!$C$2,IF(Data!#REF!="",0,1),0))</f>
        <v>#REF!</v>
      </c>
      <c r="M11" s="16" t="e">
        <f>IF(Data!#REF!="","",IF(ISNUMBER(MATCH(Data!#REF!,Data_Val!$A$2:$A$3,0)),0,1))</f>
        <v>#REF!</v>
      </c>
      <c r="N11" s="43" t="e">
        <f ca="1">IF(Data!#REF!="","",IF(ISNUMBER(Data!#REF!),IF(AND(Data!#REF!&gt;(TODAY()-(Data_Val!$L$3*365.25)),Data!#REF!&lt;=(TODAY()-(Data_Val!$L$2*365.25))),0,1),1))</f>
        <v>#REF!</v>
      </c>
      <c r="O11" s="18" t="e">
        <f>IF(Data!#REF!="","",IF(Data!#REF!=Data_Val!$C$2,IF(Data!#REF!="",0,1),0))</f>
        <v>#REF!</v>
      </c>
      <c r="P11" s="18" t="e">
        <f>IF(Data!#REF!="","",IF(ISNUMBER(MATCH(Data!#REF!,Data_Val!$A$2:$A$3,0)),0,1))</f>
        <v>#REF!</v>
      </c>
      <c r="Q11" s="44" t="e">
        <f ca="1">IF(Data!#REF!="","",IF(ISNUMBER(Data!#REF!),IF(AND(Data!#REF!&gt;(TODAY()-(Data_Val!$L$3*365.25)),Data!#REF!&lt;=(TODAY()-(Data_Val!$L$2*365.25))),0,1),1))</f>
        <v>#REF!</v>
      </c>
    </row>
    <row r="12" spans="1:26" ht="12" customHeight="1" x14ac:dyDescent="0.25">
      <c r="A12" s="36" t="e">
        <f>IF(Data!#REF!="","",IF(COUNTIFS(Data!A$1:Data!#REF!,Data!#REF!)&lt;=1,0,1))</f>
        <v>#REF!</v>
      </c>
      <c r="B12" s="36"/>
      <c r="C12" s="36" t="e">
        <f>IF(Data!#REF!="","",(IF(ISNUMBER(MATCH("*@*.?*",Data!#REF!,0)),0,1)+IF(COUNTIFS(Data!C$1:Data!#REF!,Data!#REF!)&gt;1,1,0)))</f>
        <v>#REF!</v>
      </c>
      <c r="D12" s="36" t="e">
        <f>IF(Data!#REF!="","",IF(ISNUMBER(Data!#REF!),IF(AND(Data!#REF!&gt;999999999,Data!#REF!&lt;=9999999999),IF(COUNTIFS(Data!D$1:Data!#REF!,Data!#REF!)&lt;=1,0,1),1),1))</f>
        <v>#REF!</v>
      </c>
      <c r="E12" s="36" t="e">
        <f>IF(Data!#REF!="","",IF(ISNUMBER(MATCH(Data!#REF!,Data_Val!$A$2:$A$3,0)),0,1))</f>
        <v>#REF!</v>
      </c>
      <c r="F12" s="36" t="e">
        <f ca="1">IF(Data!#REF!="","",IF(ISNUMBER(Data!#REF!),IF(AND(Data!#REF!&gt;(TODAY()-(Data_Val!$H$3*365.25)),Data!#REF!&lt;=(TODAY()-(Data_Val!$H$2*365.25))),0,1),1))</f>
        <v>#REF!</v>
      </c>
      <c r="G12" s="12" t="e">
        <f>IF(Data!#REF!="","",IF(AND(Data!#REF!="",Data!#REF!&lt;&gt;""),1,IF(ISNUMBER(MATCH(Data!#REF!,Data_Val!$C$2:$C$5,0)),0,1)))</f>
        <v>#REF!</v>
      </c>
      <c r="H12" s="12" t="e">
        <f>IF(Data!#REF!="","",IF(AND(Data!#REF!&lt;&gt;"",Data!#REF!=""),1,IF(Data!#REF!="",1,IF(ISNUMBER(MATCH(Data!#REF!,Data_Val!$D$2:$D$35,0)),0,1))))</f>
        <v>#REF!</v>
      </c>
      <c r="I12" s="38" t="e">
        <f>IF(Data!#REF!="","",IF(Data!#REF!=Data_Val!$C$2,IF(Data!#REF!="",0,1),0))</f>
        <v>#REF!</v>
      </c>
      <c r="J12" s="38" t="e">
        <f>IF(Data!#REF!="","",IF(ISNUMBER(MATCH(Data!#REF!,Data_Val!$A$2:$A$3,0)),0,1))</f>
        <v>#REF!</v>
      </c>
      <c r="K12" s="38" t="e">
        <f ca="1">IF(Data!#REF!="","",IF(ISNUMBER(Data!#REF!),IF(AND(Data!#REF!&gt;(TODAY()-(Data_Val!$K$3*365.25)),Data!#REF!&lt;=(TODAY()-(Data_Val!$K$2*365.25))),0,1),1))</f>
        <v>#REF!</v>
      </c>
      <c r="L12" s="16" t="e">
        <f>IF(Data!#REF!="","",IF(Data!#REF!=Data_Val!$C$2,IF(Data!#REF!="",0,1),0))</f>
        <v>#REF!</v>
      </c>
      <c r="M12" s="16" t="e">
        <f>IF(Data!#REF!="","",IF(ISNUMBER(MATCH(Data!#REF!,Data_Val!$A$2:$A$3,0)),0,1))</f>
        <v>#REF!</v>
      </c>
      <c r="N12" s="43" t="e">
        <f ca="1">IF(Data!#REF!="","",IF(ISNUMBER(Data!#REF!),IF(AND(Data!#REF!&gt;(TODAY()-(Data_Val!$L$3*365.25)),Data!#REF!&lt;=(TODAY()-(Data_Val!$L$2*365.25))),0,1),1))</f>
        <v>#REF!</v>
      </c>
      <c r="O12" s="18" t="e">
        <f>IF(Data!#REF!="","",IF(Data!#REF!=Data_Val!$C$2,IF(Data!#REF!="",0,1),0))</f>
        <v>#REF!</v>
      </c>
      <c r="P12" s="18" t="e">
        <f>IF(Data!#REF!="","",IF(ISNUMBER(MATCH(Data!#REF!,Data_Val!$A$2:$A$3,0)),0,1))</f>
        <v>#REF!</v>
      </c>
      <c r="Q12" s="44" t="e">
        <f ca="1">IF(Data!#REF!="","",IF(ISNUMBER(Data!#REF!),IF(AND(Data!#REF!&gt;(TODAY()-(Data_Val!$L$3*365.25)),Data!#REF!&lt;=(TODAY()-(Data_Val!$L$2*365.25))),0,1),1))</f>
        <v>#REF!</v>
      </c>
    </row>
    <row r="13" spans="1:26" ht="12" customHeight="1" x14ac:dyDescent="0.25">
      <c r="A13" s="36">
        <f>IF(Data!B5="","",IF(COUNTIFS(Data!A$1:'Data'!A7,Data!A7)&lt;=1,0,1))</f>
        <v>0</v>
      </c>
      <c r="B13" s="36"/>
      <c r="C13" s="36">
        <f>IF(Data!C2="","",(IF(ISNUMBER(MATCH("*@*.?*",Data!C2,0)),0,1)+IF(COUNTIFS(Data!C$1:'Data'!C2,Data!C2)&gt;1,1,0)))</f>
        <v>0</v>
      </c>
      <c r="D13" s="36">
        <f>IF(Data!B5="","",IF(ISNUMBER(Data!D2),IF(AND(Data!D2&gt;999999999,Data!D2&lt;=9999999999),IF(COUNTIFS(Data!D$1:'Data'!D2,Data!D2)&lt;=1,0,1),1),1))</f>
        <v>0</v>
      </c>
      <c r="E13" s="36">
        <f>IF(Data!B5="","",IF(ISNUMBER(MATCH(#REF!,Data_Val!$A$2:$A$3,0)),0,1))</f>
        <v>1</v>
      </c>
      <c r="F13" s="36">
        <f ca="1">IF(Data!B5="","",IF(ISNUMBER(#REF!),IF(AND(#REF!&gt;(TODAY()-(Data_Val!$H$3*365.25)),#REF!&lt;=(TODAY()-(Data_Val!$H$2*365.25))),0,1),1))</f>
        <v>1</v>
      </c>
      <c r="G13" s="12" t="e">
        <f>IF(Data!B5="","",IF(AND(#REF!="",#REF!&lt;&gt;""),1,IF(ISNUMBER(MATCH(#REF!,Data_Val!$C$2:$C$5,0)),0,1)))</f>
        <v>#REF!</v>
      </c>
      <c r="H13" s="12" t="e">
        <f>IF(Data!B5="","",IF(AND(#REF!&lt;&gt;"",#REF!=""),1,IF(#REF!="",1,IF(ISNUMBER(MATCH(#REF!,Data_Val!$D$2:$D$35,0)),0,1))))</f>
        <v>#REF!</v>
      </c>
      <c r="I13" s="38" t="e">
        <f>IF(#REF!="","",IF(#REF!=Data_Val!$C$2,IF(#REF!="",0,1),0))</f>
        <v>#REF!</v>
      </c>
      <c r="J13" s="38" t="e">
        <f>IF(#REF!="","",IF(ISNUMBER(MATCH(#REF!,Data_Val!$A$2:$A$3,0)),0,1))</f>
        <v>#REF!</v>
      </c>
      <c r="K13" s="38" t="e">
        <f ca="1">IF(#REF!="","",IF(ISNUMBER(#REF!),IF(AND(#REF!&gt;(TODAY()-(Data_Val!$K$3*365.25)),#REF!&lt;=(TODAY()-(Data_Val!$K$2*365.25))),0,1),1))</f>
        <v>#REF!</v>
      </c>
      <c r="L13" s="16" t="e">
        <f>IF(#REF!="","",IF(#REF!=Data_Val!$C$2,IF(#REF!="",0,1),0))</f>
        <v>#REF!</v>
      </c>
      <c r="M13" s="16" t="e">
        <f>IF(#REF!="","",IF(ISNUMBER(MATCH(#REF!,Data_Val!$A$2:$A$3,0)),0,1))</f>
        <v>#REF!</v>
      </c>
      <c r="N13" s="43" t="e">
        <f ca="1">IF(#REF!="","",IF(ISNUMBER(#REF!),IF(AND(#REF!&gt;(TODAY()-(Data_Val!$L$3*365.25)),#REF!&lt;=(TODAY()-(Data_Val!$L$2*365.25))),0,1),1))</f>
        <v>#REF!</v>
      </c>
      <c r="O13" s="18" t="e">
        <f>IF(#REF!="","",IF(#REF!=Data_Val!$C$2,IF(#REF!="",0,1),0))</f>
        <v>#REF!</v>
      </c>
      <c r="P13" s="18" t="e">
        <f>IF(#REF!="","",IF(ISNUMBER(MATCH(#REF!,Data_Val!$A$2:$A$3,0)),0,1))</f>
        <v>#REF!</v>
      </c>
      <c r="Q13" s="44" t="e">
        <f ca="1">IF(#REF!="","",IF(ISNUMBER(#REF!),IF(AND(#REF!&gt;(TODAY()-(Data_Val!$L$3*365.25)),#REF!&lt;=(TODAY()-(Data_Val!$L$2*365.25))),0,1),1))</f>
        <v>#REF!</v>
      </c>
    </row>
    <row r="14" spans="1:26" ht="12" customHeight="1" x14ac:dyDescent="0.25">
      <c r="A14" s="36" t="e">
        <f>IF(Data!B7="","",IF(COUNTIFS(Data!A$1:Data!#REF!,Data!#REF!)&lt;=1,0,1))</f>
        <v>#REF!</v>
      </c>
      <c r="B14" s="36"/>
      <c r="C14" s="36" t="e">
        <f>IF(#REF!="","",(IF(ISNUMBER(MATCH("*@*.?*",#REF!,0)),0,1)+IF(COUNTIFS(Data!C$1:#REF!,#REF!)&gt;1,1,0)))</f>
        <v>#REF!</v>
      </c>
      <c r="D14" s="36">
        <f>IF(Data!B7="","",IF(ISNUMBER(#REF!),IF(AND(#REF!&gt;999999999,#REF!&lt;=9999999999),IF(COUNTIFS(Data!D$1:#REF!,#REF!)&lt;=1,0,1),1),1))</f>
        <v>1</v>
      </c>
      <c r="E14" s="36">
        <f>IF(Data!B7="","",IF(ISNUMBER(MATCH(Data!E2,Data_Val!$A$2:$A$3,0)),0,1))</f>
        <v>0</v>
      </c>
      <c r="F14" s="36">
        <f ca="1">IF(Data!B7="","",IF(ISNUMBER(Data!#REF!),IF(AND(Data!#REF!&gt;(TODAY()-(Data_Val!$H$3*365.25)),Data!#REF!&lt;=(TODAY()-(Data_Val!$H$2*365.25))),0,1),1))</f>
        <v>1</v>
      </c>
      <c r="G14" s="12">
        <f>IF(Data!B7="","",IF(AND(Data!G2="",Data!H2&lt;&gt;""),1,IF(ISNUMBER(MATCH(Data!G2,Data_Val!$C$2:$C$5,0)),0,1)))</f>
        <v>0</v>
      </c>
      <c r="H14" s="12">
        <f>IF(Data!B7="","",IF(AND(Data!G2&lt;&gt;"",Data!H2=""),1,IF(Data!G2="",1,IF(ISNUMBER(MATCH(Data!H2,Data_Val!$D$2:$D$35,0)),0,1))))</f>
        <v>1</v>
      </c>
      <c r="I14" s="38">
        <f>IF(Data!G2="","",IF(Data!G2=Data_Val!$C$2,IF(Data!I2="",0,1),0))</f>
        <v>0</v>
      </c>
      <c r="J14" s="38" t="str">
        <f>IF(Data!I2="","",IF(ISNUMBER(MATCH(Data!J2,Data_Val!$A$2:$A$3,0)),0,1))</f>
        <v/>
      </c>
      <c r="K14" s="38" t="str">
        <f ca="1">IF(Data!I2="","",IF(ISNUMBER(Data!K2),IF(AND(Data!K2&gt;(TODAY()-(Data_Val!$K$3*365.25)),Data!K2&lt;=(TODAY()-(Data_Val!$K$2*365.25))),0,1),1))</f>
        <v/>
      </c>
      <c r="L14" s="16">
        <f>IF(Data!G2="","",IF(Data!G2=Data_Val!$C$2,IF(Data!L2="",0,1),0))</f>
        <v>0</v>
      </c>
      <c r="M14" s="16" t="str">
        <f>IF(Data!L2="","",IF(ISNUMBER(MATCH(Data!M2,Data_Val!$A$2:$A$3,0)),0,1))</f>
        <v/>
      </c>
      <c r="N14" s="43" t="str">
        <f ca="1">IF(Data!L2="","",IF(ISNUMBER(Data!N2),IF(AND(Data!N2&gt;(TODAY()-(Data_Val!$L$3*365.25)),Data!N2&lt;=(TODAY()-(Data_Val!$L$2*365.25))),0,1),1))</f>
        <v/>
      </c>
      <c r="O14" s="18">
        <f>IF(Data!$G2="","",IF(Data!$G2=Data_Val!$C$2,IF(Data!O2="",0,1),0))</f>
        <v>0</v>
      </c>
      <c r="P14" s="18" t="str">
        <f>IF(Data!O2="","",IF(ISNUMBER(MATCH(Data!P2,Data_Val!$A$2:$A$3,0)),0,1))</f>
        <v/>
      </c>
      <c r="Q14" s="44" t="str">
        <f ca="1">IF(Data!O2="","",IF(ISNUMBER(Data!Q2),IF(AND(Data!Q2&gt;(TODAY()-(Data_Val!$L$3*365.25)),Data!Q2&lt;=(TODAY()-(Data_Val!$L$2*365.25))),0,1),1))</f>
        <v/>
      </c>
    </row>
    <row r="15" spans="1:26" ht="12" customHeight="1" x14ac:dyDescent="0.25">
      <c r="A15" s="36" t="e">
        <f>IF(Data!#REF!="","",IF(COUNTIFS(Data!A$1:'Data'!A8,Data!A8)&lt;=1,0,1))</f>
        <v>#REF!</v>
      </c>
      <c r="B15" s="36"/>
      <c r="C15" s="36" t="e">
        <f>IF(Data!#REF!="","",(IF(ISNUMBER(MATCH("*@*.?*",Data!#REF!,0)),0,1)+IF(COUNTIFS(Data!C$1:Data!#REF!,Data!#REF!)&gt;1,1,0)))</f>
        <v>#REF!</v>
      </c>
      <c r="D15" s="36" t="e">
        <f>IF(Data!#REF!="","",IF(ISNUMBER(Data!#REF!),IF(AND(Data!#REF!&gt;999999999,Data!#REF!&lt;=9999999999),IF(COUNTIFS(Data!D$1:Data!#REF!,Data!#REF!)&lt;=1,0,1),1),1))</f>
        <v>#REF!</v>
      </c>
      <c r="E15" s="36" t="e">
        <f>IF(Data!#REF!="","",IF(ISNUMBER(MATCH(Data!#REF!,Data_Val!$A$2:$A$3,0)),0,1))</f>
        <v>#REF!</v>
      </c>
      <c r="F15" s="36" t="e">
        <f ca="1">IF(Data!#REF!="","",IF(ISNUMBER(Data!#REF!),IF(AND(Data!#REF!&gt;(TODAY()-(Data_Val!$H$3*365.25)),Data!#REF!&lt;=(TODAY()-(Data_Val!$H$2*365.25))),0,1),1))</f>
        <v>#REF!</v>
      </c>
      <c r="G15" s="12" t="e">
        <f>IF(Data!#REF!="","",IF(AND(Data!#REF!="",Data!#REF!&lt;&gt;""),1,IF(ISNUMBER(MATCH(Data!#REF!,Data_Val!$C$2:$C$5,0)),0,1)))</f>
        <v>#REF!</v>
      </c>
      <c r="H15" s="12" t="e">
        <f>IF(Data!#REF!="","",IF(AND(Data!#REF!&lt;&gt;"",Data!#REF!=""),1,IF(Data!#REF!="",1,IF(ISNUMBER(MATCH(Data!#REF!,Data_Val!$D$2:$D$35,0)),0,1))))</f>
        <v>#REF!</v>
      </c>
      <c r="I15" s="38" t="e">
        <f>IF(Data!#REF!="","",IF(Data!#REF!=Data_Val!$C$2,IF(Data!#REF!="",0,1),0))</f>
        <v>#REF!</v>
      </c>
      <c r="J15" s="38" t="e">
        <f>IF(Data!#REF!="","",IF(ISNUMBER(MATCH(Data!#REF!,Data_Val!$A$2:$A$3,0)),0,1))</f>
        <v>#REF!</v>
      </c>
      <c r="K15" s="38" t="e">
        <f ca="1">IF(Data!#REF!="","",IF(ISNUMBER(Data!#REF!),IF(AND(Data!#REF!&gt;(TODAY()-(Data_Val!$K$3*365.25)),Data!#REF!&lt;=(TODAY()-(Data_Val!$K$2*365.25))),0,1),1))</f>
        <v>#REF!</v>
      </c>
      <c r="L15" s="16" t="e">
        <f>IF(Data!#REF!="","",IF(Data!#REF!=Data_Val!$C$2,IF(Data!#REF!="",0,1),0))</f>
        <v>#REF!</v>
      </c>
      <c r="M15" s="16" t="e">
        <f>IF(Data!#REF!="","",IF(ISNUMBER(MATCH(Data!#REF!,Data_Val!$A$2:$A$3,0)),0,1))</f>
        <v>#REF!</v>
      </c>
      <c r="N15" s="43" t="e">
        <f ca="1">IF(Data!#REF!="","",IF(ISNUMBER(Data!#REF!),IF(AND(Data!#REF!&gt;(TODAY()-(Data_Val!$L$3*365.25)),Data!#REF!&lt;=(TODAY()-(Data_Val!$L$2*365.25))),0,1),1))</f>
        <v>#REF!</v>
      </c>
      <c r="O15" s="18" t="e">
        <f>IF(Data!#REF!="","",IF(Data!#REF!=Data_Val!$C$2,IF(Data!#REF!="",0,1),0))</f>
        <v>#REF!</v>
      </c>
      <c r="P15" s="18" t="e">
        <f>IF(Data!#REF!="","",IF(ISNUMBER(MATCH(Data!#REF!,Data_Val!$A$2:$A$3,0)),0,1))</f>
        <v>#REF!</v>
      </c>
      <c r="Q15" s="44" t="e">
        <f ca="1">IF(Data!#REF!="","",IF(ISNUMBER(Data!#REF!),IF(AND(Data!#REF!&gt;(TODAY()-(Data_Val!$L$3*365.25)),Data!#REF!&lt;=(TODAY()-(Data_Val!$L$2*365.25))),0,1),1))</f>
        <v>#REF!</v>
      </c>
    </row>
    <row r="16" spans="1:26" ht="12" customHeight="1" x14ac:dyDescent="0.25">
      <c r="A16" s="36" t="e">
        <f>IF(Data!#REF!="","",IF(COUNTIFS(Data!A$1:'Data'!A11,Data!A11)&lt;=1,0,1))</f>
        <v>#REF!</v>
      </c>
      <c r="B16" s="36"/>
      <c r="C16" s="36">
        <f>IF(Data!F3="","",(IF(ISNUMBER(MATCH("*@*.?*",Data!F3,0)),0,1)+IF(COUNTIFS(Data!C$1:'Data'!F3,Data!F3)&gt;1,1,0)))</f>
        <v>1</v>
      </c>
      <c r="D16" s="36" t="e">
        <f>IF(Data!#REF!="","",IF(ISNUMBER(Data!#REF!),IF(AND(Data!#REF!&gt;999999999,Data!#REF!&lt;=9999999999),IF(COUNTIFS(Data!D$1:Data!#REF!,Data!#REF!)&lt;=1,0,1),1),1))</f>
        <v>#REF!</v>
      </c>
      <c r="E16" s="36" t="e">
        <f>IF(Data!#REF!="","",IF(ISNUMBER(MATCH(Data!E5,Data_Val!$A$2:$A$3,0)),0,1))</f>
        <v>#REF!</v>
      </c>
      <c r="F16" s="36" t="e">
        <f ca="1">IF(Data!#REF!="","",IF(ISNUMBER(Data!#REF!),IF(AND(Data!#REF!&gt;(TODAY()-(Data_Val!$H$3*365.25)),Data!#REF!&lt;=(TODAY()-(Data_Val!$H$2*365.25))),0,1),1))</f>
        <v>#REF!</v>
      </c>
      <c r="G16" s="12" t="e">
        <f>IF(Data!#REF!="","",IF(AND(Data!G5="",Data!H5&lt;&gt;""),1,IF(ISNUMBER(MATCH(Data!G5,Data_Val!$C$2:$C$5,0)),0,1)))</f>
        <v>#REF!</v>
      </c>
      <c r="H16" s="12" t="e">
        <f>IF(Data!#REF!="","",IF(AND(Data!G5&lt;&gt;"",Data!H5=""),1,IF(Data!G5="",1,IF(ISNUMBER(MATCH(Data!H5,Data_Val!$D$2:$D$35,0)),0,1))))</f>
        <v>#REF!</v>
      </c>
      <c r="I16" s="38">
        <f>IF(Data!G5="","",IF(Data!G5=Data_Val!$C$2,IF(Data!I5="",0,1),0))</f>
        <v>0</v>
      </c>
      <c r="J16" s="38" t="str">
        <f>IF(Data!I5="","",IF(ISNUMBER(MATCH(Data!J5,Data_Val!$A$2:$A$3,0)),0,1))</f>
        <v/>
      </c>
      <c r="K16" s="38" t="str">
        <f ca="1">IF(Data!I5="","",IF(ISNUMBER(Data!K5),IF(AND(Data!K5&gt;(TODAY()-(Data_Val!$K$3*365.25)),Data!K5&lt;=(TODAY()-(Data_Val!$K$2*365.25))),0,1),1))</f>
        <v/>
      </c>
      <c r="L16" s="16">
        <f>IF(Data!G5="","",IF(Data!G5=Data_Val!$C$2,IF(Data!L5="",0,1),0))</f>
        <v>0</v>
      </c>
      <c r="M16" s="16" t="str">
        <f>IF(Data!L5="","",IF(ISNUMBER(MATCH(Data!M5,Data_Val!$A$2:$A$3,0)),0,1))</f>
        <v/>
      </c>
      <c r="N16" s="43" t="str">
        <f ca="1">IF(Data!L5="","",IF(ISNUMBER(Data!N5),IF(AND(Data!N5&gt;(TODAY()-(Data_Val!$L$3*365.25)),Data!N5&lt;=(TODAY()-(Data_Val!$L$2*365.25))),0,1),1))</f>
        <v/>
      </c>
      <c r="O16" s="18">
        <f>IF(Data!$G5="","",IF(Data!$G5=Data_Val!$C$2,IF(Data!O5="",0,1),0))</f>
        <v>0</v>
      </c>
      <c r="P16" s="18" t="str">
        <f>IF(Data!O5="","",IF(ISNUMBER(MATCH(Data!P5,Data_Val!$A$2:$A$3,0)),0,1))</f>
        <v/>
      </c>
      <c r="Q16" s="44" t="str">
        <f ca="1">IF(Data!O5="","",IF(ISNUMBER(Data!Q5),IF(AND(Data!Q5&gt;(TODAY()-(Data_Val!$L$3*365.25)),Data!Q5&lt;=(TODAY()-(Data_Val!$L$2*365.25))),0,1),1))</f>
        <v/>
      </c>
    </row>
    <row r="17" spans="1:17" ht="12" customHeight="1" x14ac:dyDescent="0.25">
      <c r="A17" s="36">
        <f>IF(Data!B9="","",IF(COUNTIFS(Data!A$1:'Data'!A12,Data!A12)&lt;=1,0,1))</f>
        <v>0</v>
      </c>
      <c r="B17" s="36"/>
      <c r="C17" s="36">
        <f>IF(Data!F5="","",(IF(ISNUMBER(MATCH("*@*.?*",Data!F5,0)),0,1)+IF(COUNTIFS(Data!C$1:'Data'!F5,Data!F5)&gt;1,1,0)))</f>
        <v>1</v>
      </c>
      <c r="D17" s="36">
        <f>IF(Data!B9="","",IF(ISNUMBER(Data!D7),IF(AND(Data!D7&gt;999999999,Data!D7&lt;=9999999999),IF(COUNTIFS(Data!D$1:'Data'!D7,Data!D7)&lt;=1,0,1),1),1))</f>
        <v>0</v>
      </c>
      <c r="E17" s="36">
        <f>IF(Data!B9="","",IF(ISNUMBER(MATCH(Data!E7,Data_Val!$A$2:$A$3,0)),0,1))</f>
        <v>0</v>
      </c>
      <c r="F17" s="36">
        <f ca="1">IF(Data!B9="","",IF(ISNUMBER(Data!#REF!),IF(AND(Data!#REF!&gt;(TODAY()-(Data_Val!$H$3*365.25)),Data!#REF!&lt;=(TODAY()-(Data_Val!$H$2*365.25))),0,1),1))</f>
        <v>1</v>
      </c>
      <c r="G17" s="12">
        <f>IF(Data!B9="","",IF(AND(Data!G7="",Data!H7&lt;&gt;""),1,IF(ISNUMBER(MATCH(Data!G7,Data_Val!$C$2:$C$5,0)),0,1)))</f>
        <v>0</v>
      </c>
      <c r="H17" s="12">
        <f>IF(Data!B9="","",IF(AND(Data!G7&lt;&gt;"",Data!H7=""),1,IF(Data!G7="",1,IF(ISNUMBER(MATCH(Data!H7,Data_Val!$D$2:$D$35,0)),0,1))))</f>
        <v>1</v>
      </c>
      <c r="I17" s="38">
        <f>IF(Data!G7="","",IF(Data!G7=Data_Val!$C$2,IF(Data!I7="",0,1),0))</f>
        <v>0</v>
      </c>
      <c r="J17" s="38" t="str">
        <f>IF(Data!I7="","",IF(ISNUMBER(MATCH(Data!J7,Data_Val!$A$2:$A$3,0)),0,1))</f>
        <v/>
      </c>
      <c r="K17" s="38" t="str">
        <f ca="1">IF(Data!I7="","",IF(ISNUMBER(Data!K7),IF(AND(Data!K7&gt;(TODAY()-(Data_Val!$K$3*365.25)),Data!K7&lt;=(TODAY()-(Data_Val!$K$2*365.25))),0,1),1))</f>
        <v/>
      </c>
      <c r="L17" s="16">
        <f>IF(Data!G7="","",IF(Data!G7=Data_Val!$C$2,IF(Data!L7="",0,1),0))</f>
        <v>0</v>
      </c>
      <c r="M17" s="16" t="str">
        <f>IF(Data!L7="","",IF(ISNUMBER(MATCH(Data!M7,Data_Val!$A$2:$A$3,0)),0,1))</f>
        <v/>
      </c>
      <c r="N17" s="43" t="str">
        <f ca="1">IF(Data!L7="","",IF(ISNUMBER(Data!N7),IF(AND(Data!N7&gt;(TODAY()-(Data_Val!$L$3*365.25)),Data!N7&lt;=(TODAY()-(Data_Val!$L$2*365.25))),0,1),1))</f>
        <v/>
      </c>
      <c r="O17" s="18">
        <f>IF(Data!$G7="","",IF(Data!$G7=Data_Val!$C$2,IF(Data!O7="",0,1),0))</f>
        <v>0</v>
      </c>
      <c r="P17" s="18" t="str">
        <f>IF(Data!O7="","",IF(ISNUMBER(MATCH(Data!P7,Data_Val!$A$2:$A$3,0)),0,1))</f>
        <v/>
      </c>
      <c r="Q17" s="44" t="str">
        <f ca="1">IF(Data!O7="","",IF(ISNUMBER(Data!Q7),IF(AND(Data!Q7&gt;(TODAY()-(Data_Val!$L$3*365.25)),Data!Q7&lt;=(TODAY()-(Data_Val!$L$2*365.25))),0,1),1))</f>
        <v/>
      </c>
    </row>
    <row r="18" spans="1:17" ht="12" customHeight="1" x14ac:dyDescent="0.25">
      <c r="A18" s="36">
        <f>IF(Data!B12="","",IF(COUNTIFS(Data!A$1:'Data'!A14,Data!A14)&lt;=1,0,1))</f>
        <v>0</v>
      </c>
      <c r="B18" s="36"/>
      <c r="C18" s="36">
        <f>IF(Data!F7="","",(IF(ISNUMBER(MATCH("*@*.?*",Data!F7,0)),0,1)+IF(COUNTIFS(Data!C$1:'Data'!F7,Data!F7)&gt;1,1,0)))</f>
        <v>1</v>
      </c>
      <c r="D18" s="36">
        <f>IF(Data!B12="","",IF(ISNUMBER(Data!#REF!),IF(AND(Data!#REF!&gt;999999999,Data!#REF!&lt;=9999999999),IF(COUNTIFS(Data!D$1:Data!#REF!,Data!#REF!)&lt;=1,0,1),1),1))</f>
        <v>1</v>
      </c>
      <c r="E18" s="36">
        <f>IF(Data!B12="","",IF(ISNUMBER(MATCH(Data!#REF!,Data_Val!$A$2:$A$3,0)),0,1))</f>
        <v>1</v>
      </c>
      <c r="F18" s="36">
        <f ca="1">IF(Data!B12="","",IF(ISNUMBER(Data!#REF!),IF(AND(Data!#REF!&gt;(TODAY()-(Data_Val!$H$3*365.25)),Data!#REF!&lt;=(TODAY()-(Data_Val!$H$2*365.25))),0,1),1))</f>
        <v>1</v>
      </c>
      <c r="G18" s="12" t="e">
        <f>IF(Data!B12="","",IF(AND(Data!#REF!="",Data!#REF!&lt;&gt;""),1,IF(ISNUMBER(MATCH(Data!#REF!,Data_Val!$C$2:$C$5,0)),0,1)))</f>
        <v>#REF!</v>
      </c>
      <c r="H18" s="12" t="e">
        <f>IF(Data!B12="","",IF(AND(Data!#REF!&lt;&gt;"",Data!#REF!=""),1,IF(Data!#REF!="",1,IF(ISNUMBER(MATCH(Data!#REF!,Data_Val!$D$2:$D$35,0)),0,1))))</f>
        <v>#REF!</v>
      </c>
      <c r="I18" s="38" t="e">
        <f>IF(Data!#REF!="","",IF(Data!#REF!=Data_Val!$C$2,IF(Data!#REF!="",0,1),0))</f>
        <v>#REF!</v>
      </c>
      <c r="J18" s="38" t="e">
        <f>IF(Data!#REF!="","",IF(ISNUMBER(MATCH(Data!#REF!,Data_Val!$A$2:$A$3,0)),0,1))</f>
        <v>#REF!</v>
      </c>
      <c r="K18" s="38" t="e">
        <f ca="1">IF(Data!#REF!="","",IF(ISNUMBER(Data!#REF!),IF(AND(Data!#REF!&gt;(TODAY()-(Data_Val!$K$3*365.25)),Data!#REF!&lt;=(TODAY()-(Data_Val!$K$2*365.25))),0,1),1))</f>
        <v>#REF!</v>
      </c>
      <c r="L18" s="16" t="e">
        <f>IF(Data!#REF!="","",IF(Data!#REF!=Data_Val!$C$2,IF(Data!#REF!="",0,1),0))</f>
        <v>#REF!</v>
      </c>
      <c r="M18" s="16" t="e">
        <f>IF(Data!#REF!="","",IF(ISNUMBER(MATCH(Data!#REF!,Data_Val!$A$2:$A$3,0)),0,1))</f>
        <v>#REF!</v>
      </c>
      <c r="N18" s="43" t="e">
        <f ca="1">IF(Data!#REF!="","",IF(ISNUMBER(Data!#REF!),IF(AND(Data!#REF!&gt;(TODAY()-(Data_Val!$L$3*365.25)),Data!#REF!&lt;=(TODAY()-(Data_Val!$L$2*365.25))),0,1),1))</f>
        <v>#REF!</v>
      </c>
      <c r="O18" s="18" t="e">
        <f>IF(Data!#REF!="","",IF(Data!#REF!=Data_Val!$C$2,IF(Data!#REF!="",0,1),0))</f>
        <v>#REF!</v>
      </c>
      <c r="P18" s="18" t="e">
        <f>IF(Data!#REF!="","",IF(ISNUMBER(MATCH(Data!#REF!,Data_Val!$A$2:$A$3,0)),0,1))</f>
        <v>#REF!</v>
      </c>
      <c r="Q18" s="44" t="e">
        <f ca="1">IF(Data!#REF!="","",IF(ISNUMBER(Data!#REF!),IF(AND(Data!#REF!&gt;(TODAY()-(Data_Val!$L$3*365.25)),Data!#REF!&lt;=(TODAY()-(Data_Val!$L$2*365.25))),0,1),1))</f>
        <v>#REF!</v>
      </c>
    </row>
    <row r="19" spans="1:17" ht="12" customHeight="1" x14ac:dyDescent="0.25">
      <c r="A19" s="36" t="str">
        <f>IF(Data!B15="","",IF(COUNTIFS(Data!A$1:'Data'!A15,Data!A15)&lt;=1,0,1))</f>
        <v/>
      </c>
      <c r="B19" s="36"/>
      <c r="C19" s="36" t="e">
        <f>IF(Data!#REF!="","",(IF(ISNUMBER(MATCH("*@*.?*",Data!#REF!,0)),0,1)+IF(COUNTIFS(Data!C$1:Data!#REF!,Data!#REF!)&gt;1,1,0)))</f>
        <v>#REF!</v>
      </c>
      <c r="D19" s="36" t="str">
        <f>IF(Data!B15="","",IF(ISNUMBER(Data!D8),IF(AND(Data!D8&gt;999999999,Data!D8&lt;=9999999999),IF(COUNTIFS(Data!D$1:'Data'!D8,Data!D8)&lt;=1,0,1),1),1))</f>
        <v/>
      </c>
      <c r="E19" s="36" t="str">
        <f>IF(Data!B15="","",IF(ISNUMBER(MATCH(Data!E8,Data_Val!$A$2:$A$3,0)),0,1))</f>
        <v/>
      </c>
      <c r="F19" s="36" t="str">
        <f ca="1">IF(Data!B15="","",IF(ISNUMBER(Data!#REF!),IF(AND(Data!#REF!&gt;(TODAY()-(Data_Val!$H$3*365.25)),Data!#REF!&lt;=(TODAY()-(Data_Val!$H$2*365.25))),0,1),1))</f>
        <v/>
      </c>
      <c r="G19" s="12" t="str">
        <f>IF(Data!B15="","",IF(AND(Data!G8="",Data!H8&lt;&gt;""),1,IF(ISNUMBER(MATCH(Data!G8,Data_Val!$C$2:$C$5,0)),0,1)))</f>
        <v/>
      </c>
      <c r="H19" s="12" t="str">
        <f>IF(Data!B15="","",IF(AND(Data!G8&lt;&gt;"",Data!H8=""),1,IF(Data!G8="",1,IF(ISNUMBER(MATCH(Data!H8,Data_Val!$D$2:$D$35,0)),0,1))))</f>
        <v/>
      </c>
      <c r="I19" s="38">
        <f>IF(Data!G8="","",IF(Data!G8=Data_Val!$C$2,IF(Data!I8="",0,1),0))</f>
        <v>0</v>
      </c>
      <c r="J19" s="38" t="str">
        <f>IF(Data!I8="","",IF(ISNUMBER(MATCH(Data!J8,Data_Val!$A$2:$A$3,0)),0,1))</f>
        <v/>
      </c>
      <c r="K19" s="38" t="str">
        <f ca="1">IF(Data!I8="","",IF(ISNUMBER(Data!K8),IF(AND(Data!K8&gt;(TODAY()-(Data_Val!$K$3*365.25)),Data!K8&lt;=(TODAY()-(Data_Val!$K$2*365.25))),0,1),1))</f>
        <v/>
      </c>
      <c r="L19" s="16">
        <f>IF(Data!G8="","",IF(Data!G8=Data_Val!$C$2,IF(Data!L8="",0,1),0))</f>
        <v>0</v>
      </c>
      <c r="M19" s="16" t="str">
        <f>IF(Data!L8="","",IF(ISNUMBER(MATCH(Data!M8,Data_Val!$A$2:$A$3,0)),0,1))</f>
        <v/>
      </c>
      <c r="N19" s="43" t="str">
        <f ca="1">IF(Data!L8="","",IF(ISNUMBER(Data!N8),IF(AND(Data!N8&gt;(TODAY()-(Data_Val!$L$3*365.25)),Data!N8&lt;=(TODAY()-(Data_Val!$L$2*365.25))),0,1),1))</f>
        <v/>
      </c>
      <c r="O19" s="18">
        <f>IF(Data!$G8="","",IF(Data!$G8=Data_Val!$C$2,IF(Data!O8="",0,1),0))</f>
        <v>0</v>
      </c>
      <c r="P19" s="18" t="str">
        <f>IF(Data!O8="","",IF(ISNUMBER(MATCH(Data!P8,Data_Val!$A$2:$A$3,0)),0,1))</f>
        <v/>
      </c>
      <c r="Q19" s="44" t="str">
        <f ca="1">IF(Data!O8="","",IF(ISNUMBER(Data!Q8),IF(AND(Data!Q8&gt;(TODAY()-(Data_Val!$L$3*365.25)),Data!Q8&lt;=(TODAY()-(Data_Val!$L$2*365.25))),0,1),1))</f>
        <v/>
      </c>
    </row>
    <row r="20" spans="1:17" ht="12" customHeight="1" x14ac:dyDescent="0.25">
      <c r="A20" s="36" t="e">
        <f>IF(#REF!="","",IF(COUNTIFS(Data!A$1:#REF!,#REF!)&lt;=1,0,1))</f>
        <v>#REF!</v>
      </c>
      <c r="B20" s="36"/>
      <c r="C20" s="36" t="e">
        <f>IF(Data!#REF!="","",(IF(ISNUMBER(MATCH("*@*.?*",Data!#REF!,0)),0,1)+IF(COUNTIFS(Data!C$1:Data!#REF!,Data!#REF!)&gt;1,1,0)))</f>
        <v>#REF!</v>
      </c>
      <c r="D20" s="36" t="e">
        <f>IF(#REF!="","",IF(ISNUMBER(Data!D10),IF(AND(Data!D10&gt;999999999,Data!D10&lt;=9999999999),IF(COUNTIFS(Data!D$1:'Data'!D10,Data!D10)&lt;=1,0,1),1),1))</f>
        <v>#REF!</v>
      </c>
      <c r="E20" s="36" t="e">
        <f>IF(#REF!="","",IF(ISNUMBER(MATCH(Data!E10,Data_Val!$A$2:$A$3,0)),0,1))</f>
        <v>#REF!</v>
      </c>
      <c r="F20" s="36" t="e">
        <f ca="1">IF(#REF!="","",IF(ISNUMBER(Data!#REF!),IF(AND(Data!#REF!&gt;(TODAY()-(Data_Val!$H$3*365.25)),Data!#REF!&lt;=(TODAY()-(Data_Val!$H$2*365.25))),0,1),1))</f>
        <v>#REF!</v>
      </c>
      <c r="G20" s="12" t="e">
        <f>IF(#REF!="","",IF(AND(Data!G10="",Data!H10&lt;&gt;""),1,IF(ISNUMBER(MATCH(Data!G10,Data_Val!$C$2:$C$5,0)),0,1)))</f>
        <v>#REF!</v>
      </c>
      <c r="H20" s="12" t="e">
        <f>IF(#REF!="","",IF(AND(Data!G10&lt;&gt;"",Data!H10=""),1,IF(Data!G10="",1,IF(ISNUMBER(MATCH(Data!H10,Data_Val!$D$2:$D$35,0)),0,1))))</f>
        <v>#REF!</v>
      </c>
      <c r="I20" s="38">
        <f>IF(Data!G10="","",IF(Data!G10=Data_Val!$C$2,IF(Data!I10="",0,1),0))</f>
        <v>0</v>
      </c>
      <c r="J20" s="38" t="str">
        <f>IF(Data!I10="","",IF(ISNUMBER(MATCH(Data!J10,Data_Val!$A$2:$A$3,0)),0,1))</f>
        <v/>
      </c>
      <c r="K20" s="38" t="str">
        <f ca="1">IF(Data!I10="","",IF(ISNUMBER(Data!K10),IF(AND(Data!K10&gt;(TODAY()-(Data_Val!$K$3*365.25)),Data!K10&lt;=(TODAY()-(Data_Val!$K$2*365.25))),0,1),1))</f>
        <v/>
      </c>
      <c r="L20" s="16">
        <f>IF(Data!G10="","",IF(Data!G10=Data_Val!$C$2,IF(Data!L10="",0,1),0))</f>
        <v>0</v>
      </c>
      <c r="M20" s="16" t="str">
        <f>IF(Data!L10="","",IF(ISNUMBER(MATCH(Data!M10,Data_Val!$A$2:$A$3,0)),0,1))</f>
        <v/>
      </c>
      <c r="N20" s="43" t="str">
        <f ca="1">IF(Data!L10="","",IF(ISNUMBER(Data!N10),IF(AND(Data!N10&gt;(TODAY()-(Data_Val!$L$3*365.25)),Data!N10&lt;=(TODAY()-(Data_Val!$L$2*365.25))),0,1),1))</f>
        <v/>
      </c>
      <c r="O20" s="18">
        <f>IF(Data!$G10="","",IF(Data!$G10=Data_Val!$C$2,IF(Data!O10="",0,1),0))</f>
        <v>0</v>
      </c>
      <c r="P20" s="18" t="str">
        <f>IF(Data!O10="","",IF(ISNUMBER(MATCH(Data!P10,Data_Val!$A$2:$A$3,0)),0,1))</f>
        <v/>
      </c>
      <c r="Q20" s="44" t="str">
        <f ca="1">IF(Data!O10="","",IF(ISNUMBER(Data!Q10),IF(AND(Data!Q10&gt;(TODAY()-(Data_Val!$L$3*365.25)),Data!Q10&lt;=(TODAY()-(Data_Val!$L$2*365.25))),0,1),1))</f>
        <v/>
      </c>
    </row>
    <row r="21" spans="1:17" ht="12" customHeight="1" x14ac:dyDescent="0.25">
      <c r="A21" s="36" t="e">
        <f>IF(#REF!="","",IF(COUNTIFS(Data!A$1:#REF!,#REF!)&lt;=1,0,1))</f>
        <v>#REF!</v>
      </c>
      <c r="B21" s="36"/>
      <c r="C21" s="36">
        <f>IF(Data!F9="","",(IF(ISNUMBER(MATCH("*@*.?*",Data!F9,0)),0,1)+IF(COUNTIFS(Data!C$1:'Data'!F9,Data!F9)&gt;1,1,0)))</f>
        <v>1</v>
      </c>
      <c r="D21" s="36" t="e">
        <f>IF(#REF!="","",IF(ISNUMBER(Data!D11),IF(AND(Data!D11&gt;999999999,Data!D11&lt;=9999999999),IF(COUNTIFS(Data!D$1:'Data'!D11,Data!D11)&lt;=1,0,1),1),1))</f>
        <v>#REF!</v>
      </c>
      <c r="E21" s="36" t="e">
        <f>IF(#REF!="","",IF(ISNUMBER(MATCH(Data!E11,Data_Val!$A$2:$A$3,0)),0,1))</f>
        <v>#REF!</v>
      </c>
      <c r="F21" s="36" t="e">
        <f ca="1">IF(#REF!="","",IF(ISNUMBER(Data!#REF!),IF(AND(Data!#REF!&gt;(TODAY()-(Data_Val!$H$3*365.25)),Data!#REF!&lt;=(TODAY()-(Data_Val!$H$2*365.25))),0,1),1))</f>
        <v>#REF!</v>
      </c>
      <c r="G21" s="12" t="e">
        <f>IF(#REF!="","",IF(AND(Data!G11="",Data!H11&lt;&gt;""),1,IF(ISNUMBER(MATCH(Data!G11,Data_Val!$C$2:$C$5,0)),0,1)))</f>
        <v>#REF!</v>
      </c>
      <c r="H21" s="12" t="e">
        <f>IF(#REF!="","",IF(AND(Data!G11&lt;&gt;"",Data!H11=""),1,IF(Data!G11="",1,IF(ISNUMBER(MATCH(Data!H11,Data_Val!$D$2:$D$35,0)),0,1))))</f>
        <v>#REF!</v>
      </c>
      <c r="I21" s="38">
        <f>IF(Data!G11="","",IF(Data!G11=Data_Val!$C$2,IF(Data!I11="",0,1),0))</f>
        <v>0</v>
      </c>
      <c r="J21" s="38" t="str">
        <f>IF(Data!I11="","",IF(ISNUMBER(MATCH(Data!J11,Data_Val!$A$2:$A$3,0)),0,1))</f>
        <v/>
      </c>
      <c r="K21" s="38" t="str">
        <f ca="1">IF(Data!I11="","",IF(ISNUMBER(Data!K11),IF(AND(Data!K11&gt;(TODAY()-(Data_Val!$K$3*365.25)),Data!K11&lt;=(TODAY()-(Data_Val!$K$2*365.25))),0,1),1))</f>
        <v/>
      </c>
      <c r="L21" s="16">
        <f>IF(Data!G11="","",IF(Data!G11=Data_Val!$C$2,IF(Data!L11="",0,1),0))</f>
        <v>0</v>
      </c>
      <c r="M21" s="16" t="str">
        <f>IF(Data!L11="","",IF(ISNUMBER(MATCH(Data!M11,Data_Val!$A$2:$A$3,0)),0,1))</f>
        <v/>
      </c>
      <c r="N21" s="43" t="str">
        <f ca="1">IF(Data!L11="","",IF(ISNUMBER(Data!N11),IF(AND(Data!N11&gt;(TODAY()-(Data_Val!$L$3*365.25)),Data!N11&lt;=(TODAY()-(Data_Val!$L$2*365.25))),0,1),1))</f>
        <v/>
      </c>
      <c r="O21" s="18">
        <f>IF(Data!$G11="","",IF(Data!$G11=Data_Val!$C$2,IF(Data!O11="",0,1),0))</f>
        <v>0</v>
      </c>
      <c r="P21" s="18" t="str">
        <f>IF(Data!O11="","",IF(ISNUMBER(MATCH(Data!P11,Data_Val!$A$2:$A$3,0)),0,1))</f>
        <v/>
      </c>
      <c r="Q21" s="44" t="str">
        <f ca="1">IF(Data!O11="","",IF(ISNUMBER(Data!Q11),IF(AND(Data!Q11&gt;(TODAY()-(Data_Val!$L$3*365.25)),Data!Q11&lt;=(TODAY()-(Data_Val!$L$2*365.25))),0,1),1))</f>
        <v/>
      </c>
    </row>
    <row r="22" spans="1:17" ht="12" customHeight="1" x14ac:dyDescent="0.25">
      <c r="A22" s="36" t="str">
        <f>IF(Data!B16="","",IF(COUNTIFS(Data!A$1:'Data'!A16,Data!A16)&lt;=1,0,1))</f>
        <v/>
      </c>
      <c r="B22" s="36"/>
      <c r="C22" s="36">
        <f>IF(Data!F12="","",(IF(ISNUMBER(MATCH("*@*.?*",Data!F12,0)),0,1)+IF(COUNTIFS(Data!C$1:'Data'!F12,Data!F12)&gt;1,1,0)))</f>
        <v>1</v>
      </c>
      <c r="D22" s="36" t="str">
        <f>IF(Data!B16="","",IF(ISNUMBER(Data!D14),IF(AND(Data!D14&gt;999999999,Data!D14&lt;=9999999999),IF(COUNTIFS(Data!D$1:'Data'!D14,Data!D14)&lt;=1,0,1),1),1))</f>
        <v/>
      </c>
      <c r="E22" s="36" t="str">
        <f>IF(Data!B16="","",IF(ISNUMBER(MATCH(Data!E14,Data_Val!$A$2:$A$3,0)),0,1))</f>
        <v/>
      </c>
      <c r="F22" s="36" t="str">
        <f ca="1">IF(Data!B16="","",IF(ISNUMBER(Data!F14),IF(AND(Data!F14&gt;(TODAY()-(Data_Val!$H$3*365.25)),Data!F14&lt;=(TODAY()-(Data_Val!$H$2*365.25))),0,1),1))</f>
        <v/>
      </c>
      <c r="G22" s="12" t="str">
        <f>IF(Data!B16="","",IF(AND(Data!G14="",Data!H14&lt;&gt;""),1,IF(ISNUMBER(MATCH(Data!G14,Data_Val!$C$2:$C$5,0)),0,1)))</f>
        <v/>
      </c>
      <c r="H22" s="12" t="str">
        <f>IF(Data!B16="","",IF(AND(Data!G14&lt;&gt;"",Data!H14=""),1,IF(Data!G14="",1,IF(ISNUMBER(MATCH(Data!H14,Data_Val!$D$2:$D$35,0)),0,1))))</f>
        <v/>
      </c>
      <c r="I22" s="38" t="str">
        <f>IF(Data!G14="","",IF(Data!G14=Data_Val!$C$2,IF(Data!I14="",0,1),0))</f>
        <v/>
      </c>
      <c r="J22" s="38" t="str">
        <f>IF(Data!I14="","",IF(ISNUMBER(MATCH(Data!J14,Data_Val!$A$2:$A$3,0)),0,1))</f>
        <v/>
      </c>
      <c r="K22" s="38" t="str">
        <f ca="1">IF(Data!I14="","",IF(ISNUMBER(Data!K14),IF(AND(Data!K14&gt;(TODAY()-(Data_Val!$K$3*365.25)),Data!K14&lt;=(TODAY()-(Data_Val!$K$2*365.25))),0,1),1))</f>
        <v/>
      </c>
      <c r="L22" s="16" t="str">
        <f>IF(Data!G14="","",IF(Data!G14=Data_Val!$C$2,IF(Data!L14="",0,1),0))</f>
        <v/>
      </c>
      <c r="M22" s="16" t="str">
        <f>IF(Data!L14="","",IF(ISNUMBER(MATCH(Data!M14,Data_Val!$A$2:$A$3,0)),0,1))</f>
        <v/>
      </c>
      <c r="N22" s="43" t="str">
        <f ca="1">IF(Data!L14="","",IF(ISNUMBER(Data!N14),IF(AND(Data!N14&gt;(TODAY()-(Data_Val!$L$3*365.25)),Data!N14&lt;=(TODAY()-(Data_Val!$L$2*365.25))),0,1),1))</f>
        <v/>
      </c>
      <c r="O22" s="18" t="str">
        <f>IF(Data!$G14="","",IF(Data!$G14=Data_Val!$C$2,IF(Data!O14="",0,1),0))</f>
        <v/>
      </c>
      <c r="P22" s="18" t="str">
        <f>IF(Data!O14="","",IF(ISNUMBER(MATCH(Data!P14,Data_Val!$A$2:$A$3,0)),0,1))</f>
        <v/>
      </c>
      <c r="Q22" s="44" t="str">
        <f ca="1">IF(Data!O14="","",IF(ISNUMBER(Data!Q14),IF(AND(Data!Q14&gt;(TODAY()-(Data_Val!$L$3*365.25)),Data!Q14&lt;=(TODAY()-(Data_Val!$L$2*365.25))),0,1),1))</f>
        <v/>
      </c>
    </row>
    <row r="23" spans="1:17" ht="12" customHeight="1" x14ac:dyDescent="0.25">
      <c r="A23" s="36" t="e">
        <f>IF(Data!#REF!="","",IF(COUNTIFS(Data!A$1:'Data'!A17,Data!A17)&lt;=1,0,1))</f>
        <v>#REF!</v>
      </c>
      <c r="B23" s="36"/>
      <c r="C23" s="36" t="str">
        <f>IF(Data!C15="","",(IF(ISNUMBER(MATCH("*@*.?*",Data!C15,0)),0,1)+IF(COUNTIFS(Data!C$1:'Data'!C15,Data!C15)&gt;1,1,0)))</f>
        <v/>
      </c>
      <c r="D23" s="36" t="e">
        <f>IF(Data!#REF!="","",IF(ISNUMBER(Data!D15),IF(AND(Data!D15&gt;999999999,Data!D15&lt;=9999999999),IF(COUNTIFS(Data!D$1:'Data'!D15,Data!D15)&lt;=1,0,1),1),1))</f>
        <v>#REF!</v>
      </c>
      <c r="E23" s="36" t="e">
        <f>IF(Data!#REF!="","",IF(ISNUMBER(MATCH(Data!E15,Data_Val!$A$2:$A$3,0)),0,1))</f>
        <v>#REF!</v>
      </c>
      <c r="F23" s="36" t="e">
        <f ca="1">IF(Data!#REF!="","",IF(ISNUMBER(Data!F15),IF(AND(Data!F15&gt;(TODAY()-(Data_Val!$H$3*365.25)),Data!F15&lt;=(TODAY()-(Data_Val!$H$2*365.25))),0,1),1))</f>
        <v>#REF!</v>
      </c>
      <c r="G23" s="12" t="e">
        <f>IF(Data!#REF!="","",IF(AND(Data!G15="",Data!H15&lt;&gt;""),1,IF(ISNUMBER(MATCH(Data!G15,Data_Val!$C$2:$C$5,0)),0,1)))</f>
        <v>#REF!</v>
      </c>
      <c r="H23" s="12" t="e">
        <f>IF(Data!#REF!="","",IF(AND(Data!G15&lt;&gt;"",Data!H15=""),1,IF(Data!G15="",1,IF(ISNUMBER(MATCH(Data!H15,Data_Val!$D$2:$D$35,0)),0,1))))</f>
        <v>#REF!</v>
      </c>
      <c r="I23" s="38" t="str">
        <f>IF(Data!G15="","",IF(Data!G15=Data_Val!$C$2,IF(Data!I15="",0,1),0))</f>
        <v/>
      </c>
      <c r="J23" s="38" t="str">
        <f>IF(Data!I15="","",IF(ISNUMBER(MATCH(Data!J15,Data_Val!$A$2:$A$3,0)),0,1))</f>
        <v/>
      </c>
      <c r="K23" s="38" t="str">
        <f ca="1">IF(Data!I15="","",IF(ISNUMBER(Data!K15),IF(AND(Data!K15&gt;(TODAY()-(Data_Val!$K$3*365.25)),Data!K15&lt;=(TODAY()-(Data_Val!$K$2*365.25))),0,1),1))</f>
        <v/>
      </c>
      <c r="L23" s="16" t="str">
        <f>IF(Data!G15="","",IF(Data!G15=Data_Val!$C$2,IF(Data!L15="",0,1),0))</f>
        <v/>
      </c>
      <c r="M23" s="16" t="str">
        <f>IF(Data!L15="","",IF(ISNUMBER(MATCH(Data!M15,Data_Val!$A$2:$A$3,0)),0,1))</f>
        <v/>
      </c>
      <c r="N23" s="43" t="str">
        <f ca="1">IF(Data!L15="","",IF(ISNUMBER(Data!N15),IF(AND(Data!N15&gt;(TODAY()-(Data_Val!$L$3*365.25)),Data!N15&lt;=(TODAY()-(Data_Val!$L$2*365.25))),0,1),1))</f>
        <v/>
      </c>
      <c r="O23" s="18" t="str">
        <f>IF(Data!$G15="","",IF(Data!$G15=Data_Val!$C$2,IF(Data!O15="",0,1),0))</f>
        <v/>
      </c>
      <c r="P23" s="18" t="str">
        <f>IF(Data!O15="","",IF(ISNUMBER(MATCH(Data!P15,Data_Val!$A$2:$A$3,0)),0,1))</f>
        <v/>
      </c>
      <c r="Q23" s="44" t="str">
        <f ca="1">IF(Data!O15="","",IF(ISNUMBER(Data!Q15),IF(AND(Data!Q15&gt;(TODAY()-(Data_Val!$L$3*365.25)),Data!Q15&lt;=(TODAY()-(Data_Val!$L$2*365.25))),0,1),1))</f>
        <v/>
      </c>
    </row>
    <row r="24" spans="1:17" ht="12" customHeight="1" x14ac:dyDescent="0.25">
      <c r="A24" s="36" t="str">
        <f>IF(Data!B18="","",IF(COUNTIFS(Data!A$1:'Data'!A18,Data!A18)&lt;=1,0,1))</f>
        <v/>
      </c>
      <c r="B24" s="36"/>
      <c r="C24" s="36" t="e">
        <f>IF(#REF!="","",(IF(ISNUMBER(MATCH("*@*.?*",#REF!,0)),0,1)+IF(COUNTIFS(Data!C$1:#REF!,#REF!)&gt;1,1,0)))</f>
        <v>#REF!</v>
      </c>
      <c r="D24" s="36" t="str">
        <f>IF(Data!B18="","",IF(ISNUMBER(#REF!),IF(AND(#REF!&gt;999999999,#REF!&lt;=9999999999),IF(COUNTIFS(Data!D$1:#REF!,#REF!)&lt;=1,0,1),1),1))</f>
        <v/>
      </c>
      <c r="E24" s="36" t="str">
        <f>IF(Data!B18="","",IF(ISNUMBER(MATCH(#REF!,Data_Val!$A$2:$A$3,0)),0,1))</f>
        <v/>
      </c>
      <c r="F24" s="36" t="str">
        <f ca="1">IF(Data!B18="","",IF(ISNUMBER(#REF!),IF(AND(#REF!&gt;(TODAY()-(Data_Val!$H$3*365.25)),#REF!&lt;=(TODAY()-(Data_Val!$H$2*365.25))),0,1),1))</f>
        <v/>
      </c>
      <c r="G24" s="12" t="str">
        <f>IF(Data!B18="","",IF(AND(#REF!="",#REF!&lt;&gt;""),1,IF(ISNUMBER(MATCH(#REF!,Data_Val!$C$2:$C$5,0)),0,1)))</f>
        <v/>
      </c>
      <c r="H24" s="12" t="str">
        <f>IF(Data!B18="","",IF(AND(#REF!&lt;&gt;"",#REF!=""),1,IF(#REF!="",1,IF(ISNUMBER(MATCH(#REF!,Data_Val!$D$2:$D$35,0)),0,1))))</f>
        <v/>
      </c>
      <c r="I24" s="38" t="e">
        <f>IF(#REF!="","",IF(#REF!=Data_Val!$C$2,IF(#REF!="",0,1),0))</f>
        <v>#REF!</v>
      </c>
      <c r="J24" s="38" t="e">
        <f>IF(#REF!="","",IF(ISNUMBER(MATCH(#REF!,Data_Val!$A$2:$A$3,0)),0,1))</f>
        <v>#REF!</v>
      </c>
      <c r="K24" s="38" t="e">
        <f ca="1">IF(#REF!="","",IF(ISNUMBER(#REF!),IF(AND(#REF!&gt;(TODAY()-(Data_Val!$K$3*365.25)),#REF!&lt;=(TODAY()-(Data_Val!$K$2*365.25))),0,1),1))</f>
        <v>#REF!</v>
      </c>
      <c r="L24" s="16" t="e">
        <f>IF(#REF!="","",IF(#REF!=Data_Val!$C$2,IF(#REF!="",0,1),0))</f>
        <v>#REF!</v>
      </c>
      <c r="M24" s="16" t="e">
        <f>IF(#REF!="","",IF(ISNUMBER(MATCH(#REF!,Data_Val!$A$2:$A$3,0)),0,1))</f>
        <v>#REF!</v>
      </c>
      <c r="N24" s="43" t="e">
        <f ca="1">IF(#REF!="","",IF(ISNUMBER(#REF!),IF(AND(#REF!&gt;(TODAY()-(Data_Val!$L$3*365.25)),#REF!&lt;=(TODAY()-(Data_Val!$L$2*365.25))),0,1),1))</f>
        <v>#REF!</v>
      </c>
      <c r="O24" s="18" t="e">
        <f>IF(#REF!="","",IF(#REF!=Data_Val!$C$2,IF(#REF!="",0,1),0))</f>
        <v>#REF!</v>
      </c>
      <c r="P24" s="18" t="e">
        <f>IF(#REF!="","",IF(ISNUMBER(MATCH(#REF!,Data_Val!$A$2:$A$3,0)),0,1))</f>
        <v>#REF!</v>
      </c>
      <c r="Q24" s="44" t="e">
        <f ca="1">IF(#REF!="","",IF(ISNUMBER(#REF!),IF(AND(#REF!&gt;(TODAY()-(Data_Val!$L$3*365.25)),#REF!&lt;=(TODAY()-(Data_Val!$L$2*365.25))),0,1),1))</f>
        <v>#REF!</v>
      </c>
    </row>
    <row r="25" spans="1:17" ht="12" customHeight="1" x14ac:dyDescent="0.25">
      <c r="A25" s="36" t="str">
        <f>IF(Data!B19="","",IF(COUNTIFS(Data!A$1:'Data'!A19,Data!A19)&lt;=1,0,1))</f>
        <v/>
      </c>
      <c r="B25" s="36"/>
      <c r="C25" s="36" t="e">
        <f>IF(#REF!="","",(IF(ISNUMBER(MATCH("*@*.?*",#REF!,0)),0,1)+IF(COUNTIFS(Data!C$1:#REF!,#REF!)&gt;1,1,0)))</f>
        <v>#REF!</v>
      </c>
      <c r="D25" s="36" t="str">
        <f>IF(Data!B19="","",IF(ISNUMBER(#REF!),IF(AND(#REF!&gt;999999999,#REF!&lt;=9999999999),IF(COUNTIFS(Data!D$1:#REF!,#REF!)&lt;=1,0,1),1),1))</f>
        <v/>
      </c>
      <c r="E25" s="36" t="str">
        <f>IF(Data!B19="","",IF(ISNUMBER(MATCH(#REF!,Data_Val!$A$2:$A$3,0)),0,1))</f>
        <v/>
      </c>
      <c r="F25" s="36" t="str">
        <f ca="1">IF(Data!B19="","",IF(ISNUMBER(#REF!),IF(AND(#REF!&gt;(TODAY()-(Data_Val!$H$3*365.25)),#REF!&lt;=(TODAY()-(Data_Val!$H$2*365.25))),0,1),1))</f>
        <v/>
      </c>
      <c r="G25" s="12" t="str">
        <f>IF(Data!B19="","",IF(AND(#REF!="",#REF!&lt;&gt;""),1,IF(ISNUMBER(MATCH(#REF!,Data_Val!$C$2:$C$5,0)),0,1)))</f>
        <v/>
      </c>
      <c r="H25" s="12" t="str">
        <f>IF(Data!B19="","",IF(AND(#REF!&lt;&gt;"",#REF!=""),1,IF(#REF!="",1,IF(ISNUMBER(MATCH(#REF!,Data_Val!$D$2:$D$35,0)),0,1))))</f>
        <v/>
      </c>
      <c r="I25" s="38" t="e">
        <f>IF(#REF!="","",IF(#REF!=Data_Val!$C$2,IF(#REF!="",0,1),0))</f>
        <v>#REF!</v>
      </c>
      <c r="J25" s="38" t="e">
        <f>IF(#REF!="","",IF(ISNUMBER(MATCH(#REF!,Data_Val!$A$2:$A$3,0)),0,1))</f>
        <v>#REF!</v>
      </c>
      <c r="K25" s="38" t="e">
        <f ca="1">IF(#REF!="","",IF(ISNUMBER(#REF!),IF(AND(#REF!&gt;(TODAY()-(Data_Val!$K$3*365.25)),#REF!&lt;=(TODAY()-(Data_Val!$K$2*365.25))),0,1),1))</f>
        <v>#REF!</v>
      </c>
      <c r="L25" s="16" t="e">
        <f>IF(#REF!="","",IF(#REF!=Data_Val!$C$2,IF(#REF!="",0,1),0))</f>
        <v>#REF!</v>
      </c>
      <c r="M25" s="16" t="e">
        <f>IF(#REF!="","",IF(ISNUMBER(MATCH(#REF!,Data_Val!$A$2:$A$3,0)),0,1))</f>
        <v>#REF!</v>
      </c>
      <c r="N25" s="43" t="e">
        <f ca="1">IF(#REF!="","",IF(ISNUMBER(#REF!),IF(AND(#REF!&gt;(TODAY()-(Data_Val!$L$3*365.25)),#REF!&lt;=(TODAY()-(Data_Val!$L$2*365.25))),0,1),1))</f>
        <v>#REF!</v>
      </c>
      <c r="O25" s="18" t="e">
        <f>IF(#REF!="","",IF(#REF!=Data_Val!$C$2,IF(#REF!="",0,1),0))</f>
        <v>#REF!</v>
      </c>
      <c r="P25" s="18" t="e">
        <f>IF(#REF!="","",IF(ISNUMBER(MATCH(#REF!,Data_Val!$A$2:$A$3,0)),0,1))</f>
        <v>#REF!</v>
      </c>
      <c r="Q25" s="44" t="e">
        <f ca="1">IF(#REF!="","",IF(ISNUMBER(#REF!),IF(AND(#REF!&gt;(TODAY()-(Data_Val!$L$3*365.25)),#REF!&lt;=(TODAY()-(Data_Val!$L$2*365.25))),0,1),1))</f>
        <v>#REF!</v>
      </c>
    </row>
    <row r="26" spans="1:17" ht="12" customHeight="1" x14ac:dyDescent="0.25">
      <c r="A26" s="36" t="str">
        <f>IF(Data!B20="","",IF(COUNTIFS(Data!A$1:'Data'!A20,Data!A20)&lt;=1,0,1))</f>
        <v/>
      </c>
      <c r="B26" s="36"/>
      <c r="C26" s="36" t="str">
        <f>IF(Data!C16="","",(IF(ISNUMBER(MATCH("*@*.?*",Data!C16,0)),0,1)+IF(COUNTIFS(Data!C$1:'Data'!C16,Data!C16)&gt;1,1,0)))</f>
        <v/>
      </c>
      <c r="D26" s="36" t="str">
        <f>IF(Data!B20="","",IF(ISNUMBER(Data!D16),IF(AND(Data!D16&gt;999999999,Data!D16&lt;=9999999999),IF(COUNTIFS(Data!D$1:'Data'!D16,Data!D16)&lt;=1,0,1),1),1))</f>
        <v/>
      </c>
      <c r="E26" s="36" t="str">
        <f>IF(Data!B20="","",IF(ISNUMBER(MATCH(Data!E16,Data_Val!$A$2:$A$3,0)),0,1))</f>
        <v/>
      </c>
      <c r="F26" s="36" t="str">
        <f ca="1">IF(Data!B20="","",IF(ISNUMBER(Data!F16),IF(AND(Data!F16&gt;(TODAY()-(Data_Val!$H$3*365.25)),Data!F16&lt;=(TODAY()-(Data_Val!$H$2*365.25))),0,1),1))</f>
        <v/>
      </c>
      <c r="G26" s="12" t="str">
        <f>IF(Data!B20="","",IF(AND(Data!G16="",Data!H16&lt;&gt;""),1,IF(ISNUMBER(MATCH(Data!G16,Data_Val!$C$2:$C$5,0)),0,1)))</f>
        <v/>
      </c>
      <c r="H26" s="12" t="str">
        <f>IF(Data!B20="","",IF(AND(Data!G16&lt;&gt;"",Data!H16=""),1,IF(Data!G16="",1,IF(ISNUMBER(MATCH(Data!H16,Data_Val!$D$2:$D$35,0)),0,1))))</f>
        <v/>
      </c>
      <c r="I26" s="38" t="str">
        <f>IF(Data!G16="","",IF(Data!G16=Data_Val!$C$2,IF(Data!I16="",0,1),0))</f>
        <v/>
      </c>
      <c r="J26" s="38" t="str">
        <f>IF(Data!I16="","",IF(ISNUMBER(MATCH(Data!J16,Data_Val!$A$2:$A$3,0)),0,1))</f>
        <v/>
      </c>
      <c r="K26" s="38" t="str">
        <f ca="1">IF(Data!I16="","",IF(ISNUMBER(Data!K16),IF(AND(Data!K16&gt;(TODAY()-(Data_Val!$K$3*365.25)),Data!K16&lt;=(TODAY()-(Data_Val!$K$2*365.25))),0,1),1))</f>
        <v/>
      </c>
      <c r="L26" s="16" t="str">
        <f>IF(Data!G16="","",IF(Data!G16=Data_Val!$C$2,IF(Data!L16="",0,1),0))</f>
        <v/>
      </c>
      <c r="M26" s="16" t="str">
        <f>IF(Data!L16="","",IF(ISNUMBER(MATCH(Data!M16,Data_Val!$A$2:$A$3,0)),0,1))</f>
        <v/>
      </c>
      <c r="N26" s="43" t="str">
        <f ca="1">IF(Data!L16="","",IF(ISNUMBER(Data!N16),IF(AND(Data!N16&gt;(TODAY()-(Data_Val!$L$3*365.25)),Data!N16&lt;=(TODAY()-(Data_Val!$L$2*365.25))),0,1),1))</f>
        <v/>
      </c>
      <c r="O26" s="18" t="str">
        <f>IF(Data!$G16="","",IF(Data!$G16=Data_Val!$C$2,IF(Data!O16="",0,1),0))</f>
        <v/>
      </c>
      <c r="P26" s="18" t="str">
        <f>IF(Data!O16="","",IF(ISNUMBER(MATCH(Data!P16,Data_Val!$A$2:$A$3,0)),0,1))</f>
        <v/>
      </c>
      <c r="Q26" s="44" t="str">
        <f ca="1">IF(Data!O16="","",IF(ISNUMBER(Data!Q16),IF(AND(Data!Q16&gt;(TODAY()-(Data_Val!$L$3*365.25)),Data!Q16&lt;=(TODAY()-(Data_Val!$L$2*365.25))),0,1),1))</f>
        <v/>
      </c>
    </row>
    <row r="27" spans="1:17" ht="12" customHeight="1" x14ac:dyDescent="0.25">
      <c r="A27" s="36" t="str">
        <f>IF(Data!B21="","",IF(COUNTIFS(Data!A$1:'Data'!A21,Data!A21)&lt;=1,0,1))</f>
        <v/>
      </c>
      <c r="B27" s="36"/>
      <c r="C27" s="36" t="str">
        <f>IF(Data!C17="","",(IF(ISNUMBER(MATCH("*@*.?*",Data!C17,0)),0,1)+IF(COUNTIFS(Data!C$1:'Data'!C17,Data!C17)&gt;1,1,0)))</f>
        <v/>
      </c>
      <c r="D27" s="36" t="str">
        <f>IF(Data!B21="","",IF(ISNUMBER(Data!D17),IF(AND(Data!D17&gt;999999999,Data!D17&lt;=9999999999),IF(COUNTIFS(Data!D$1:'Data'!D17,Data!D17)&lt;=1,0,1),1),1))</f>
        <v/>
      </c>
      <c r="E27" s="36" t="str">
        <f>IF(Data!B21="","",IF(ISNUMBER(MATCH(Data!E17,Data_Val!$A$2:$A$3,0)),0,1))</f>
        <v/>
      </c>
      <c r="F27" s="36" t="str">
        <f ca="1">IF(Data!B21="","",IF(ISNUMBER(Data!F17),IF(AND(Data!F17&gt;(TODAY()-(Data_Val!$H$3*365.25)),Data!F17&lt;=(TODAY()-(Data_Val!$H$2*365.25))),0,1),1))</f>
        <v/>
      </c>
      <c r="G27" s="12" t="str">
        <f>IF(Data!B21="","",IF(AND(Data!G17="",Data!H17&lt;&gt;""),1,IF(ISNUMBER(MATCH(Data!G17,Data_Val!$C$2:$C$5,0)),0,1)))</f>
        <v/>
      </c>
      <c r="H27" s="12" t="str">
        <f>IF(Data!B21="","",IF(AND(Data!G17&lt;&gt;"",Data!H17=""),1,IF(Data!G17="",1,IF(ISNUMBER(MATCH(Data!H17,Data_Val!$D$2:$D$35,0)),0,1))))</f>
        <v/>
      </c>
      <c r="I27" s="38" t="str">
        <f>IF(Data!G17="","",IF(Data!G17=Data_Val!$C$2,IF(Data!I17="",0,1),0))</f>
        <v/>
      </c>
      <c r="J27" s="38" t="str">
        <f>IF(Data!I17="","",IF(ISNUMBER(MATCH(Data!J17,Data_Val!$A$2:$A$3,0)),0,1))</f>
        <v/>
      </c>
      <c r="K27" s="38" t="str">
        <f ca="1">IF(Data!I17="","",IF(ISNUMBER(Data!K17),IF(AND(Data!K17&gt;(TODAY()-(Data_Val!$K$3*365.25)),Data!K17&lt;=(TODAY()-(Data_Val!$K$2*365.25))),0,1),1))</f>
        <v/>
      </c>
      <c r="L27" s="16" t="str">
        <f>IF(Data!G17="","",IF(Data!G17=Data_Val!$C$2,IF(Data!L17="",0,1),0))</f>
        <v/>
      </c>
      <c r="M27" s="16" t="str">
        <f>IF(Data!L17="","",IF(ISNUMBER(MATCH(Data!M17,Data_Val!$A$2:$A$3,0)),0,1))</f>
        <v/>
      </c>
      <c r="N27" s="43" t="str">
        <f ca="1">IF(Data!L17="","",IF(ISNUMBER(Data!N17),IF(AND(Data!N17&gt;(TODAY()-(Data_Val!$L$3*365.25)),Data!N17&lt;=(TODAY()-(Data_Val!$L$2*365.25))),0,1),1))</f>
        <v/>
      </c>
      <c r="O27" s="18" t="str">
        <f>IF(Data!$G17="","",IF(Data!$G17=Data_Val!$C$2,IF(Data!O17="",0,1),0))</f>
        <v/>
      </c>
      <c r="P27" s="18" t="str">
        <f>IF(Data!O17="","",IF(ISNUMBER(MATCH(Data!P17,Data_Val!$A$2:$A$3,0)),0,1))</f>
        <v/>
      </c>
      <c r="Q27" s="44" t="str">
        <f ca="1">IF(Data!O17="","",IF(ISNUMBER(Data!Q17),IF(AND(Data!Q17&gt;(TODAY()-(Data_Val!$L$3*365.25)),Data!Q17&lt;=(TODAY()-(Data_Val!$L$2*365.25))),0,1),1))</f>
        <v/>
      </c>
    </row>
    <row r="28" spans="1:17" ht="12" customHeight="1" x14ac:dyDescent="0.25">
      <c r="A28" s="36" t="e">
        <f>IF(#REF!="","",IF(COUNTIFS(Data!A$1:#REF!,#REF!)&lt;=1,0,1))</f>
        <v>#REF!</v>
      </c>
      <c r="B28" s="36"/>
      <c r="C28" s="36" t="str">
        <f>IF(Data!C18="","",(IF(ISNUMBER(MATCH("*@*.?*",Data!C18,0)),0,1)+IF(COUNTIFS(Data!C$1:'Data'!C18,Data!C18)&gt;1,1,0)))</f>
        <v/>
      </c>
      <c r="D28" s="36" t="e">
        <f>IF(#REF!="","",IF(ISNUMBER(Data!D18),IF(AND(Data!D18&gt;999999999,Data!D18&lt;=9999999999),IF(COUNTIFS(Data!D$1:'Data'!D18,Data!D18)&lt;=1,0,1),1),1))</f>
        <v>#REF!</v>
      </c>
      <c r="E28" s="36" t="e">
        <f>IF(#REF!="","",IF(ISNUMBER(MATCH(Data!E18,Data_Val!$A$2:$A$3,0)),0,1))</f>
        <v>#REF!</v>
      </c>
      <c r="F28" s="36" t="e">
        <f ca="1">IF(#REF!="","",IF(ISNUMBER(Data!F18),IF(AND(Data!F18&gt;(TODAY()-(Data_Val!$H$3*365.25)),Data!F18&lt;=(TODAY()-(Data_Val!$H$2*365.25))),0,1),1))</f>
        <v>#REF!</v>
      </c>
      <c r="G28" s="12" t="e">
        <f>IF(#REF!="","",IF(AND(Data!G18="",Data!H18&lt;&gt;""),1,IF(ISNUMBER(MATCH(Data!G18,Data_Val!$C$2:$C$5,0)),0,1)))</f>
        <v>#REF!</v>
      </c>
      <c r="H28" s="12" t="e">
        <f>IF(#REF!="","",IF(AND(Data!G18&lt;&gt;"",Data!H18=""),1,IF(Data!G18="",1,IF(ISNUMBER(MATCH(Data!H18,Data_Val!$D$2:$D$35,0)),0,1))))</f>
        <v>#REF!</v>
      </c>
      <c r="I28" s="38" t="str">
        <f>IF(Data!G18="","",IF(Data!G18=Data_Val!$C$2,IF(Data!I18="",0,1),0))</f>
        <v/>
      </c>
      <c r="J28" s="38" t="str">
        <f>IF(Data!I18="","",IF(ISNUMBER(MATCH(Data!J18,Data_Val!$A$2:$A$3,0)),0,1))</f>
        <v/>
      </c>
      <c r="K28" s="38" t="str">
        <f ca="1">IF(Data!I18="","",IF(ISNUMBER(Data!K18),IF(AND(Data!K18&gt;(TODAY()-(Data_Val!$K$3*365.25)),Data!K18&lt;=(TODAY()-(Data_Val!$K$2*365.25))),0,1),1))</f>
        <v/>
      </c>
      <c r="L28" s="16" t="str">
        <f>IF(Data!G18="","",IF(Data!G18=Data_Val!$C$2,IF(Data!L18="",0,1),0))</f>
        <v/>
      </c>
      <c r="M28" s="16" t="str">
        <f>IF(Data!L18="","",IF(ISNUMBER(MATCH(Data!M18,Data_Val!$A$2:$A$3,0)),0,1))</f>
        <v/>
      </c>
      <c r="N28" s="43" t="str">
        <f ca="1">IF(Data!L18="","",IF(ISNUMBER(Data!N18),IF(AND(Data!N18&gt;(TODAY()-(Data_Val!$L$3*365.25)),Data!N18&lt;=(TODAY()-(Data_Val!$L$2*365.25))),0,1),1))</f>
        <v/>
      </c>
      <c r="O28" s="18" t="str">
        <f>IF(Data!$G18="","",IF(Data!$G18=Data_Val!$C$2,IF(Data!O18="",0,1),0))</f>
        <v/>
      </c>
      <c r="P28" s="18" t="str">
        <f>IF(Data!O18="","",IF(ISNUMBER(MATCH(Data!P18,Data_Val!$A$2:$A$3,0)),0,1))</f>
        <v/>
      </c>
      <c r="Q28" s="44" t="str">
        <f ca="1">IF(Data!O18="","",IF(ISNUMBER(Data!Q18),IF(AND(Data!Q18&gt;(TODAY()-(Data_Val!$L$3*365.25)),Data!Q18&lt;=(TODAY()-(Data_Val!$L$2*365.25))),0,1),1))</f>
        <v/>
      </c>
    </row>
    <row r="29" spans="1:17" ht="12" customHeight="1" x14ac:dyDescent="0.25">
      <c r="A29" s="36" t="e">
        <f>IF(#REF!="","",IF(COUNTIFS(Data!A$1:#REF!,#REF!)&lt;=1,0,1))</f>
        <v>#REF!</v>
      </c>
      <c r="B29" s="36"/>
      <c r="C29" s="36" t="str">
        <f>IF(Data!C19="","",(IF(ISNUMBER(MATCH("*@*.?*",Data!C19,0)),0,1)+IF(COUNTIFS(Data!C$1:'Data'!C19,Data!C19)&gt;1,1,0)))</f>
        <v/>
      </c>
      <c r="D29" s="36" t="e">
        <f>IF(#REF!="","",IF(ISNUMBER(Data!D19),IF(AND(Data!D19&gt;999999999,Data!D19&lt;=9999999999),IF(COUNTIFS(Data!D$1:'Data'!D19,Data!D19)&lt;=1,0,1),1),1))</f>
        <v>#REF!</v>
      </c>
      <c r="E29" s="36" t="e">
        <f>IF(#REF!="","",IF(ISNUMBER(MATCH(Data!E19,Data_Val!$A$2:$A$3,0)),0,1))</f>
        <v>#REF!</v>
      </c>
      <c r="F29" s="36" t="e">
        <f ca="1">IF(#REF!="","",IF(ISNUMBER(Data!F19),IF(AND(Data!F19&gt;(TODAY()-(Data_Val!$H$3*365.25)),Data!F19&lt;=(TODAY()-(Data_Val!$H$2*365.25))),0,1),1))</f>
        <v>#REF!</v>
      </c>
      <c r="G29" s="12" t="e">
        <f>IF(#REF!="","",IF(AND(Data!G19="",Data!H19&lt;&gt;""),1,IF(ISNUMBER(MATCH(Data!G19,Data_Val!$C$2:$C$5,0)),0,1)))</f>
        <v>#REF!</v>
      </c>
      <c r="H29" s="12" t="e">
        <f>IF(#REF!="","",IF(AND(Data!G19&lt;&gt;"",Data!H19=""),1,IF(Data!G19="",1,IF(ISNUMBER(MATCH(Data!H19,Data_Val!$D$2:$D$35,0)),0,1))))</f>
        <v>#REF!</v>
      </c>
      <c r="I29" s="38" t="str">
        <f>IF(Data!G19="","",IF(Data!G19=Data_Val!$C$2,IF(Data!I19="",0,1),0))</f>
        <v/>
      </c>
      <c r="J29" s="38" t="str">
        <f>IF(Data!I19="","",IF(ISNUMBER(MATCH(Data!J19,Data_Val!$A$2:$A$3,0)),0,1))</f>
        <v/>
      </c>
      <c r="K29" s="38" t="str">
        <f ca="1">IF(Data!I19="","",IF(ISNUMBER(Data!K19),IF(AND(Data!K19&gt;(TODAY()-(Data_Val!$K$3*365.25)),Data!K19&lt;=(TODAY()-(Data_Val!$K$2*365.25))),0,1),1))</f>
        <v/>
      </c>
      <c r="L29" s="16" t="str">
        <f>IF(Data!G19="","",IF(Data!G19=Data_Val!$C$2,IF(Data!L19="",0,1),0))</f>
        <v/>
      </c>
      <c r="M29" s="16" t="str">
        <f>IF(Data!L19="","",IF(ISNUMBER(MATCH(Data!M19,Data_Val!$A$2:$A$3,0)),0,1))</f>
        <v/>
      </c>
      <c r="N29" s="43" t="str">
        <f ca="1">IF(Data!L19="","",IF(ISNUMBER(Data!N19),IF(AND(Data!N19&gt;(TODAY()-(Data_Val!$L$3*365.25)),Data!N19&lt;=(TODAY()-(Data_Val!$L$2*365.25))),0,1),1))</f>
        <v/>
      </c>
      <c r="O29" s="18" t="str">
        <f>IF(Data!$G19="","",IF(Data!$G19=Data_Val!$C$2,IF(Data!O19="",0,1),0))</f>
        <v/>
      </c>
      <c r="P29" s="18" t="str">
        <f>IF(Data!O19="","",IF(ISNUMBER(MATCH(Data!P19,Data_Val!$A$2:$A$3,0)),0,1))</f>
        <v/>
      </c>
      <c r="Q29" s="44" t="str">
        <f ca="1">IF(Data!O19="","",IF(ISNUMBER(Data!Q19),IF(AND(Data!Q19&gt;(TODAY()-(Data_Val!$L$3*365.25)),Data!Q19&lt;=(TODAY()-(Data_Val!$L$2*365.25))),0,1),1))</f>
        <v/>
      </c>
    </row>
    <row r="30" spans="1:17" ht="12" customHeight="1" x14ac:dyDescent="0.25">
      <c r="A30" s="36" t="e">
        <f>IF(#REF!="","",IF(COUNTIFS(Data!A$1:#REF!,#REF!)&lt;=1,0,1))</f>
        <v>#REF!</v>
      </c>
      <c r="B30" s="36"/>
      <c r="C30" s="36" t="str">
        <f>IF(Data!C20="","",(IF(ISNUMBER(MATCH("*@*.?*",Data!C20,0)),0,1)+IF(COUNTIFS(Data!C$1:'Data'!C20,Data!C20)&gt;1,1,0)))</f>
        <v/>
      </c>
      <c r="D30" s="36" t="e">
        <f>IF(#REF!="","",IF(ISNUMBER(Data!D20),IF(AND(Data!D20&gt;999999999,Data!D20&lt;=9999999999),IF(COUNTIFS(Data!D$1:'Data'!D20,Data!D20)&lt;=1,0,1),1),1))</f>
        <v>#REF!</v>
      </c>
      <c r="E30" s="36" t="e">
        <f>IF(#REF!="","",IF(ISNUMBER(MATCH(Data!E20,Data_Val!$A$2:$A$3,0)),0,1))</f>
        <v>#REF!</v>
      </c>
      <c r="F30" s="36" t="e">
        <f ca="1">IF(#REF!="","",IF(ISNUMBER(Data!F20),IF(AND(Data!F20&gt;(TODAY()-(Data_Val!$H$3*365.25)),Data!F20&lt;=(TODAY()-(Data_Val!$H$2*365.25))),0,1),1))</f>
        <v>#REF!</v>
      </c>
      <c r="G30" s="12" t="e">
        <f>IF(#REF!="","",IF(AND(Data!G20="",Data!H20&lt;&gt;""),1,IF(ISNUMBER(MATCH(Data!G20,Data_Val!$C$2:$C$5,0)),0,1)))</f>
        <v>#REF!</v>
      </c>
      <c r="H30" s="12" t="e">
        <f>IF(#REF!="","",IF(AND(Data!G20&lt;&gt;"",Data!H20=""),1,IF(Data!G20="",1,IF(ISNUMBER(MATCH(Data!H20,Data_Val!$D$2:$D$35,0)),0,1))))</f>
        <v>#REF!</v>
      </c>
      <c r="I30" s="38" t="str">
        <f>IF(Data!G20="","",IF(Data!G20=Data_Val!$C$2,IF(Data!I20="",0,1),0))</f>
        <v/>
      </c>
      <c r="J30" s="38" t="str">
        <f>IF(Data!I20="","",IF(ISNUMBER(MATCH(Data!J20,Data_Val!$A$2:$A$3,0)),0,1))</f>
        <v/>
      </c>
      <c r="K30" s="38" t="str">
        <f ca="1">IF(Data!I20="","",IF(ISNUMBER(Data!K20),IF(AND(Data!K20&gt;(TODAY()-(Data_Val!$K$3*365.25)),Data!K20&lt;=(TODAY()-(Data_Val!$K$2*365.25))),0,1),1))</f>
        <v/>
      </c>
      <c r="L30" s="16" t="str">
        <f>IF(Data!G20="","",IF(Data!G20=Data_Val!$C$2,IF(Data!L20="",0,1),0))</f>
        <v/>
      </c>
      <c r="M30" s="16" t="str">
        <f>IF(Data!L20="","",IF(ISNUMBER(MATCH(Data!M20,Data_Val!$A$2:$A$3,0)),0,1))</f>
        <v/>
      </c>
      <c r="N30" s="43" t="str">
        <f ca="1">IF(Data!L20="","",IF(ISNUMBER(Data!N20),IF(AND(Data!N20&gt;(TODAY()-(Data_Val!$L$3*365.25)),Data!N20&lt;=(TODAY()-(Data_Val!$L$2*365.25))),0,1),1))</f>
        <v/>
      </c>
      <c r="O30" s="18" t="str">
        <f>IF(Data!$G20="","",IF(Data!$G20=Data_Val!$C$2,IF(Data!O20="",0,1),0))</f>
        <v/>
      </c>
      <c r="P30" s="18" t="str">
        <f>IF(Data!O20="","",IF(ISNUMBER(MATCH(Data!P20,Data_Val!$A$2:$A$3,0)),0,1))</f>
        <v/>
      </c>
      <c r="Q30" s="44" t="str">
        <f ca="1">IF(Data!O20="","",IF(ISNUMBER(Data!Q20),IF(AND(Data!Q20&gt;(TODAY()-(Data_Val!$L$3*365.25)),Data!Q20&lt;=(TODAY()-(Data_Val!$L$2*365.25))),0,1),1))</f>
        <v/>
      </c>
    </row>
    <row r="31" spans="1:17" ht="12" customHeight="1" x14ac:dyDescent="0.25">
      <c r="A31" s="36" t="e">
        <f>IF(#REF!="","",IF(COUNTIFS(Data!A$1:#REF!,#REF!)&lt;=1,0,1))</f>
        <v>#REF!</v>
      </c>
      <c r="B31" s="36"/>
      <c r="C31" s="36" t="str">
        <f>IF(Data!C21="","",(IF(ISNUMBER(MATCH("*@*.?*",Data!C21,0)),0,1)+IF(COUNTIFS(Data!C$1:'Data'!C21,Data!C21)&gt;1,1,0)))</f>
        <v/>
      </c>
      <c r="D31" s="36" t="e">
        <f>IF(#REF!="","",IF(ISNUMBER(Data!D21),IF(AND(Data!D21&gt;999999999,Data!D21&lt;=9999999999),IF(COUNTIFS(Data!D$1:'Data'!D21,Data!D21)&lt;=1,0,1),1),1))</f>
        <v>#REF!</v>
      </c>
      <c r="E31" s="36" t="e">
        <f>IF(#REF!="","",IF(ISNUMBER(MATCH(Data!E21,Data_Val!$A$2:$A$3,0)),0,1))</f>
        <v>#REF!</v>
      </c>
      <c r="F31" s="36" t="e">
        <f ca="1">IF(#REF!="","",IF(ISNUMBER(Data!F21),IF(AND(Data!F21&gt;(TODAY()-(Data_Val!$H$3*365.25)),Data!F21&lt;=(TODAY()-(Data_Val!$H$2*365.25))),0,1),1))</f>
        <v>#REF!</v>
      </c>
      <c r="G31" s="12" t="e">
        <f>IF(#REF!="","",IF(AND(Data!G21="",Data!H21&lt;&gt;""),1,IF(ISNUMBER(MATCH(Data!G21,Data_Val!$C$2:$C$5,0)),0,1)))</f>
        <v>#REF!</v>
      </c>
      <c r="H31" s="12" t="e">
        <f>IF(#REF!="","",IF(AND(Data!G21&lt;&gt;"",Data!H21=""),1,IF(Data!G21="",1,IF(ISNUMBER(MATCH(Data!H21,Data_Val!$D$2:$D$35,0)),0,1))))</f>
        <v>#REF!</v>
      </c>
      <c r="I31" s="38" t="str">
        <f>IF(Data!G21="","",IF(Data!G21=Data_Val!$C$2,IF(Data!I21="",0,1),0))</f>
        <v/>
      </c>
      <c r="J31" s="38" t="str">
        <f>IF(Data!I21="","",IF(ISNUMBER(MATCH(Data!J21,Data_Val!$A$2:$A$3,0)),0,1))</f>
        <v/>
      </c>
      <c r="K31" s="38" t="str">
        <f ca="1">IF(Data!I21="","",IF(ISNUMBER(Data!K21),IF(AND(Data!K21&gt;(TODAY()-(Data_Val!$K$3*365.25)),Data!K21&lt;=(TODAY()-(Data_Val!$K$2*365.25))),0,1),1))</f>
        <v/>
      </c>
      <c r="L31" s="16" t="str">
        <f>IF(Data!G21="","",IF(Data!G21=Data_Val!$C$2,IF(Data!L21="",0,1),0))</f>
        <v/>
      </c>
      <c r="M31" s="16" t="str">
        <f>IF(Data!L21="","",IF(ISNUMBER(MATCH(Data!M21,Data_Val!$A$2:$A$3,0)),0,1))</f>
        <v/>
      </c>
      <c r="N31" s="43" t="str">
        <f ca="1">IF(Data!L21="","",IF(ISNUMBER(Data!N21),IF(AND(Data!N21&gt;(TODAY()-(Data_Val!$L$3*365.25)),Data!N21&lt;=(TODAY()-(Data_Val!$L$2*365.25))),0,1),1))</f>
        <v/>
      </c>
      <c r="O31" s="18" t="str">
        <f>IF(Data!$G21="","",IF(Data!$G21=Data_Val!$C$2,IF(Data!O21="",0,1),0))</f>
        <v/>
      </c>
      <c r="P31" s="18" t="str">
        <f>IF(Data!O21="","",IF(ISNUMBER(MATCH(Data!P21,Data_Val!$A$2:$A$3,0)),0,1))</f>
        <v/>
      </c>
      <c r="Q31" s="44" t="str">
        <f ca="1">IF(Data!O21="","",IF(ISNUMBER(Data!Q21),IF(AND(Data!Q21&gt;(TODAY()-(Data_Val!$L$3*365.25)),Data!Q21&lt;=(TODAY()-(Data_Val!$L$2*365.25))),0,1),1))</f>
        <v/>
      </c>
    </row>
    <row r="32" spans="1:17" ht="12" customHeight="1" x14ac:dyDescent="0.25">
      <c r="A32" s="36" t="str">
        <f>IF(Data!B22="","",IF(COUNTIFS(Data!A$1:'Data'!A22,Data!A22)&lt;=1,0,1))</f>
        <v/>
      </c>
      <c r="B32" s="36"/>
      <c r="C32" s="36" t="str">
        <f>IF(Data!C22="","",(IF(ISNUMBER(MATCH("*@*.?*",Data!C22,0)),0,1)+IF(COUNTIFS(Data!C$1:'Data'!C22,Data!C22)&gt;1,1,0)))</f>
        <v/>
      </c>
      <c r="D32" s="36" t="str">
        <f>IF(Data!B22="","",IF(ISNUMBER(Data!D22),IF(AND(Data!D22&gt;999999999,Data!D22&lt;=9999999999),IF(COUNTIFS(Data!D$1:'Data'!D22,Data!D22)&lt;=1,0,1),1),1))</f>
        <v/>
      </c>
      <c r="E32" s="36" t="str">
        <f>IF(Data!B22="","",IF(ISNUMBER(MATCH(Data!E22,Data_Val!$A$2:$A$3,0)),0,1))</f>
        <v/>
      </c>
      <c r="F32" s="36" t="str">
        <f ca="1">IF(Data!B22="","",IF(ISNUMBER(Data!F22),IF(AND(Data!F22&gt;(TODAY()-(Data_Val!$H$3*365.25)),Data!F22&lt;=(TODAY()-(Data_Val!$H$2*365.25))),0,1),1))</f>
        <v/>
      </c>
      <c r="G32" s="12" t="str">
        <f>IF(Data!B22="","",IF(AND(Data!G22="",Data!H22&lt;&gt;""),1,IF(ISNUMBER(MATCH(Data!G22,Data_Val!$C$2:$C$5,0)),0,1)))</f>
        <v/>
      </c>
      <c r="H32" s="12" t="str">
        <f>IF(Data!B22="","",IF(AND(Data!G22&lt;&gt;"",Data!H22=""),1,IF(Data!G22="",1,IF(ISNUMBER(MATCH(Data!H22,Data_Val!$D$2:$D$35,0)),0,1))))</f>
        <v/>
      </c>
      <c r="I32" s="38" t="str">
        <f>IF(Data!G22="","",IF(Data!G22=Data_Val!$C$2,IF(Data!I22="",0,1),0))</f>
        <v/>
      </c>
      <c r="J32" s="38" t="str">
        <f>IF(Data!I22="","",IF(ISNUMBER(MATCH(Data!J22,Data_Val!$A$2:$A$3,0)),0,1))</f>
        <v/>
      </c>
      <c r="K32" s="38" t="str">
        <f ca="1">IF(Data!I22="","",IF(ISNUMBER(Data!K22),IF(AND(Data!K22&gt;(TODAY()-(Data_Val!$K$3*365.25)),Data!K22&lt;=(TODAY()-(Data_Val!$K$2*365.25))),0,1),1))</f>
        <v/>
      </c>
      <c r="L32" s="16" t="str">
        <f>IF(Data!G22="","",IF(Data!G22=Data_Val!$C$2,IF(Data!L22="",0,1),0))</f>
        <v/>
      </c>
      <c r="M32" s="16" t="str">
        <f>IF(Data!L22="","",IF(ISNUMBER(MATCH(Data!M22,Data_Val!$A$2:$A$3,0)),0,1))</f>
        <v/>
      </c>
      <c r="N32" s="43" t="str">
        <f ca="1">IF(Data!L22="","",IF(ISNUMBER(Data!N22),IF(AND(Data!N22&gt;(TODAY()-(Data_Val!$L$3*365.25)),Data!N22&lt;=(TODAY()-(Data_Val!$L$2*365.25))),0,1),1))</f>
        <v/>
      </c>
      <c r="O32" s="18" t="str">
        <f>IF(Data!$G22="","",IF(Data!$G22=Data_Val!$C$2,IF(Data!O22="",0,1),0))</f>
        <v/>
      </c>
      <c r="P32" s="18" t="str">
        <f>IF(Data!O22="","",IF(ISNUMBER(MATCH(Data!P22,Data_Val!$A$2:$A$3,0)),0,1))</f>
        <v/>
      </c>
      <c r="Q32" s="44" t="str">
        <f ca="1">IF(Data!O22="","",IF(ISNUMBER(Data!Q22),IF(AND(Data!Q22&gt;(TODAY()-(Data_Val!$L$3*365.25)),Data!Q22&lt;=(TODAY()-(Data_Val!$L$2*365.25))),0,1),1))</f>
        <v/>
      </c>
    </row>
    <row r="33" spans="1:17" ht="12" customHeight="1" x14ac:dyDescent="0.25">
      <c r="A33" s="36" t="str">
        <f>IF(Data!B23="","",IF(COUNTIFS(Data!A$1:'Data'!A23,Data!A23)&lt;=1,0,1))</f>
        <v/>
      </c>
      <c r="B33" s="36"/>
      <c r="C33" s="36" t="str">
        <f>IF(Data!C23="","",(IF(ISNUMBER(MATCH("*@*.?*",Data!C23,0)),0,1)+IF(COUNTIFS(Data!C$1:'Data'!C23,Data!C23)&gt;1,1,0)))</f>
        <v/>
      </c>
      <c r="D33" s="36" t="str">
        <f>IF(Data!B23="","",IF(ISNUMBER(Data!D23),IF(AND(Data!D23&gt;999999999,Data!D23&lt;=9999999999),IF(COUNTIFS(Data!D$1:'Data'!D23,Data!D23)&lt;=1,0,1),1),1))</f>
        <v/>
      </c>
      <c r="E33" s="36" t="str">
        <f>IF(Data!B23="","",IF(ISNUMBER(MATCH(Data!E23,Data_Val!$A$2:$A$3,0)),0,1))</f>
        <v/>
      </c>
      <c r="F33" s="36" t="str">
        <f ca="1">IF(Data!B23="","",IF(ISNUMBER(Data!F23),IF(AND(Data!F23&gt;(TODAY()-(Data_Val!$H$3*365.25)),Data!F23&lt;=(TODAY()-(Data_Val!$H$2*365.25))),0,1),1))</f>
        <v/>
      </c>
      <c r="G33" s="12" t="str">
        <f>IF(Data!B23="","",IF(AND(Data!G23="",Data!H23&lt;&gt;""),1,IF(ISNUMBER(MATCH(Data!G23,Data_Val!$C$2:$C$5,0)),0,1)))</f>
        <v/>
      </c>
      <c r="H33" s="12" t="str">
        <f>IF(Data!B23="","",IF(AND(Data!G23&lt;&gt;"",Data!H23=""),1,IF(Data!G23="",1,IF(ISNUMBER(MATCH(Data!H23,Data_Val!$D$2:$D$35,0)),0,1))))</f>
        <v/>
      </c>
      <c r="I33" s="38" t="str">
        <f>IF(Data!G23="","",IF(Data!G23=Data_Val!$C$2,IF(Data!I23="",0,1),0))</f>
        <v/>
      </c>
      <c r="J33" s="38" t="str">
        <f>IF(Data!I23="","",IF(ISNUMBER(MATCH(Data!J23,Data_Val!$A$2:$A$3,0)),0,1))</f>
        <v/>
      </c>
      <c r="K33" s="38" t="str">
        <f ca="1">IF(Data!I23="","",IF(ISNUMBER(Data!K23),IF(AND(Data!K23&gt;(TODAY()-(Data_Val!$K$3*365.25)),Data!K23&lt;=(TODAY()-(Data_Val!$K$2*365.25))),0,1),1))</f>
        <v/>
      </c>
      <c r="L33" s="16" t="str">
        <f>IF(Data!G23="","",IF(Data!G23=Data_Val!$C$2,IF(Data!L23="",0,1),0))</f>
        <v/>
      </c>
      <c r="M33" s="16" t="str">
        <f>IF(Data!L23="","",IF(ISNUMBER(MATCH(Data!M23,Data_Val!$A$2:$A$3,0)),0,1))</f>
        <v/>
      </c>
      <c r="N33" s="43" t="str">
        <f ca="1">IF(Data!L23="","",IF(ISNUMBER(Data!N23),IF(AND(Data!N23&gt;(TODAY()-(Data_Val!$L$3*365.25)),Data!N23&lt;=(TODAY()-(Data_Val!$L$2*365.25))),0,1),1))</f>
        <v/>
      </c>
      <c r="O33" s="18" t="str">
        <f>IF(Data!$G23="","",IF(Data!$G23=Data_Val!$C$2,IF(Data!O23="",0,1),0))</f>
        <v/>
      </c>
      <c r="P33" s="18" t="str">
        <f>IF(Data!O23="","",IF(ISNUMBER(MATCH(Data!P23,Data_Val!$A$2:$A$3,0)),0,1))</f>
        <v/>
      </c>
      <c r="Q33" s="44" t="str">
        <f ca="1">IF(Data!O23="","",IF(ISNUMBER(Data!Q23),IF(AND(Data!Q23&gt;(TODAY()-(Data_Val!$L$3*365.25)),Data!Q23&lt;=(TODAY()-(Data_Val!$L$2*365.25))),0,1),1))</f>
        <v/>
      </c>
    </row>
    <row r="34" spans="1:17" ht="12" customHeight="1" x14ac:dyDescent="0.25">
      <c r="A34" s="36" t="str">
        <f>IF(Data!B24="","",IF(COUNTIFS(Data!A$1:'Data'!A24,Data!A24)&lt;=1,0,1))</f>
        <v/>
      </c>
      <c r="B34" s="36"/>
      <c r="C34" s="36" t="str">
        <f>IF(Data!C24="","",(IF(ISNUMBER(MATCH("*@*.?*",Data!C24,0)),0,1)+IF(COUNTIFS(Data!C$1:'Data'!C24,Data!C24)&gt;1,1,0)))</f>
        <v/>
      </c>
      <c r="D34" s="36" t="str">
        <f>IF(Data!B24="","",IF(ISNUMBER(Data!D24),IF(AND(Data!D24&gt;999999999,Data!D24&lt;=9999999999),IF(COUNTIFS(Data!D$1:'Data'!D24,Data!D24)&lt;=1,0,1),1),1))</f>
        <v/>
      </c>
      <c r="E34" s="36" t="str">
        <f>IF(Data!B24="","",IF(ISNUMBER(MATCH(Data!E24,Data_Val!$A$2:$A$3,0)),0,1))</f>
        <v/>
      </c>
      <c r="F34" s="36" t="str">
        <f ca="1">IF(Data!B24="","",IF(ISNUMBER(Data!F24),IF(AND(Data!F24&gt;(TODAY()-(Data_Val!$H$3*365.25)),Data!F24&lt;=(TODAY()-(Data_Val!$H$2*365.25))),0,1),1))</f>
        <v/>
      </c>
      <c r="G34" s="12" t="str">
        <f>IF(Data!B24="","",IF(AND(Data!G24="",Data!H24&lt;&gt;""),1,IF(ISNUMBER(MATCH(Data!G24,Data_Val!$C$2:$C$5,0)),0,1)))</f>
        <v/>
      </c>
      <c r="H34" s="12" t="str">
        <f>IF(Data!B24="","",IF(AND(Data!G24&lt;&gt;"",Data!H24=""),1,IF(Data!G24="",1,IF(ISNUMBER(MATCH(Data!H24,Data_Val!$D$2:$D$35,0)),0,1))))</f>
        <v/>
      </c>
      <c r="I34" s="38" t="str">
        <f>IF(Data!G24="","",IF(Data!G24=Data_Val!$C$2,IF(Data!I24="",0,1),0))</f>
        <v/>
      </c>
      <c r="J34" s="38" t="str">
        <f>IF(Data!I24="","",IF(ISNUMBER(MATCH(Data!J24,Data_Val!$A$2:$A$3,0)),0,1))</f>
        <v/>
      </c>
      <c r="K34" s="38" t="str">
        <f ca="1">IF(Data!I24="","",IF(ISNUMBER(Data!K24),IF(AND(Data!K24&gt;(TODAY()-(Data_Val!$K$3*365.25)),Data!K24&lt;=(TODAY()-(Data_Val!$K$2*365.25))),0,1),1))</f>
        <v/>
      </c>
      <c r="L34" s="16" t="str">
        <f>IF(Data!G24="","",IF(Data!G24=Data_Val!$C$2,IF(Data!L24="",0,1),0))</f>
        <v/>
      </c>
      <c r="M34" s="16" t="str">
        <f>IF(Data!L24="","",IF(ISNUMBER(MATCH(Data!M24,Data_Val!$A$2:$A$3,0)),0,1))</f>
        <v/>
      </c>
      <c r="N34" s="43" t="str">
        <f ca="1">IF(Data!L24="","",IF(ISNUMBER(Data!N24),IF(AND(Data!N24&gt;(TODAY()-(Data_Val!$L$3*365.25)),Data!N24&lt;=(TODAY()-(Data_Val!$L$2*365.25))),0,1),1))</f>
        <v/>
      </c>
      <c r="O34" s="18" t="str">
        <f>IF(Data!$G24="","",IF(Data!$G24=Data_Val!$C$2,IF(Data!O24="",0,1),0))</f>
        <v/>
      </c>
      <c r="P34" s="18" t="str">
        <f>IF(Data!O24="","",IF(ISNUMBER(MATCH(Data!P24,Data_Val!$A$2:$A$3,0)),0,1))</f>
        <v/>
      </c>
      <c r="Q34" s="44" t="str">
        <f ca="1">IF(Data!O24="","",IF(ISNUMBER(Data!Q24),IF(AND(Data!Q24&gt;(TODAY()-(Data_Val!$L$3*365.25)),Data!Q24&lt;=(TODAY()-(Data_Val!$L$2*365.25))),0,1),1))</f>
        <v/>
      </c>
    </row>
    <row r="35" spans="1:17" ht="12" customHeight="1" x14ac:dyDescent="0.25">
      <c r="A35" s="36" t="str">
        <f>IF(Data!B25="","",IF(COUNTIFS(Data!A$1:'Data'!A25,Data!A25)&lt;=1,0,1))</f>
        <v/>
      </c>
      <c r="B35" s="36"/>
      <c r="C35" s="36" t="str">
        <f>IF(Data!C25="","",(IF(ISNUMBER(MATCH("*@*.?*",Data!C25,0)),0,1)+IF(COUNTIFS(Data!C$1:'Data'!C25,Data!C25)&gt;1,1,0)))</f>
        <v/>
      </c>
      <c r="D35" s="36" t="str">
        <f>IF(Data!B25="","",IF(ISNUMBER(Data!D25),IF(AND(Data!D25&gt;999999999,Data!D25&lt;=9999999999),IF(COUNTIFS(Data!D$1:'Data'!D25,Data!D25)&lt;=1,0,1),1),1))</f>
        <v/>
      </c>
      <c r="E35" s="36" t="str">
        <f>IF(Data!B25="","",IF(ISNUMBER(MATCH(Data!E25,Data_Val!$A$2:$A$3,0)),0,1))</f>
        <v/>
      </c>
      <c r="F35" s="36" t="str">
        <f ca="1">IF(Data!B25="","",IF(ISNUMBER(Data!F25),IF(AND(Data!F25&gt;(TODAY()-(Data_Val!$H$3*365.25)),Data!F25&lt;=(TODAY()-(Data_Val!$H$2*365.25))),0,1),1))</f>
        <v/>
      </c>
      <c r="G35" s="12" t="str">
        <f>IF(Data!B25="","",IF(AND(Data!G25="",Data!H25&lt;&gt;""),1,IF(ISNUMBER(MATCH(Data!G25,Data_Val!$C$2:$C$5,0)),0,1)))</f>
        <v/>
      </c>
      <c r="H35" s="12" t="str">
        <f>IF(Data!B25="","",IF(AND(Data!G25&lt;&gt;"",Data!H25=""),1,IF(Data!G25="",1,IF(ISNUMBER(MATCH(Data!H25,Data_Val!$D$2:$D$35,0)),0,1))))</f>
        <v/>
      </c>
      <c r="I35" s="38" t="str">
        <f>IF(Data!G25="","",IF(Data!G25=Data_Val!$C$2,IF(Data!I25="",0,1),0))</f>
        <v/>
      </c>
      <c r="J35" s="38" t="str">
        <f>IF(Data!I25="","",IF(ISNUMBER(MATCH(Data!J25,Data_Val!$A$2:$A$3,0)),0,1))</f>
        <v/>
      </c>
      <c r="K35" s="38" t="str">
        <f ca="1">IF(Data!I25="","",IF(ISNUMBER(Data!K25),IF(AND(Data!K25&gt;(TODAY()-(Data_Val!$K$3*365.25)),Data!K25&lt;=(TODAY()-(Data_Val!$K$2*365.25))),0,1),1))</f>
        <v/>
      </c>
      <c r="L35" s="16" t="str">
        <f>IF(Data!G25="","",IF(Data!G25=Data_Val!$C$2,IF(Data!L25="",0,1),0))</f>
        <v/>
      </c>
      <c r="M35" s="16" t="str">
        <f>IF(Data!L25="","",IF(ISNUMBER(MATCH(Data!M25,Data_Val!$A$2:$A$3,0)),0,1))</f>
        <v/>
      </c>
      <c r="N35" s="43" t="str">
        <f ca="1">IF(Data!L25="","",IF(ISNUMBER(Data!N25),IF(AND(Data!N25&gt;(TODAY()-(Data_Val!$L$3*365.25)),Data!N25&lt;=(TODAY()-(Data_Val!$L$2*365.25))),0,1),1))</f>
        <v/>
      </c>
      <c r="O35" s="18" t="str">
        <f>IF(Data!$G25="","",IF(Data!$G25=Data_Val!$C$2,IF(Data!O25="",0,1),0))</f>
        <v/>
      </c>
      <c r="P35" s="18" t="str">
        <f>IF(Data!O25="","",IF(ISNUMBER(MATCH(Data!P25,Data_Val!$A$2:$A$3,0)),0,1))</f>
        <v/>
      </c>
      <c r="Q35" s="44" t="str">
        <f ca="1">IF(Data!O25="","",IF(ISNUMBER(Data!Q25),IF(AND(Data!Q25&gt;(TODAY()-(Data_Val!$L$3*365.25)),Data!Q25&lt;=(TODAY()-(Data_Val!$L$2*365.25))),0,1),1))</f>
        <v/>
      </c>
    </row>
    <row r="36" spans="1:17" ht="12" customHeight="1" x14ac:dyDescent="0.25">
      <c r="A36" s="36" t="str">
        <f>IF(Data!B26="","",IF(COUNTIFS(Data!A$1:'Data'!A26,Data!A26)&lt;=1,0,1))</f>
        <v/>
      </c>
      <c r="B36" s="36"/>
      <c r="C36" s="36" t="str">
        <f>IF(Data!C26="","",(IF(ISNUMBER(MATCH("*@*.?*",Data!C26,0)),0,1)+IF(COUNTIFS(Data!C$1:'Data'!C26,Data!C26)&gt;1,1,0)))</f>
        <v/>
      </c>
      <c r="D36" s="36" t="str">
        <f>IF(Data!B26="","",IF(ISNUMBER(Data!D26),IF(AND(Data!D26&gt;999999999,Data!D26&lt;=9999999999),IF(COUNTIFS(Data!D$1:'Data'!D26,Data!D26)&lt;=1,0,1),1),1))</f>
        <v/>
      </c>
      <c r="E36" s="36" t="str">
        <f>IF(Data!B26="","",IF(ISNUMBER(MATCH(Data!E26,Data_Val!$A$2:$A$3,0)),0,1))</f>
        <v/>
      </c>
      <c r="F36" s="36" t="str">
        <f ca="1">IF(Data!B26="","",IF(ISNUMBER(Data!F26),IF(AND(Data!F26&gt;(TODAY()-(Data_Val!$H$3*365.25)),Data!F26&lt;=(TODAY()-(Data_Val!$H$2*365.25))),0,1),1))</f>
        <v/>
      </c>
      <c r="G36" s="12" t="str">
        <f>IF(Data!B26="","",IF(AND(Data!G26="",Data!H26&lt;&gt;""),1,IF(ISNUMBER(MATCH(Data!G26,Data_Val!$C$2:$C$5,0)),0,1)))</f>
        <v/>
      </c>
      <c r="H36" s="12" t="str">
        <f>IF(Data!B26="","",IF(AND(Data!G26&lt;&gt;"",Data!H26=""),1,IF(Data!G26="",1,IF(ISNUMBER(MATCH(Data!H26,Data_Val!$D$2:$D$35,0)),0,1))))</f>
        <v/>
      </c>
      <c r="I36" s="38" t="str">
        <f>IF(Data!G26="","",IF(Data!G26=Data_Val!$C$2,IF(Data!I26="",0,1),0))</f>
        <v/>
      </c>
      <c r="J36" s="38" t="str">
        <f>IF(Data!I26="","",IF(ISNUMBER(MATCH(Data!J26,Data_Val!$A$2:$A$3,0)),0,1))</f>
        <v/>
      </c>
      <c r="K36" s="38" t="str">
        <f ca="1">IF(Data!I26="","",IF(ISNUMBER(Data!K26),IF(AND(Data!K26&gt;(TODAY()-(Data_Val!$K$3*365.25)),Data!K26&lt;=(TODAY()-(Data_Val!$K$2*365.25))),0,1),1))</f>
        <v/>
      </c>
      <c r="L36" s="16" t="str">
        <f>IF(Data!G26="","",IF(Data!G26=Data_Val!$C$2,IF(Data!L26="",0,1),0))</f>
        <v/>
      </c>
      <c r="M36" s="16" t="str">
        <f>IF(Data!L26="","",IF(ISNUMBER(MATCH(Data!M26,Data_Val!$A$2:$A$3,0)),0,1))</f>
        <v/>
      </c>
      <c r="N36" s="43" t="str">
        <f ca="1">IF(Data!L26="","",IF(ISNUMBER(Data!N26),IF(AND(Data!N26&gt;(TODAY()-(Data_Val!$L$3*365.25)),Data!N26&lt;=(TODAY()-(Data_Val!$L$2*365.25))),0,1),1))</f>
        <v/>
      </c>
      <c r="O36" s="18" t="str">
        <f>IF(Data!$G26="","",IF(Data!$G26=Data_Val!$C$2,IF(Data!O26="",0,1),0))</f>
        <v/>
      </c>
      <c r="P36" s="18" t="str">
        <f>IF(Data!O26="","",IF(ISNUMBER(MATCH(Data!P26,Data_Val!$A$2:$A$3,0)),0,1))</f>
        <v/>
      </c>
      <c r="Q36" s="44" t="str">
        <f ca="1">IF(Data!O26="","",IF(ISNUMBER(Data!Q26),IF(AND(Data!Q26&gt;(TODAY()-(Data_Val!$L$3*365.25)),Data!Q26&lt;=(TODAY()-(Data_Val!$L$2*365.25))),0,1),1))</f>
        <v/>
      </c>
    </row>
    <row r="37" spans="1:17" ht="12" customHeight="1" x14ac:dyDescent="0.25">
      <c r="A37" s="36" t="str">
        <f>IF(Data!B27="","",IF(COUNTIFS(Data!A$1:'Data'!A27,Data!A27)&lt;=1,0,1))</f>
        <v/>
      </c>
      <c r="B37" s="36"/>
      <c r="C37" s="36" t="str">
        <f>IF(Data!C27="","",(IF(ISNUMBER(MATCH("*@*.?*",Data!C27,0)),0,1)+IF(COUNTIFS(Data!C$1:'Data'!C27,Data!C27)&gt;1,1,0)))</f>
        <v/>
      </c>
      <c r="D37" s="36" t="str">
        <f>IF(Data!B27="","",IF(ISNUMBER(Data!D27),IF(AND(Data!D27&gt;999999999,Data!D27&lt;=9999999999),IF(COUNTIFS(Data!D$1:'Data'!D27,Data!D27)&lt;=1,0,1),1),1))</f>
        <v/>
      </c>
      <c r="E37" s="36" t="str">
        <f>IF(Data!B27="","",IF(ISNUMBER(MATCH(Data!E27,Data_Val!$A$2:$A$3,0)),0,1))</f>
        <v/>
      </c>
      <c r="F37" s="36" t="str">
        <f ca="1">IF(Data!B27="","",IF(ISNUMBER(Data!F27),IF(AND(Data!F27&gt;(TODAY()-(Data_Val!$H$3*365.25)),Data!F27&lt;=(TODAY()-(Data_Val!$H$2*365.25))),0,1),1))</f>
        <v/>
      </c>
      <c r="G37" s="12" t="str">
        <f>IF(Data!B27="","",IF(AND(Data!G27="",Data!H27&lt;&gt;""),1,IF(ISNUMBER(MATCH(Data!G27,Data_Val!$C$2:$C$5,0)),0,1)))</f>
        <v/>
      </c>
      <c r="H37" s="12" t="str">
        <f>IF(Data!B27="","",IF(AND(Data!G27&lt;&gt;"",Data!H27=""),1,IF(Data!G27="",1,IF(ISNUMBER(MATCH(Data!H27,Data_Val!$D$2:$D$35,0)),0,1))))</f>
        <v/>
      </c>
      <c r="I37" s="38" t="str">
        <f>IF(Data!G27="","",IF(Data!G27=Data_Val!$C$2,IF(Data!I27="",0,1),0))</f>
        <v/>
      </c>
      <c r="J37" s="38" t="str">
        <f>IF(Data!I27="","",IF(ISNUMBER(MATCH(Data!J27,Data_Val!$A$2:$A$3,0)),0,1))</f>
        <v/>
      </c>
      <c r="K37" s="38" t="str">
        <f ca="1">IF(Data!I27="","",IF(ISNUMBER(Data!K27),IF(AND(Data!K27&gt;(TODAY()-(Data_Val!$K$3*365.25)),Data!K27&lt;=(TODAY()-(Data_Val!$K$2*365.25))),0,1),1))</f>
        <v/>
      </c>
      <c r="L37" s="16" t="str">
        <f>IF(Data!G27="","",IF(Data!G27=Data_Val!$C$2,IF(Data!L27="",0,1),0))</f>
        <v/>
      </c>
      <c r="M37" s="16" t="str">
        <f>IF(Data!L27="","",IF(ISNUMBER(MATCH(Data!M27,Data_Val!$A$2:$A$3,0)),0,1))</f>
        <v/>
      </c>
      <c r="N37" s="43" t="str">
        <f ca="1">IF(Data!L27="","",IF(ISNUMBER(Data!N27),IF(AND(Data!N27&gt;(TODAY()-(Data_Val!$L$3*365.25)),Data!N27&lt;=(TODAY()-(Data_Val!$L$2*365.25))),0,1),1))</f>
        <v/>
      </c>
      <c r="O37" s="18" t="str">
        <f>IF(Data!$G27="","",IF(Data!$G27=Data_Val!$C$2,IF(Data!O27="",0,1),0))</f>
        <v/>
      </c>
      <c r="P37" s="18" t="str">
        <f>IF(Data!O27="","",IF(ISNUMBER(MATCH(Data!P27,Data_Val!$A$2:$A$3,0)),0,1))</f>
        <v/>
      </c>
      <c r="Q37" s="44" t="str">
        <f ca="1">IF(Data!O27="","",IF(ISNUMBER(Data!Q27),IF(AND(Data!Q27&gt;(TODAY()-(Data_Val!$L$3*365.25)),Data!Q27&lt;=(TODAY()-(Data_Val!$L$2*365.25))),0,1),1))</f>
        <v/>
      </c>
    </row>
    <row r="38" spans="1:17" ht="12" customHeight="1" x14ac:dyDescent="0.25">
      <c r="A38" s="36" t="str">
        <f>IF(Data!B28="","",IF(COUNTIFS(Data!A$1:'Data'!A28,Data!A28)&lt;=1,0,1))</f>
        <v/>
      </c>
      <c r="B38" s="36"/>
      <c r="C38" s="36" t="str">
        <f>IF(Data!C28="","",(IF(ISNUMBER(MATCH("*@*.?*",Data!C28,0)),0,1)+IF(COUNTIFS(Data!C$1:'Data'!C28,Data!C28)&gt;1,1,0)))</f>
        <v/>
      </c>
      <c r="D38" s="36" t="str">
        <f>IF(Data!B28="","",IF(ISNUMBER(Data!D28),IF(AND(Data!D28&gt;999999999,Data!D28&lt;=9999999999),IF(COUNTIFS(Data!D$1:'Data'!D28,Data!D28)&lt;=1,0,1),1),1))</f>
        <v/>
      </c>
      <c r="E38" s="36" t="str">
        <f>IF(Data!B28="","",IF(ISNUMBER(MATCH(Data!E28,Data_Val!$A$2:$A$3,0)),0,1))</f>
        <v/>
      </c>
      <c r="F38" s="36" t="str">
        <f ca="1">IF(Data!B28="","",IF(ISNUMBER(Data!F28),IF(AND(Data!F28&gt;(TODAY()-(Data_Val!$H$3*365.25)),Data!F28&lt;=(TODAY()-(Data_Val!$H$2*365.25))),0,1),1))</f>
        <v/>
      </c>
      <c r="G38" s="12" t="str">
        <f>IF(Data!B28="","",IF(AND(Data!G28="",Data!H28&lt;&gt;""),1,IF(ISNUMBER(MATCH(Data!G28,Data_Val!$C$2:$C$5,0)),0,1)))</f>
        <v/>
      </c>
      <c r="H38" s="12" t="str">
        <f>IF(Data!B28="","",IF(AND(Data!G28&lt;&gt;"",Data!H28=""),1,IF(Data!G28="",1,IF(ISNUMBER(MATCH(Data!H28,Data_Val!$D$2:$D$35,0)),0,1))))</f>
        <v/>
      </c>
      <c r="I38" s="38" t="str">
        <f>IF(Data!G28="","",IF(Data!G28=Data_Val!$C$2,IF(Data!I28="",0,1),0))</f>
        <v/>
      </c>
      <c r="J38" s="38" t="str">
        <f>IF(Data!I28="","",IF(ISNUMBER(MATCH(Data!J28,Data_Val!$A$2:$A$3,0)),0,1))</f>
        <v/>
      </c>
      <c r="K38" s="38" t="str">
        <f ca="1">IF(Data!I28="","",IF(ISNUMBER(Data!K28),IF(AND(Data!K28&gt;(TODAY()-(Data_Val!$K$3*365.25)),Data!K28&lt;=(TODAY()-(Data_Val!$K$2*365.25))),0,1),1))</f>
        <v/>
      </c>
      <c r="L38" s="16" t="str">
        <f>IF(Data!G28="","",IF(Data!G28=Data_Val!$C$2,IF(Data!L28="",0,1),0))</f>
        <v/>
      </c>
      <c r="M38" s="16" t="str">
        <f>IF(Data!L28="","",IF(ISNUMBER(MATCH(Data!M28,Data_Val!$A$2:$A$3,0)),0,1))</f>
        <v/>
      </c>
      <c r="N38" s="43" t="str">
        <f ca="1">IF(Data!L28="","",IF(ISNUMBER(Data!N28),IF(AND(Data!N28&gt;(TODAY()-(Data_Val!$L$3*365.25)),Data!N28&lt;=(TODAY()-(Data_Val!$L$2*365.25))),0,1),1))</f>
        <v/>
      </c>
      <c r="O38" s="18" t="str">
        <f>IF(Data!$G28="","",IF(Data!$G28=Data_Val!$C$2,IF(Data!O28="",0,1),0))</f>
        <v/>
      </c>
      <c r="P38" s="18" t="str">
        <f>IF(Data!O28="","",IF(ISNUMBER(MATCH(Data!P28,Data_Val!$A$2:$A$3,0)),0,1))</f>
        <v/>
      </c>
      <c r="Q38" s="44" t="str">
        <f ca="1">IF(Data!O28="","",IF(ISNUMBER(Data!Q28),IF(AND(Data!Q28&gt;(TODAY()-(Data_Val!$L$3*365.25)),Data!Q28&lt;=(TODAY()-(Data_Val!$L$2*365.25))),0,1),1))</f>
        <v/>
      </c>
    </row>
    <row r="39" spans="1:17" ht="12" customHeight="1" x14ac:dyDescent="0.25">
      <c r="A39" s="36" t="str">
        <f>IF(Data!B29="","",IF(COUNTIFS(Data!A$1:'Data'!A29,Data!A29)&lt;=1,0,1))</f>
        <v/>
      </c>
      <c r="B39" s="36"/>
      <c r="C39" s="36" t="str">
        <f>IF(Data!C29="","",(IF(ISNUMBER(MATCH("*@*.?*",Data!C29,0)),0,1)+IF(COUNTIFS(Data!C$1:'Data'!C29,Data!C29)&gt;1,1,0)))</f>
        <v/>
      </c>
      <c r="D39" s="36" t="str">
        <f>IF(Data!B29="","",IF(ISNUMBER(Data!D29),IF(AND(Data!D29&gt;999999999,Data!D29&lt;=9999999999),IF(COUNTIFS(Data!D$1:'Data'!D29,Data!D29)&lt;=1,0,1),1),1))</f>
        <v/>
      </c>
      <c r="E39" s="36" t="str">
        <f>IF(Data!B29="","",IF(ISNUMBER(MATCH(Data!E29,Data_Val!$A$2:$A$3,0)),0,1))</f>
        <v/>
      </c>
      <c r="F39" s="36" t="str">
        <f ca="1">IF(Data!B29="","",IF(ISNUMBER(Data!F29),IF(AND(Data!F29&gt;(TODAY()-(Data_Val!$H$3*365.25)),Data!F29&lt;=(TODAY()-(Data_Val!$H$2*365.25))),0,1),1))</f>
        <v/>
      </c>
      <c r="G39" s="12" t="str">
        <f>IF(Data!B29="","",IF(AND(Data!G29="",Data!H29&lt;&gt;""),1,IF(ISNUMBER(MATCH(Data!G29,Data_Val!$C$2:$C$5,0)),0,1)))</f>
        <v/>
      </c>
      <c r="H39" s="12" t="str">
        <f>IF(Data!B29="","",IF(AND(Data!G29&lt;&gt;"",Data!H29=""),1,IF(Data!G29="",1,IF(ISNUMBER(MATCH(Data!H29,Data_Val!$D$2:$D$35,0)),0,1))))</f>
        <v/>
      </c>
      <c r="I39" s="38" t="str">
        <f>IF(Data!G29="","",IF(Data!G29=Data_Val!$C$2,IF(Data!I29="",0,1),0))</f>
        <v/>
      </c>
      <c r="J39" s="38" t="str">
        <f>IF(Data!I29="","",IF(ISNUMBER(MATCH(Data!J29,Data_Val!$A$2:$A$3,0)),0,1))</f>
        <v/>
      </c>
      <c r="K39" s="38" t="str">
        <f ca="1">IF(Data!I29="","",IF(ISNUMBER(Data!K29),IF(AND(Data!K29&gt;(TODAY()-(Data_Val!$K$3*365.25)),Data!K29&lt;=(TODAY()-(Data_Val!$K$2*365.25))),0,1),1))</f>
        <v/>
      </c>
      <c r="L39" s="16" t="str">
        <f>IF(Data!G29="","",IF(Data!G29=Data_Val!$C$2,IF(Data!L29="",0,1),0))</f>
        <v/>
      </c>
      <c r="M39" s="16" t="str">
        <f>IF(Data!L29="","",IF(ISNUMBER(MATCH(Data!M29,Data_Val!$A$2:$A$3,0)),0,1))</f>
        <v/>
      </c>
      <c r="N39" s="43" t="str">
        <f ca="1">IF(Data!L29="","",IF(ISNUMBER(Data!N29),IF(AND(Data!N29&gt;(TODAY()-(Data_Val!$L$3*365.25)),Data!N29&lt;=(TODAY()-(Data_Val!$L$2*365.25))),0,1),1))</f>
        <v/>
      </c>
      <c r="O39" s="18" t="str">
        <f>IF(Data!$G29="","",IF(Data!$G29=Data_Val!$C$2,IF(Data!O29="",0,1),0))</f>
        <v/>
      </c>
      <c r="P39" s="18" t="str">
        <f>IF(Data!O29="","",IF(ISNUMBER(MATCH(Data!P29,Data_Val!$A$2:$A$3,0)),0,1))</f>
        <v/>
      </c>
      <c r="Q39" s="44" t="str">
        <f ca="1">IF(Data!O29="","",IF(ISNUMBER(Data!Q29),IF(AND(Data!Q29&gt;(TODAY()-(Data_Val!$L$3*365.25)),Data!Q29&lt;=(TODAY()-(Data_Val!$L$2*365.25))),0,1),1))</f>
        <v/>
      </c>
    </row>
    <row r="40" spans="1:17" ht="12" customHeight="1" x14ac:dyDescent="0.25">
      <c r="A40" s="36" t="str">
        <f>IF(Data!B30="","",IF(COUNTIFS(Data!A$1:'Data'!A30,Data!A30)&lt;=1,0,1))</f>
        <v/>
      </c>
      <c r="B40" s="36"/>
      <c r="C40" s="36" t="str">
        <f>IF(Data!C30="","",(IF(ISNUMBER(MATCH("*@*.?*",Data!C30,0)),0,1)+IF(COUNTIFS(Data!C$1:'Data'!C30,Data!C30)&gt;1,1,0)))</f>
        <v/>
      </c>
      <c r="D40" s="36" t="str">
        <f>IF(Data!B30="","",IF(ISNUMBER(Data!D30),IF(AND(Data!D30&gt;999999999,Data!D30&lt;=9999999999),IF(COUNTIFS(Data!D$1:'Data'!D30,Data!D30)&lt;=1,0,1),1),1))</f>
        <v/>
      </c>
      <c r="E40" s="36" t="str">
        <f>IF(Data!B30="","",IF(ISNUMBER(MATCH(Data!E30,Data_Val!$A$2:$A$3,0)),0,1))</f>
        <v/>
      </c>
      <c r="F40" s="36" t="str">
        <f ca="1">IF(Data!B30="","",IF(ISNUMBER(Data!F30),IF(AND(Data!F30&gt;(TODAY()-(Data_Val!$H$3*365.25)),Data!F30&lt;=(TODAY()-(Data_Val!$H$2*365.25))),0,1),1))</f>
        <v/>
      </c>
      <c r="G40" s="12" t="str">
        <f>IF(Data!B30="","",IF(AND(Data!G30="",Data!H30&lt;&gt;""),1,IF(ISNUMBER(MATCH(Data!G30,Data_Val!$C$2:$C$5,0)),0,1)))</f>
        <v/>
      </c>
      <c r="H40" s="12" t="str">
        <f>IF(Data!B30="","",IF(AND(Data!G30&lt;&gt;"",Data!H30=""),1,IF(Data!G30="",1,IF(ISNUMBER(MATCH(Data!H30,Data_Val!$D$2:$D$35,0)),0,1))))</f>
        <v/>
      </c>
      <c r="I40" s="38" t="str">
        <f>IF(Data!G30="","",IF(Data!G30=Data_Val!$C$2,IF(Data!I30="",0,1),0))</f>
        <v/>
      </c>
      <c r="J40" s="38" t="str">
        <f>IF(Data!I30="","",IF(ISNUMBER(MATCH(Data!J30,Data_Val!$A$2:$A$3,0)),0,1))</f>
        <v/>
      </c>
      <c r="K40" s="38" t="str">
        <f ca="1">IF(Data!I30="","",IF(ISNUMBER(Data!K30),IF(AND(Data!K30&gt;(TODAY()-(Data_Val!$K$3*365.25)),Data!K30&lt;=(TODAY()-(Data_Val!$K$2*365.25))),0,1),1))</f>
        <v/>
      </c>
      <c r="L40" s="16" t="str">
        <f>IF(Data!G30="","",IF(Data!G30=Data_Val!$C$2,IF(Data!L30="",0,1),0))</f>
        <v/>
      </c>
      <c r="M40" s="16" t="str">
        <f>IF(Data!L30="","",IF(ISNUMBER(MATCH(Data!M30,Data_Val!$A$2:$A$3,0)),0,1))</f>
        <v/>
      </c>
      <c r="N40" s="43" t="str">
        <f ca="1">IF(Data!L30="","",IF(ISNUMBER(Data!N30),IF(AND(Data!N30&gt;(TODAY()-(Data_Val!$L$3*365.25)),Data!N30&lt;=(TODAY()-(Data_Val!$L$2*365.25))),0,1),1))</f>
        <v/>
      </c>
      <c r="O40" s="18" t="str">
        <f>IF(Data!$G30="","",IF(Data!$G30=Data_Val!$C$2,IF(Data!O30="",0,1),0))</f>
        <v/>
      </c>
      <c r="P40" s="18" t="str">
        <f>IF(Data!O30="","",IF(ISNUMBER(MATCH(Data!P30,Data_Val!$A$2:$A$3,0)),0,1))</f>
        <v/>
      </c>
      <c r="Q40" s="44" t="str">
        <f ca="1">IF(Data!O30="","",IF(ISNUMBER(Data!Q30),IF(AND(Data!Q30&gt;(TODAY()-(Data_Val!$L$3*365.25)),Data!Q30&lt;=(TODAY()-(Data_Val!$L$2*365.25))),0,1),1))</f>
        <v/>
      </c>
    </row>
    <row r="41" spans="1:17" ht="12" customHeight="1" x14ac:dyDescent="0.25">
      <c r="A41" s="36" t="str">
        <f>IF(Data!B31="","",IF(COUNTIFS(Data!A$1:'Data'!A31,Data!A31)&lt;=1,0,1))</f>
        <v/>
      </c>
      <c r="B41" s="36"/>
      <c r="C41" s="36" t="str">
        <f>IF(Data!C31="","",(IF(ISNUMBER(MATCH("*@*.?*",Data!C31,0)),0,1)+IF(COUNTIFS(Data!C$1:'Data'!C31,Data!C31)&gt;1,1,0)))</f>
        <v/>
      </c>
      <c r="D41" s="36" t="str">
        <f>IF(Data!B31="","",IF(ISNUMBER(Data!D31),IF(AND(Data!D31&gt;999999999,Data!D31&lt;=9999999999),IF(COUNTIFS(Data!D$1:'Data'!D31,Data!D31)&lt;=1,0,1),1),1))</f>
        <v/>
      </c>
      <c r="E41" s="36" t="str">
        <f>IF(Data!B31="","",IF(ISNUMBER(MATCH(Data!E31,Data_Val!$A$2:$A$3,0)),0,1))</f>
        <v/>
      </c>
      <c r="F41" s="36" t="str">
        <f ca="1">IF(Data!B31="","",IF(ISNUMBER(Data!F31),IF(AND(Data!F31&gt;(TODAY()-(Data_Val!$H$3*365.25)),Data!F31&lt;=(TODAY()-(Data_Val!$H$2*365.25))),0,1),1))</f>
        <v/>
      </c>
      <c r="G41" s="12" t="str">
        <f>IF(Data!B31="","",IF(AND(Data!G31="",Data!H31&lt;&gt;""),1,IF(ISNUMBER(MATCH(Data!G31,Data_Val!$C$2:$C$5,0)),0,1)))</f>
        <v/>
      </c>
      <c r="H41" s="12" t="str">
        <f>IF(Data!B31="","",IF(AND(Data!G31&lt;&gt;"",Data!H31=""),1,IF(Data!G31="",1,IF(ISNUMBER(MATCH(Data!H31,Data_Val!$D$2:$D$35,0)),0,1))))</f>
        <v/>
      </c>
      <c r="I41" s="38" t="str">
        <f>IF(Data!G31="","",IF(Data!G31=Data_Val!$C$2,IF(Data!I31="",0,1),0))</f>
        <v/>
      </c>
      <c r="J41" s="38" t="str">
        <f>IF(Data!I31="","",IF(ISNUMBER(MATCH(Data!J31,Data_Val!$A$2:$A$3,0)),0,1))</f>
        <v/>
      </c>
      <c r="K41" s="38" t="str">
        <f ca="1">IF(Data!I31="","",IF(ISNUMBER(Data!K31),IF(AND(Data!K31&gt;(TODAY()-(Data_Val!$K$3*365.25)),Data!K31&lt;=(TODAY()-(Data_Val!$K$2*365.25))),0,1),1))</f>
        <v/>
      </c>
      <c r="L41" s="16" t="str">
        <f>IF(Data!G31="","",IF(Data!G31=Data_Val!$C$2,IF(Data!L31="",0,1),0))</f>
        <v/>
      </c>
      <c r="M41" s="16" t="str">
        <f>IF(Data!L31="","",IF(ISNUMBER(MATCH(Data!M31,Data_Val!$A$2:$A$3,0)),0,1))</f>
        <v/>
      </c>
      <c r="N41" s="43" t="str">
        <f ca="1">IF(Data!L31="","",IF(ISNUMBER(Data!N31),IF(AND(Data!N31&gt;(TODAY()-(Data_Val!$L$3*365.25)),Data!N31&lt;=(TODAY()-(Data_Val!$L$2*365.25))),0,1),1))</f>
        <v/>
      </c>
      <c r="O41" s="18" t="str">
        <f>IF(Data!$G31="","",IF(Data!$G31=Data_Val!$C$2,IF(Data!O31="",0,1),0))</f>
        <v/>
      </c>
      <c r="P41" s="18" t="str">
        <f>IF(Data!O31="","",IF(ISNUMBER(MATCH(Data!P31,Data_Val!$A$2:$A$3,0)),0,1))</f>
        <v/>
      </c>
      <c r="Q41" s="44" t="str">
        <f ca="1">IF(Data!O31="","",IF(ISNUMBER(Data!Q31),IF(AND(Data!Q31&gt;(TODAY()-(Data_Val!$L$3*365.25)),Data!Q31&lt;=(TODAY()-(Data_Val!$L$2*365.25))),0,1),1))</f>
        <v/>
      </c>
    </row>
    <row r="42" spans="1:17" ht="12" customHeight="1" x14ac:dyDescent="0.25">
      <c r="A42" s="36" t="str">
        <f>IF(Data!B32="","",IF(COUNTIFS(Data!A$1:'Data'!A32,Data!A32)&lt;=1,0,1))</f>
        <v/>
      </c>
      <c r="B42" s="36"/>
      <c r="C42" s="36" t="str">
        <f>IF(Data!C32="","",(IF(ISNUMBER(MATCH("*@*.?*",Data!C32,0)),0,1)+IF(COUNTIFS(Data!C$1:'Data'!C32,Data!C32)&gt;1,1,0)))</f>
        <v/>
      </c>
      <c r="D42" s="36" t="str">
        <f>IF(Data!B32="","",IF(ISNUMBER(Data!D32),IF(AND(Data!D32&gt;999999999,Data!D32&lt;=9999999999),IF(COUNTIFS(Data!D$1:'Data'!D32,Data!D32)&lt;=1,0,1),1),1))</f>
        <v/>
      </c>
      <c r="E42" s="36" t="str">
        <f>IF(Data!B32="","",IF(ISNUMBER(MATCH(Data!E32,Data_Val!$A$2:$A$3,0)),0,1))</f>
        <v/>
      </c>
      <c r="F42" s="36" t="str">
        <f ca="1">IF(Data!B32="","",IF(ISNUMBER(Data!F32),IF(AND(Data!F32&gt;(TODAY()-(Data_Val!$H$3*365.25)),Data!F32&lt;=(TODAY()-(Data_Val!$H$2*365.25))),0,1),1))</f>
        <v/>
      </c>
      <c r="G42" s="12" t="str">
        <f>IF(Data!B32="","",IF(AND(Data!G32="",Data!H32&lt;&gt;""),1,IF(ISNUMBER(MATCH(Data!G32,Data_Val!$C$2:$C$5,0)),0,1)))</f>
        <v/>
      </c>
      <c r="H42" s="12" t="str">
        <f>IF(Data!B32="","",IF(AND(Data!G32&lt;&gt;"",Data!H32=""),1,IF(Data!G32="",1,IF(ISNUMBER(MATCH(Data!H32,Data_Val!$D$2:$D$35,0)),0,1))))</f>
        <v/>
      </c>
      <c r="I42" s="38" t="str">
        <f>IF(Data!G32="","",IF(Data!G32=Data_Val!$C$2,IF(Data!I32="",0,1),0))</f>
        <v/>
      </c>
      <c r="J42" s="38" t="str">
        <f>IF(Data!I32="","",IF(ISNUMBER(MATCH(Data!J32,Data_Val!$A$2:$A$3,0)),0,1))</f>
        <v/>
      </c>
      <c r="K42" s="38" t="str">
        <f ca="1">IF(Data!I32="","",IF(ISNUMBER(Data!K32),IF(AND(Data!K32&gt;(TODAY()-(Data_Val!$K$3*365.25)),Data!K32&lt;=(TODAY()-(Data_Val!$K$2*365.25))),0,1),1))</f>
        <v/>
      </c>
      <c r="L42" s="16" t="str">
        <f>IF(Data!G32="","",IF(Data!G32=Data_Val!$C$2,IF(Data!L32="",0,1),0))</f>
        <v/>
      </c>
      <c r="M42" s="16" t="str">
        <f>IF(Data!L32="","",IF(ISNUMBER(MATCH(Data!M32,Data_Val!$A$2:$A$3,0)),0,1))</f>
        <v/>
      </c>
      <c r="N42" s="43" t="str">
        <f ca="1">IF(Data!L32="","",IF(ISNUMBER(Data!N32),IF(AND(Data!N32&gt;(TODAY()-(Data_Val!$L$3*365.25)),Data!N32&lt;=(TODAY()-(Data_Val!$L$2*365.25))),0,1),1))</f>
        <v/>
      </c>
      <c r="O42" s="18" t="str">
        <f>IF(Data!$G32="","",IF(Data!$G32=Data_Val!$C$2,IF(Data!O32="",0,1),0))</f>
        <v/>
      </c>
      <c r="P42" s="18" t="str">
        <f>IF(Data!O32="","",IF(ISNUMBER(MATCH(Data!P32,Data_Val!$A$2:$A$3,0)),0,1))</f>
        <v/>
      </c>
      <c r="Q42" s="44" t="str">
        <f ca="1">IF(Data!O32="","",IF(ISNUMBER(Data!Q32),IF(AND(Data!Q32&gt;(TODAY()-(Data_Val!$L$3*365.25)),Data!Q32&lt;=(TODAY()-(Data_Val!$L$2*365.25))),0,1),1))</f>
        <v/>
      </c>
    </row>
    <row r="43" spans="1:17" ht="12" customHeight="1" x14ac:dyDescent="0.25">
      <c r="A43" s="36" t="str">
        <f>IF(Data!B33="","",IF(COUNTIFS(Data!A$1:'Data'!A33,Data!A33)&lt;=1,0,1))</f>
        <v/>
      </c>
      <c r="B43" s="36"/>
      <c r="C43" s="36" t="str">
        <f>IF(Data!C33="","",(IF(ISNUMBER(MATCH("*@*.?*",Data!C33,0)),0,1)+IF(COUNTIFS(Data!C$1:'Data'!C33,Data!C33)&gt;1,1,0)))</f>
        <v/>
      </c>
      <c r="D43" s="36" t="str">
        <f>IF(Data!B33="","",IF(ISNUMBER(Data!D33),IF(AND(Data!D33&gt;999999999,Data!D33&lt;=9999999999),IF(COUNTIFS(Data!D$1:'Data'!D33,Data!D33)&lt;=1,0,1),1),1))</f>
        <v/>
      </c>
      <c r="E43" s="36" t="str">
        <f>IF(Data!B33="","",IF(ISNUMBER(MATCH(Data!E33,Data_Val!$A$2:$A$3,0)),0,1))</f>
        <v/>
      </c>
      <c r="F43" s="36" t="str">
        <f ca="1">IF(Data!B33="","",IF(ISNUMBER(Data!F33),IF(AND(Data!F33&gt;(TODAY()-(Data_Val!$H$3*365.25)),Data!F33&lt;=(TODAY()-(Data_Val!$H$2*365.25))),0,1),1))</f>
        <v/>
      </c>
      <c r="G43" s="12" t="str">
        <f>IF(Data!B33="","",IF(AND(Data!G33="",Data!H33&lt;&gt;""),1,IF(ISNUMBER(MATCH(Data!G33,Data_Val!$C$2:$C$5,0)),0,1)))</f>
        <v/>
      </c>
      <c r="H43" s="12" t="str">
        <f>IF(Data!B33="","",IF(AND(Data!G33&lt;&gt;"",Data!H33=""),1,IF(Data!G33="",1,IF(ISNUMBER(MATCH(Data!H33,Data_Val!$D$2:$D$35,0)),0,1))))</f>
        <v/>
      </c>
      <c r="I43" s="38" t="str">
        <f>IF(Data!G33="","",IF(Data!G33=Data_Val!$C$2,IF(Data!I33="",0,1),0))</f>
        <v/>
      </c>
      <c r="J43" s="38" t="str">
        <f>IF(Data!I33="","",IF(ISNUMBER(MATCH(Data!J33,Data_Val!$A$2:$A$3,0)),0,1))</f>
        <v/>
      </c>
      <c r="K43" s="38" t="str">
        <f ca="1">IF(Data!I33="","",IF(ISNUMBER(Data!K33),IF(AND(Data!K33&gt;(TODAY()-(Data_Val!$K$3*365.25)),Data!K33&lt;=(TODAY()-(Data_Val!$K$2*365.25))),0,1),1))</f>
        <v/>
      </c>
      <c r="L43" s="16" t="str">
        <f>IF(Data!G33="","",IF(Data!G33=Data_Val!$C$2,IF(Data!L33="",0,1),0))</f>
        <v/>
      </c>
      <c r="M43" s="16" t="str">
        <f>IF(Data!L33="","",IF(ISNUMBER(MATCH(Data!M33,Data_Val!$A$2:$A$3,0)),0,1))</f>
        <v/>
      </c>
      <c r="N43" s="43" t="str">
        <f ca="1">IF(Data!L33="","",IF(ISNUMBER(Data!N33),IF(AND(Data!N33&gt;(TODAY()-(Data_Val!$L$3*365.25)),Data!N33&lt;=(TODAY()-(Data_Val!$L$2*365.25))),0,1),1))</f>
        <v/>
      </c>
      <c r="O43" s="18" t="str">
        <f>IF(Data!$G33="","",IF(Data!$G33=Data_Val!$C$2,IF(Data!O33="",0,1),0))</f>
        <v/>
      </c>
      <c r="P43" s="18" t="str">
        <f>IF(Data!O33="","",IF(ISNUMBER(MATCH(Data!P33,Data_Val!$A$2:$A$3,0)),0,1))</f>
        <v/>
      </c>
      <c r="Q43" s="44" t="str">
        <f ca="1">IF(Data!O33="","",IF(ISNUMBER(Data!Q33),IF(AND(Data!Q33&gt;(TODAY()-(Data_Val!$L$3*365.25)),Data!Q33&lt;=(TODAY()-(Data_Val!$L$2*365.25))),0,1),1))</f>
        <v/>
      </c>
    </row>
    <row r="44" spans="1:17" ht="12" customHeight="1" x14ac:dyDescent="0.25">
      <c r="A44" s="36" t="str">
        <f>IF(Data!B34="","",IF(COUNTIFS(Data!A$1:'Data'!A34,Data!A34)&lt;=1,0,1))</f>
        <v/>
      </c>
      <c r="B44" s="36"/>
      <c r="C44" s="36" t="str">
        <f>IF(Data!C34="","",(IF(ISNUMBER(MATCH("*@*.?*",Data!C34,0)),0,1)+IF(COUNTIFS(Data!C$1:'Data'!C34,Data!C34)&gt;1,1,0)))</f>
        <v/>
      </c>
      <c r="D44" s="36" t="str">
        <f>IF(Data!B34="","",IF(ISNUMBER(Data!D34),IF(AND(Data!D34&gt;999999999,Data!D34&lt;=9999999999),IF(COUNTIFS(Data!D$1:'Data'!D34,Data!D34)&lt;=1,0,1),1),1))</f>
        <v/>
      </c>
      <c r="E44" s="36" t="str">
        <f>IF(Data!B34="","",IF(ISNUMBER(MATCH(Data!E34,Data_Val!$A$2:$A$3,0)),0,1))</f>
        <v/>
      </c>
      <c r="F44" s="36" t="str">
        <f ca="1">IF(Data!B34="","",IF(ISNUMBER(Data!F34),IF(AND(Data!F34&gt;(TODAY()-(Data_Val!$H$3*365.25)),Data!F34&lt;=(TODAY()-(Data_Val!$H$2*365.25))),0,1),1))</f>
        <v/>
      </c>
      <c r="G44" s="12" t="str">
        <f>IF(Data!B34="","",IF(AND(Data!G34="",Data!H34&lt;&gt;""),1,IF(ISNUMBER(MATCH(Data!G34,Data_Val!$C$2:$C$5,0)),0,1)))</f>
        <v/>
      </c>
      <c r="H44" s="12" t="str">
        <f>IF(Data!B34="","",IF(AND(Data!G34&lt;&gt;"",Data!H34=""),1,IF(Data!G34="",1,IF(ISNUMBER(MATCH(Data!H34,Data_Val!$D$2:$D$35,0)),0,1))))</f>
        <v/>
      </c>
      <c r="I44" s="38" t="str">
        <f>IF(Data!G34="","",IF(Data!G34=Data_Val!$C$2,IF(Data!I34="",0,1),0))</f>
        <v/>
      </c>
      <c r="J44" s="38" t="str">
        <f>IF(Data!I34="","",IF(ISNUMBER(MATCH(Data!J34,Data_Val!$A$2:$A$3,0)),0,1))</f>
        <v/>
      </c>
      <c r="K44" s="38" t="str">
        <f ca="1">IF(Data!I34="","",IF(ISNUMBER(Data!K34),IF(AND(Data!K34&gt;(TODAY()-(Data_Val!$K$3*365.25)),Data!K34&lt;=(TODAY()-(Data_Val!$K$2*365.25))),0,1),1))</f>
        <v/>
      </c>
      <c r="L44" s="16" t="str">
        <f>IF(Data!G34="","",IF(Data!G34=Data_Val!$C$2,IF(Data!L34="",0,1),0))</f>
        <v/>
      </c>
      <c r="M44" s="16" t="str">
        <f>IF(Data!L34="","",IF(ISNUMBER(MATCH(Data!M34,Data_Val!$A$2:$A$3,0)),0,1))</f>
        <v/>
      </c>
      <c r="N44" s="43" t="str">
        <f ca="1">IF(Data!L34="","",IF(ISNUMBER(Data!N34),IF(AND(Data!N34&gt;(TODAY()-(Data_Val!$L$3*365.25)),Data!N34&lt;=(TODAY()-(Data_Val!$L$2*365.25))),0,1),1))</f>
        <v/>
      </c>
      <c r="O44" s="18" t="str">
        <f>IF(Data!$G34="","",IF(Data!$G34=Data_Val!$C$2,IF(Data!O34="",0,1),0))</f>
        <v/>
      </c>
      <c r="P44" s="18" t="str">
        <f>IF(Data!O34="","",IF(ISNUMBER(MATCH(Data!P34,Data_Val!$A$2:$A$3,0)),0,1))</f>
        <v/>
      </c>
      <c r="Q44" s="44" t="str">
        <f ca="1">IF(Data!O34="","",IF(ISNUMBER(Data!Q34),IF(AND(Data!Q34&gt;(TODAY()-(Data_Val!$L$3*365.25)),Data!Q34&lt;=(TODAY()-(Data_Val!$L$2*365.25))),0,1),1))</f>
        <v/>
      </c>
    </row>
    <row r="45" spans="1:17" ht="12" customHeight="1" x14ac:dyDescent="0.25">
      <c r="A45" s="36" t="str">
        <f>IF(Data!B35="","",IF(COUNTIFS(Data!A$1:'Data'!A35,Data!A35)&lt;=1,0,1))</f>
        <v/>
      </c>
      <c r="B45" s="36"/>
      <c r="C45" s="36" t="str">
        <f>IF(Data!C35="","",(IF(ISNUMBER(MATCH("*@*.?*",Data!C35,0)),0,1)+IF(COUNTIFS(Data!C$1:'Data'!C35,Data!C35)&gt;1,1,0)))</f>
        <v/>
      </c>
      <c r="D45" s="36" t="str">
        <f>IF(Data!B35="","",IF(ISNUMBER(Data!D35),IF(AND(Data!D35&gt;999999999,Data!D35&lt;=9999999999),IF(COUNTIFS(Data!D$1:'Data'!D35,Data!D35)&lt;=1,0,1),1),1))</f>
        <v/>
      </c>
      <c r="E45" s="36" t="str">
        <f>IF(Data!B35="","",IF(ISNUMBER(MATCH(Data!E35,Data_Val!$A$2:$A$3,0)),0,1))</f>
        <v/>
      </c>
      <c r="F45" s="36" t="str">
        <f ca="1">IF(Data!B35="","",IF(ISNUMBER(Data!F35),IF(AND(Data!F35&gt;(TODAY()-(Data_Val!$H$3*365.25)),Data!F35&lt;=(TODAY()-(Data_Val!$H$2*365.25))),0,1),1))</f>
        <v/>
      </c>
      <c r="G45" s="12" t="str">
        <f>IF(Data!B35="","",IF(AND(Data!G35="",Data!H35&lt;&gt;""),1,IF(ISNUMBER(MATCH(Data!G35,Data_Val!$C$2:$C$5,0)),0,1)))</f>
        <v/>
      </c>
      <c r="H45" s="12" t="str">
        <f>IF(Data!B35="","",IF(AND(Data!G35&lt;&gt;"",Data!H35=""),1,IF(Data!G35="",1,IF(ISNUMBER(MATCH(Data!H35,Data_Val!$D$2:$D$35,0)),0,1))))</f>
        <v/>
      </c>
      <c r="I45" s="38" t="str">
        <f>IF(Data!G35="","",IF(Data!G35=Data_Val!$C$2,IF(Data!I35="",0,1),0))</f>
        <v/>
      </c>
      <c r="J45" s="38" t="str">
        <f>IF(Data!I35="","",IF(ISNUMBER(MATCH(Data!J35,Data_Val!$A$2:$A$3,0)),0,1))</f>
        <v/>
      </c>
      <c r="K45" s="38" t="str">
        <f ca="1">IF(Data!I35="","",IF(ISNUMBER(Data!K35),IF(AND(Data!K35&gt;(TODAY()-(Data_Val!$K$3*365.25)),Data!K35&lt;=(TODAY()-(Data_Val!$K$2*365.25))),0,1),1))</f>
        <v/>
      </c>
      <c r="L45" s="16" t="str">
        <f>IF(Data!G35="","",IF(Data!G35=Data_Val!$C$2,IF(Data!L35="",0,1),0))</f>
        <v/>
      </c>
      <c r="M45" s="16" t="str">
        <f>IF(Data!L35="","",IF(ISNUMBER(MATCH(Data!M35,Data_Val!$A$2:$A$3,0)),0,1))</f>
        <v/>
      </c>
      <c r="N45" s="43" t="str">
        <f ca="1">IF(Data!L35="","",IF(ISNUMBER(Data!N35),IF(AND(Data!N35&gt;(TODAY()-(Data_Val!$L$3*365.25)),Data!N35&lt;=(TODAY()-(Data_Val!$L$2*365.25))),0,1),1))</f>
        <v/>
      </c>
      <c r="O45" s="18" t="str">
        <f>IF(Data!$G35="","",IF(Data!$G35=Data_Val!$C$2,IF(Data!O35="",0,1),0))</f>
        <v/>
      </c>
      <c r="P45" s="18" t="str">
        <f>IF(Data!O35="","",IF(ISNUMBER(MATCH(Data!P35,Data_Val!$A$2:$A$3,0)),0,1))</f>
        <v/>
      </c>
      <c r="Q45" s="44" t="str">
        <f ca="1">IF(Data!O35="","",IF(ISNUMBER(Data!Q35),IF(AND(Data!Q35&gt;(TODAY()-(Data_Val!$L$3*365.25)),Data!Q35&lt;=(TODAY()-(Data_Val!$L$2*365.25))),0,1),1))</f>
        <v/>
      </c>
    </row>
    <row r="46" spans="1:17" ht="12" customHeight="1" x14ac:dyDescent="0.25">
      <c r="A46" s="36" t="str">
        <f>IF(Data!B36="","",IF(COUNTIFS(Data!A$1:'Data'!A36,Data!A36)&lt;=1,0,1))</f>
        <v/>
      </c>
      <c r="B46" s="36"/>
      <c r="C46" s="36" t="str">
        <f>IF(Data!C36="","",(IF(ISNUMBER(MATCH("*@*.?*",Data!C36,0)),0,1)+IF(COUNTIFS(Data!C$1:'Data'!C36,Data!C36)&gt;1,1,0)))</f>
        <v/>
      </c>
      <c r="D46" s="36" t="str">
        <f>IF(Data!B36="","",IF(ISNUMBER(Data!D36),IF(AND(Data!D36&gt;999999999,Data!D36&lt;=9999999999),IF(COUNTIFS(Data!D$1:'Data'!D36,Data!D36)&lt;=1,0,1),1),1))</f>
        <v/>
      </c>
      <c r="E46" s="36" t="str">
        <f>IF(Data!B36="","",IF(ISNUMBER(MATCH(Data!E36,Data_Val!$A$2:$A$3,0)),0,1))</f>
        <v/>
      </c>
      <c r="F46" s="36" t="str">
        <f ca="1">IF(Data!B36="","",IF(ISNUMBER(Data!F36),IF(AND(Data!F36&gt;(TODAY()-(Data_Val!$H$3*365.25)),Data!F36&lt;=(TODAY()-(Data_Val!$H$2*365.25))),0,1),1))</f>
        <v/>
      </c>
      <c r="G46" s="12" t="str">
        <f>IF(Data!B36="","",IF(AND(Data!G36="",Data!H36&lt;&gt;""),1,IF(ISNUMBER(MATCH(Data!G36,Data_Val!$C$2:$C$5,0)),0,1)))</f>
        <v/>
      </c>
      <c r="H46" s="12" t="str">
        <f>IF(Data!B36="","",IF(AND(Data!G36&lt;&gt;"",Data!H36=""),1,IF(Data!G36="",1,IF(ISNUMBER(MATCH(Data!H36,Data_Val!$D$2:$D$35,0)),0,1))))</f>
        <v/>
      </c>
      <c r="I46" s="38" t="str">
        <f>IF(Data!G36="","",IF(Data!G36=Data_Val!$C$2,IF(Data!I36="",0,1),0))</f>
        <v/>
      </c>
      <c r="J46" s="38" t="str">
        <f>IF(Data!I36="","",IF(ISNUMBER(MATCH(Data!J36,Data_Val!$A$2:$A$3,0)),0,1))</f>
        <v/>
      </c>
      <c r="K46" s="38" t="str">
        <f ca="1">IF(Data!I36="","",IF(ISNUMBER(Data!K36),IF(AND(Data!K36&gt;(TODAY()-(Data_Val!$K$3*365.25)),Data!K36&lt;=(TODAY()-(Data_Val!$K$2*365.25))),0,1),1))</f>
        <v/>
      </c>
      <c r="L46" s="16" t="str">
        <f>IF(Data!G36="","",IF(Data!G36=Data_Val!$C$2,IF(Data!L36="",0,1),0))</f>
        <v/>
      </c>
      <c r="M46" s="16" t="str">
        <f>IF(Data!L36="","",IF(ISNUMBER(MATCH(Data!M36,Data_Val!$A$2:$A$3,0)),0,1))</f>
        <v/>
      </c>
      <c r="N46" s="43" t="str">
        <f ca="1">IF(Data!L36="","",IF(ISNUMBER(Data!N36),IF(AND(Data!N36&gt;(TODAY()-(Data_Val!$L$3*365.25)),Data!N36&lt;=(TODAY()-(Data_Val!$L$2*365.25))),0,1),1))</f>
        <v/>
      </c>
      <c r="O46" s="18" t="str">
        <f>IF(Data!$G36="","",IF(Data!$G36=Data_Val!$C$2,IF(Data!O36="",0,1),0))</f>
        <v/>
      </c>
      <c r="P46" s="18" t="str">
        <f>IF(Data!O36="","",IF(ISNUMBER(MATCH(Data!P36,Data_Val!$A$2:$A$3,0)),0,1))</f>
        <v/>
      </c>
      <c r="Q46" s="44" t="str">
        <f ca="1">IF(Data!O36="","",IF(ISNUMBER(Data!Q36),IF(AND(Data!Q36&gt;(TODAY()-(Data_Val!$L$3*365.25)),Data!Q36&lt;=(TODAY()-(Data_Val!$L$2*365.25))),0,1),1))</f>
        <v/>
      </c>
    </row>
    <row r="47" spans="1:17" ht="12" customHeight="1" x14ac:dyDescent="0.25">
      <c r="A47" s="36" t="str">
        <f>IF(Data!B37="","",IF(COUNTIFS(Data!A$1:'Data'!A37,Data!A37)&lt;=1,0,1))</f>
        <v/>
      </c>
      <c r="B47" s="36"/>
      <c r="C47" s="36" t="str">
        <f>IF(Data!C37="","",(IF(ISNUMBER(MATCH("*@*.?*",Data!C37,0)),0,1)+IF(COUNTIFS(Data!C$1:'Data'!C37,Data!C37)&gt;1,1,0)))</f>
        <v/>
      </c>
      <c r="D47" s="36" t="str">
        <f>IF(Data!B37="","",IF(ISNUMBER(Data!D37),IF(AND(Data!D37&gt;999999999,Data!D37&lt;=9999999999),IF(COUNTIFS(Data!D$1:'Data'!D37,Data!D37)&lt;=1,0,1),1),1))</f>
        <v/>
      </c>
      <c r="E47" s="36" t="str">
        <f>IF(Data!B37="","",IF(ISNUMBER(MATCH(Data!E37,Data_Val!$A$2:$A$3,0)),0,1))</f>
        <v/>
      </c>
      <c r="F47" s="36" t="str">
        <f ca="1">IF(Data!B37="","",IF(ISNUMBER(Data!F37),IF(AND(Data!F37&gt;(TODAY()-(Data_Val!$H$3*365.25)),Data!F37&lt;=(TODAY()-(Data_Val!$H$2*365.25))),0,1),1))</f>
        <v/>
      </c>
      <c r="G47" s="12" t="str">
        <f>IF(Data!B37="","",IF(AND(Data!G37="",Data!H37&lt;&gt;""),1,IF(ISNUMBER(MATCH(Data!G37,Data_Val!$C$2:$C$5,0)),0,1)))</f>
        <v/>
      </c>
      <c r="H47" s="12" t="str">
        <f>IF(Data!B37="","",IF(AND(Data!G37&lt;&gt;"",Data!H37=""),1,IF(Data!G37="",1,IF(ISNUMBER(MATCH(Data!H37,Data_Val!$D$2:$D$35,0)),0,1))))</f>
        <v/>
      </c>
      <c r="I47" s="38" t="str">
        <f>IF(Data!G37="","",IF(Data!G37=Data_Val!$C$2,IF(Data!I37="",0,1),0))</f>
        <v/>
      </c>
      <c r="J47" s="38" t="str">
        <f>IF(Data!I37="","",IF(ISNUMBER(MATCH(Data!J37,Data_Val!$A$2:$A$3,0)),0,1))</f>
        <v/>
      </c>
      <c r="K47" s="38" t="str">
        <f ca="1">IF(Data!I37="","",IF(ISNUMBER(Data!K37),IF(AND(Data!K37&gt;(TODAY()-(Data_Val!$K$3*365.25)),Data!K37&lt;=(TODAY()-(Data_Val!$K$2*365.25))),0,1),1))</f>
        <v/>
      </c>
      <c r="L47" s="16" t="str">
        <f>IF(Data!G37="","",IF(Data!G37=Data_Val!$C$2,IF(Data!L37="",0,1),0))</f>
        <v/>
      </c>
      <c r="M47" s="16" t="str">
        <f>IF(Data!L37="","",IF(ISNUMBER(MATCH(Data!M37,Data_Val!$A$2:$A$3,0)),0,1))</f>
        <v/>
      </c>
      <c r="N47" s="43" t="str">
        <f ca="1">IF(Data!L37="","",IF(ISNUMBER(Data!N37),IF(AND(Data!N37&gt;(TODAY()-(Data_Val!$L$3*365.25)),Data!N37&lt;=(TODAY()-(Data_Val!$L$2*365.25))),0,1),1))</f>
        <v/>
      </c>
      <c r="O47" s="18" t="str">
        <f>IF(Data!$G37="","",IF(Data!$G37=Data_Val!$C$2,IF(Data!O37="",0,1),0))</f>
        <v/>
      </c>
      <c r="P47" s="18" t="str">
        <f>IF(Data!O37="","",IF(ISNUMBER(MATCH(Data!P37,Data_Val!$A$2:$A$3,0)),0,1))</f>
        <v/>
      </c>
      <c r="Q47" s="44" t="str">
        <f ca="1">IF(Data!O37="","",IF(ISNUMBER(Data!Q37),IF(AND(Data!Q37&gt;(TODAY()-(Data_Val!$L$3*365.25)),Data!Q37&lt;=(TODAY()-(Data_Val!$L$2*365.25))),0,1),1))</f>
        <v/>
      </c>
    </row>
    <row r="48" spans="1:17" ht="12" customHeight="1" x14ac:dyDescent="0.25">
      <c r="A48" s="36" t="str">
        <f>IF(Data!B38="","",IF(COUNTIFS(Data!A$1:'Data'!A38,Data!A38)&lt;=1,0,1))</f>
        <v/>
      </c>
      <c r="B48" s="36"/>
      <c r="C48" s="36" t="str">
        <f>IF(Data!C38="","",(IF(ISNUMBER(MATCH("*@*.?*",Data!C38,0)),0,1)+IF(COUNTIFS(Data!C$1:'Data'!C38,Data!C38)&gt;1,1,0)))</f>
        <v/>
      </c>
      <c r="D48" s="36" t="str">
        <f>IF(Data!B38="","",IF(ISNUMBER(Data!D38),IF(AND(Data!D38&gt;999999999,Data!D38&lt;=9999999999),IF(COUNTIFS(Data!D$1:'Data'!D38,Data!D38)&lt;=1,0,1),1),1))</f>
        <v/>
      </c>
      <c r="E48" s="36" t="str">
        <f>IF(Data!B38="","",IF(ISNUMBER(MATCH(Data!E38,Data_Val!$A$2:$A$3,0)),0,1))</f>
        <v/>
      </c>
      <c r="F48" s="36" t="str">
        <f ca="1">IF(Data!B38="","",IF(ISNUMBER(Data!F38),IF(AND(Data!F38&gt;(TODAY()-(Data_Val!$H$3*365.25)),Data!F38&lt;=(TODAY()-(Data_Val!$H$2*365.25))),0,1),1))</f>
        <v/>
      </c>
      <c r="G48" s="12" t="str">
        <f>IF(Data!B38="","",IF(AND(Data!G38="",Data!H38&lt;&gt;""),1,IF(ISNUMBER(MATCH(Data!G38,Data_Val!$C$2:$C$5,0)),0,1)))</f>
        <v/>
      </c>
      <c r="H48" s="12" t="str">
        <f>IF(Data!B38="","",IF(AND(Data!G38&lt;&gt;"",Data!H38=""),1,IF(Data!G38="",1,IF(ISNUMBER(MATCH(Data!H38,Data_Val!$D$2:$D$35,0)),0,1))))</f>
        <v/>
      </c>
      <c r="I48" s="38" t="str">
        <f>IF(Data!G38="","",IF(Data!G38=Data_Val!$C$2,IF(Data!I38="",0,1),0))</f>
        <v/>
      </c>
      <c r="J48" s="38" t="str">
        <f>IF(Data!I38="","",IF(ISNUMBER(MATCH(Data!J38,Data_Val!$A$2:$A$3,0)),0,1))</f>
        <v/>
      </c>
      <c r="K48" s="38" t="str">
        <f ca="1">IF(Data!I38="","",IF(ISNUMBER(Data!K38),IF(AND(Data!K38&gt;(TODAY()-(Data_Val!$K$3*365.25)),Data!K38&lt;=(TODAY()-(Data_Val!$K$2*365.25))),0,1),1))</f>
        <v/>
      </c>
      <c r="L48" s="16" t="str">
        <f>IF(Data!G38="","",IF(Data!G38=Data_Val!$C$2,IF(Data!L38="",0,1),0))</f>
        <v/>
      </c>
      <c r="M48" s="16" t="str">
        <f>IF(Data!L38="","",IF(ISNUMBER(MATCH(Data!M38,Data_Val!$A$2:$A$3,0)),0,1))</f>
        <v/>
      </c>
      <c r="N48" s="43" t="str">
        <f ca="1">IF(Data!L38="","",IF(ISNUMBER(Data!N38),IF(AND(Data!N38&gt;(TODAY()-(Data_Val!$L$3*365.25)),Data!N38&lt;=(TODAY()-(Data_Val!$L$2*365.25))),0,1),1))</f>
        <v/>
      </c>
      <c r="O48" s="18" t="str">
        <f>IF(Data!$G38="","",IF(Data!$G38=Data_Val!$C$2,IF(Data!O38="",0,1),0))</f>
        <v/>
      </c>
      <c r="P48" s="18" t="str">
        <f>IF(Data!O38="","",IF(ISNUMBER(MATCH(Data!P38,Data_Val!$A$2:$A$3,0)),0,1))</f>
        <v/>
      </c>
      <c r="Q48" s="44" t="str">
        <f ca="1">IF(Data!O38="","",IF(ISNUMBER(Data!Q38),IF(AND(Data!Q38&gt;(TODAY()-(Data_Val!$L$3*365.25)),Data!Q38&lt;=(TODAY()-(Data_Val!$L$2*365.25))),0,1),1))</f>
        <v/>
      </c>
    </row>
    <row r="49" spans="1:17" ht="12" customHeight="1" x14ac:dyDescent="0.25">
      <c r="A49" s="36" t="str">
        <f>IF(Data!B39="","",IF(COUNTIFS(Data!A$1:'Data'!A39,Data!A39)&lt;=1,0,1))</f>
        <v/>
      </c>
      <c r="B49" s="36"/>
      <c r="C49" s="36" t="str">
        <f>IF(Data!C39="","",(IF(ISNUMBER(MATCH("*@*.?*",Data!C39,0)),0,1)+IF(COUNTIFS(Data!C$1:'Data'!C39,Data!C39)&gt;1,1,0)))</f>
        <v/>
      </c>
      <c r="D49" s="36" t="str">
        <f>IF(Data!B39="","",IF(ISNUMBER(Data!D39),IF(AND(Data!D39&gt;999999999,Data!D39&lt;=9999999999),IF(COUNTIFS(Data!D$1:'Data'!D39,Data!D39)&lt;=1,0,1),1),1))</f>
        <v/>
      </c>
      <c r="E49" s="36" t="str">
        <f>IF(Data!B39="","",IF(ISNUMBER(MATCH(Data!E39,Data_Val!$A$2:$A$3,0)),0,1))</f>
        <v/>
      </c>
      <c r="F49" s="36" t="str">
        <f ca="1">IF(Data!B39="","",IF(ISNUMBER(Data!F39),IF(AND(Data!F39&gt;(TODAY()-(Data_Val!$H$3*365.25)),Data!F39&lt;=(TODAY()-(Data_Val!$H$2*365.25))),0,1),1))</f>
        <v/>
      </c>
      <c r="G49" s="12" t="str">
        <f>IF(Data!B39="","",IF(AND(Data!G39="",Data!H39&lt;&gt;""),1,IF(ISNUMBER(MATCH(Data!G39,Data_Val!$C$2:$C$5,0)),0,1)))</f>
        <v/>
      </c>
      <c r="H49" s="12" t="str">
        <f>IF(Data!B39="","",IF(AND(Data!G39&lt;&gt;"",Data!H39=""),1,IF(Data!G39="",1,IF(ISNUMBER(MATCH(Data!H39,Data_Val!$D$2:$D$35,0)),0,1))))</f>
        <v/>
      </c>
      <c r="I49" s="38" t="str">
        <f>IF(Data!G39="","",IF(Data!G39=Data_Val!$C$2,IF(Data!I39="",0,1),0))</f>
        <v/>
      </c>
      <c r="J49" s="38" t="str">
        <f>IF(Data!I39="","",IF(ISNUMBER(MATCH(Data!J39,Data_Val!$A$2:$A$3,0)),0,1))</f>
        <v/>
      </c>
      <c r="K49" s="38" t="str">
        <f ca="1">IF(Data!I39="","",IF(ISNUMBER(Data!K39),IF(AND(Data!K39&gt;(TODAY()-(Data_Val!$K$3*365.25)),Data!K39&lt;=(TODAY()-(Data_Val!$K$2*365.25))),0,1),1))</f>
        <v/>
      </c>
      <c r="L49" s="16" t="str">
        <f>IF(Data!G39="","",IF(Data!G39=Data_Val!$C$2,IF(Data!L39="",0,1),0))</f>
        <v/>
      </c>
      <c r="M49" s="16" t="str">
        <f>IF(Data!L39="","",IF(ISNUMBER(MATCH(Data!M39,Data_Val!$A$2:$A$3,0)),0,1))</f>
        <v/>
      </c>
      <c r="N49" s="43" t="str">
        <f ca="1">IF(Data!L39="","",IF(ISNUMBER(Data!N39),IF(AND(Data!N39&gt;(TODAY()-(Data_Val!$L$3*365.25)),Data!N39&lt;=(TODAY()-(Data_Val!$L$2*365.25))),0,1),1))</f>
        <v/>
      </c>
      <c r="O49" s="18" t="str">
        <f>IF(Data!$G39="","",IF(Data!$G39=Data_Val!$C$2,IF(Data!O39="",0,1),0))</f>
        <v/>
      </c>
      <c r="P49" s="18" t="str">
        <f>IF(Data!O39="","",IF(ISNUMBER(MATCH(Data!P39,Data_Val!$A$2:$A$3,0)),0,1))</f>
        <v/>
      </c>
      <c r="Q49" s="44" t="str">
        <f ca="1">IF(Data!O39="","",IF(ISNUMBER(Data!Q39),IF(AND(Data!Q39&gt;(TODAY()-(Data_Val!$L$3*365.25)),Data!Q39&lt;=(TODAY()-(Data_Val!$L$2*365.25))),0,1),1))</f>
        <v/>
      </c>
    </row>
    <row r="50" spans="1:17" ht="12" customHeight="1" x14ac:dyDescent="0.25">
      <c r="A50" s="36" t="str">
        <f>IF(Data!B40="","",IF(COUNTIFS(Data!A$1:'Data'!A40,Data!A40)&lt;=1,0,1))</f>
        <v/>
      </c>
      <c r="B50" s="36"/>
      <c r="C50" s="36" t="str">
        <f>IF(Data!C40="","",(IF(ISNUMBER(MATCH("*@*.?*",Data!C40,0)),0,1)+IF(COUNTIFS(Data!C$1:'Data'!C40,Data!C40)&gt;1,1,0)))</f>
        <v/>
      </c>
      <c r="D50" s="36" t="str">
        <f>IF(Data!B40="","",IF(ISNUMBER(Data!D40),IF(AND(Data!D40&gt;999999999,Data!D40&lt;=9999999999),IF(COUNTIFS(Data!D$1:'Data'!D40,Data!D40)&lt;=1,0,1),1),1))</f>
        <v/>
      </c>
      <c r="E50" s="36" t="str">
        <f>IF(Data!B40="","",IF(ISNUMBER(MATCH(Data!E40,Data_Val!$A$2:$A$3,0)),0,1))</f>
        <v/>
      </c>
      <c r="F50" s="36" t="str">
        <f ca="1">IF(Data!B40="","",IF(ISNUMBER(Data!F40),IF(AND(Data!F40&gt;(TODAY()-(Data_Val!$H$3*365.25)),Data!F40&lt;=(TODAY()-(Data_Val!$H$2*365.25))),0,1),1))</f>
        <v/>
      </c>
      <c r="G50" s="12" t="str">
        <f>IF(Data!B40="","",IF(AND(Data!G40="",Data!H40&lt;&gt;""),1,IF(ISNUMBER(MATCH(Data!G40,Data_Val!$C$2:$C$5,0)),0,1)))</f>
        <v/>
      </c>
      <c r="H50" s="12" t="str">
        <f>IF(Data!B40="","",IF(AND(Data!G40&lt;&gt;"",Data!H40=""),1,IF(Data!G40="",1,IF(ISNUMBER(MATCH(Data!H40,Data_Val!$D$2:$D$35,0)),0,1))))</f>
        <v/>
      </c>
      <c r="I50" s="38" t="str">
        <f>IF(Data!G40="","",IF(Data!G40=Data_Val!$C$2,IF(Data!I40="",0,1),0))</f>
        <v/>
      </c>
      <c r="J50" s="38" t="str">
        <f>IF(Data!I40="","",IF(ISNUMBER(MATCH(Data!J40,Data_Val!$A$2:$A$3,0)),0,1))</f>
        <v/>
      </c>
      <c r="K50" s="38" t="str">
        <f ca="1">IF(Data!I40="","",IF(ISNUMBER(Data!K40),IF(AND(Data!K40&gt;(TODAY()-(Data_Val!$K$3*365.25)),Data!K40&lt;=(TODAY()-(Data_Val!$K$2*365.25))),0,1),1))</f>
        <v/>
      </c>
      <c r="L50" s="16" t="str">
        <f>IF(Data!G40="","",IF(Data!G40=Data_Val!$C$2,IF(Data!L40="",0,1),0))</f>
        <v/>
      </c>
      <c r="M50" s="16" t="str">
        <f>IF(Data!L40="","",IF(ISNUMBER(MATCH(Data!M40,Data_Val!$A$2:$A$3,0)),0,1))</f>
        <v/>
      </c>
      <c r="N50" s="43" t="str">
        <f ca="1">IF(Data!L40="","",IF(ISNUMBER(Data!N40),IF(AND(Data!N40&gt;(TODAY()-(Data_Val!$L$3*365.25)),Data!N40&lt;=(TODAY()-(Data_Val!$L$2*365.25))),0,1),1))</f>
        <v/>
      </c>
      <c r="O50" s="18" t="str">
        <f>IF(Data!$G40="","",IF(Data!$G40=Data_Val!$C$2,IF(Data!O40="",0,1),0))</f>
        <v/>
      </c>
      <c r="P50" s="18" t="str">
        <f>IF(Data!O40="","",IF(ISNUMBER(MATCH(Data!P40,Data_Val!$A$2:$A$3,0)),0,1))</f>
        <v/>
      </c>
      <c r="Q50" s="44" t="str">
        <f ca="1">IF(Data!O40="","",IF(ISNUMBER(Data!Q40),IF(AND(Data!Q40&gt;(TODAY()-(Data_Val!$L$3*365.25)),Data!Q40&lt;=(TODAY()-(Data_Val!$L$2*365.25))),0,1),1))</f>
        <v/>
      </c>
    </row>
    <row r="51" spans="1:17" ht="12" customHeight="1" x14ac:dyDescent="0.25">
      <c r="A51" s="36" t="str">
        <f>IF(Data!B41="","",IF(COUNTIFS(Data!A$1:'Data'!A41,Data!A41)&lt;=1,0,1))</f>
        <v/>
      </c>
      <c r="B51" s="36"/>
      <c r="C51" s="36" t="str">
        <f>IF(Data!C41="","",(IF(ISNUMBER(MATCH("*@*.?*",Data!C41,0)),0,1)+IF(COUNTIFS(Data!C$1:'Data'!C41,Data!C41)&gt;1,1,0)))</f>
        <v/>
      </c>
      <c r="D51" s="36" t="str">
        <f>IF(Data!B41="","",IF(ISNUMBER(Data!D41),IF(AND(Data!D41&gt;999999999,Data!D41&lt;=9999999999),IF(COUNTIFS(Data!D$1:'Data'!D41,Data!D41)&lt;=1,0,1),1),1))</f>
        <v/>
      </c>
      <c r="E51" s="36" t="str">
        <f>IF(Data!B41="","",IF(ISNUMBER(MATCH(Data!E41,Data_Val!$A$2:$A$3,0)),0,1))</f>
        <v/>
      </c>
      <c r="F51" s="36" t="str">
        <f ca="1">IF(Data!B41="","",IF(ISNUMBER(Data!F41),IF(AND(Data!F41&gt;(TODAY()-(Data_Val!$H$3*365.25)),Data!F41&lt;=(TODAY()-(Data_Val!$H$2*365.25))),0,1),1))</f>
        <v/>
      </c>
      <c r="G51" s="12" t="str">
        <f>IF(Data!B41="","",IF(AND(Data!G41="",Data!H41&lt;&gt;""),1,IF(ISNUMBER(MATCH(Data!G41,Data_Val!$C$2:$C$5,0)),0,1)))</f>
        <v/>
      </c>
      <c r="H51" s="12" t="str">
        <f>IF(Data!B41="","",IF(AND(Data!G41&lt;&gt;"",Data!H41=""),1,IF(Data!G41="",1,IF(ISNUMBER(MATCH(Data!H41,Data_Val!$D$2:$D$35,0)),0,1))))</f>
        <v/>
      </c>
      <c r="I51" s="38" t="str">
        <f>IF(Data!G41="","",IF(Data!G41=Data_Val!$C$2,IF(Data!I41="",0,1),0))</f>
        <v/>
      </c>
      <c r="J51" s="38" t="str">
        <f>IF(Data!I41="","",IF(ISNUMBER(MATCH(Data!J41,Data_Val!$A$2:$A$3,0)),0,1))</f>
        <v/>
      </c>
      <c r="K51" s="38" t="str">
        <f ca="1">IF(Data!I41="","",IF(ISNUMBER(Data!K41),IF(AND(Data!K41&gt;(TODAY()-(Data_Val!$K$3*365.25)),Data!K41&lt;=(TODAY()-(Data_Val!$K$2*365.25))),0,1),1))</f>
        <v/>
      </c>
      <c r="L51" s="16" t="str">
        <f>IF(Data!G41="","",IF(Data!G41=Data_Val!$C$2,IF(Data!L41="",0,1),0))</f>
        <v/>
      </c>
      <c r="M51" s="16" t="str">
        <f>IF(Data!L41="","",IF(ISNUMBER(MATCH(Data!M41,Data_Val!$A$2:$A$3,0)),0,1))</f>
        <v/>
      </c>
      <c r="N51" s="43" t="str">
        <f ca="1">IF(Data!L41="","",IF(ISNUMBER(Data!N41),IF(AND(Data!N41&gt;(TODAY()-(Data_Val!$L$3*365.25)),Data!N41&lt;=(TODAY()-(Data_Val!$L$2*365.25))),0,1),1))</f>
        <v/>
      </c>
      <c r="O51" s="18" t="str">
        <f>IF(Data!$G41="","",IF(Data!$G41=Data_Val!$C$2,IF(Data!O41="",0,1),0))</f>
        <v/>
      </c>
      <c r="P51" s="18" t="str">
        <f>IF(Data!O41="","",IF(ISNUMBER(MATCH(Data!P41,Data_Val!$A$2:$A$3,0)),0,1))</f>
        <v/>
      </c>
      <c r="Q51" s="44" t="str">
        <f ca="1">IF(Data!O41="","",IF(ISNUMBER(Data!Q41),IF(AND(Data!Q41&gt;(TODAY()-(Data_Val!$L$3*365.25)),Data!Q41&lt;=(TODAY()-(Data_Val!$L$2*365.25))),0,1),1))</f>
        <v/>
      </c>
    </row>
    <row r="52" spans="1:17" ht="12" customHeight="1" x14ac:dyDescent="0.25">
      <c r="A52" s="36" t="str">
        <f>IF(Data!B42="","",IF(COUNTIFS(Data!A$1:'Data'!A42,Data!A42)&lt;=1,0,1))</f>
        <v/>
      </c>
      <c r="B52" s="36"/>
      <c r="C52" s="36" t="str">
        <f>IF(Data!C42="","",(IF(ISNUMBER(MATCH("*@*.?*",Data!C42,0)),0,1)+IF(COUNTIFS(Data!C$1:'Data'!C42,Data!C42)&gt;1,1,0)))</f>
        <v/>
      </c>
      <c r="D52" s="36" t="str">
        <f>IF(Data!B42="","",IF(ISNUMBER(Data!D42),IF(AND(Data!D42&gt;999999999,Data!D42&lt;=9999999999),IF(COUNTIFS(Data!D$1:'Data'!D42,Data!D42)&lt;=1,0,1),1),1))</f>
        <v/>
      </c>
      <c r="E52" s="36" t="str">
        <f>IF(Data!B42="","",IF(ISNUMBER(MATCH(Data!E42,Data_Val!$A$2:$A$3,0)),0,1))</f>
        <v/>
      </c>
      <c r="F52" s="36" t="str">
        <f ca="1">IF(Data!B42="","",IF(ISNUMBER(Data!F42),IF(AND(Data!F42&gt;(TODAY()-(Data_Val!$H$3*365.25)),Data!F42&lt;=(TODAY()-(Data_Val!$H$2*365.25))),0,1),1))</f>
        <v/>
      </c>
      <c r="G52" s="12" t="str">
        <f>IF(Data!B42="","",IF(AND(Data!G42="",Data!H42&lt;&gt;""),1,IF(ISNUMBER(MATCH(Data!G42,Data_Val!$C$2:$C$5,0)),0,1)))</f>
        <v/>
      </c>
      <c r="H52" s="12" t="str">
        <f>IF(Data!B42="","",IF(AND(Data!G42&lt;&gt;"",Data!H42=""),1,IF(Data!G42="",1,IF(ISNUMBER(MATCH(Data!H42,Data_Val!$D$2:$D$35,0)),0,1))))</f>
        <v/>
      </c>
      <c r="I52" s="38" t="str">
        <f>IF(Data!G42="","",IF(Data!G42=Data_Val!$C$2,IF(Data!I42="",0,1),0))</f>
        <v/>
      </c>
      <c r="J52" s="38" t="str">
        <f>IF(Data!I42="","",IF(ISNUMBER(MATCH(Data!J42,Data_Val!$A$2:$A$3,0)),0,1))</f>
        <v/>
      </c>
      <c r="K52" s="38" t="str">
        <f ca="1">IF(Data!I42="","",IF(ISNUMBER(Data!K42),IF(AND(Data!K42&gt;(TODAY()-(Data_Val!$K$3*365.25)),Data!K42&lt;=(TODAY()-(Data_Val!$K$2*365.25))),0,1),1))</f>
        <v/>
      </c>
      <c r="L52" s="16" t="str">
        <f>IF(Data!G42="","",IF(Data!G42=Data_Val!$C$2,IF(Data!L42="",0,1),0))</f>
        <v/>
      </c>
      <c r="M52" s="16" t="str">
        <f>IF(Data!L42="","",IF(ISNUMBER(MATCH(Data!M42,Data_Val!$A$2:$A$3,0)),0,1))</f>
        <v/>
      </c>
      <c r="N52" s="43" t="str">
        <f ca="1">IF(Data!L42="","",IF(ISNUMBER(Data!N42),IF(AND(Data!N42&gt;(TODAY()-(Data_Val!$L$3*365.25)),Data!N42&lt;=(TODAY()-(Data_Val!$L$2*365.25))),0,1),1))</f>
        <v/>
      </c>
      <c r="O52" s="18" t="str">
        <f>IF(Data!$G42="","",IF(Data!$G42=Data_Val!$C$2,IF(Data!O42="",0,1),0))</f>
        <v/>
      </c>
      <c r="P52" s="18" t="str">
        <f>IF(Data!O42="","",IF(ISNUMBER(MATCH(Data!P42,Data_Val!$A$2:$A$3,0)),0,1))</f>
        <v/>
      </c>
      <c r="Q52" s="44" t="str">
        <f ca="1">IF(Data!O42="","",IF(ISNUMBER(Data!Q42),IF(AND(Data!Q42&gt;(TODAY()-(Data_Val!$L$3*365.25)),Data!Q42&lt;=(TODAY()-(Data_Val!$L$2*365.25))),0,1),1))</f>
        <v/>
      </c>
    </row>
    <row r="53" spans="1:17" ht="12" customHeight="1" x14ac:dyDescent="0.25">
      <c r="A53" s="36" t="str">
        <f>IF(Data!B43="","",IF(COUNTIFS(Data!A$1:'Data'!A43,Data!A43)&lt;=1,0,1))</f>
        <v/>
      </c>
      <c r="B53" s="36"/>
      <c r="C53" s="36" t="str">
        <f>IF(Data!C43="","",(IF(ISNUMBER(MATCH("*@*.?*",Data!C43,0)),0,1)+IF(COUNTIFS(Data!C$1:'Data'!C43,Data!C43)&gt;1,1,0)))</f>
        <v/>
      </c>
      <c r="D53" s="36" t="str">
        <f>IF(Data!B43="","",IF(ISNUMBER(Data!D43),IF(AND(Data!D43&gt;999999999,Data!D43&lt;=9999999999),IF(COUNTIFS(Data!D$1:'Data'!D43,Data!D43)&lt;=1,0,1),1),1))</f>
        <v/>
      </c>
      <c r="E53" s="36" t="str">
        <f>IF(Data!B43="","",IF(ISNUMBER(MATCH(Data!E43,Data_Val!$A$2:$A$3,0)),0,1))</f>
        <v/>
      </c>
      <c r="F53" s="36" t="str">
        <f ca="1">IF(Data!B43="","",IF(ISNUMBER(Data!F43),IF(AND(Data!F43&gt;(TODAY()-(Data_Val!$H$3*365.25)),Data!F43&lt;=(TODAY()-(Data_Val!$H$2*365.25))),0,1),1))</f>
        <v/>
      </c>
      <c r="G53" s="12" t="str">
        <f>IF(Data!B43="","",IF(AND(Data!G43="",Data!H43&lt;&gt;""),1,IF(ISNUMBER(MATCH(Data!G43,Data_Val!$C$2:$C$5,0)),0,1)))</f>
        <v/>
      </c>
      <c r="H53" s="12" t="str">
        <f>IF(Data!B43="","",IF(AND(Data!G43&lt;&gt;"",Data!H43=""),1,IF(Data!G43="",1,IF(ISNUMBER(MATCH(Data!H43,Data_Val!$D$2:$D$35,0)),0,1))))</f>
        <v/>
      </c>
      <c r="I53" s="38" t="str">
        <f>IF(Data!G43="","",IF(Data!G43=Data_Val!$C$2,IF(Data!I43="",0,1),0))</f>
        <v/>
      </c>
      <c r="J53" s="38" t="str">
        <f>IF(Data!I43="","",IF(ISNUMBER(MATCH(Data!J43,Data_Val!$A$2:$A$3,0)),0,1))</f>
        <v/>
      </c>
      <c r="K53" s="38" t="str">
        <f ca="1">IF(Data!I43="","",IF(ISNUMBER(Data!K43),IF(AND(Data!K43&gt;(TODAY()-(Data_Val!$K$3*365.25)),Data!K43&lt;=(TODAY()-(Data_Val!$K$2*365.25))),0,1),1))</f>
        <v/>
      </c>
      <c r="L53" s="16" t="str">
        <f>IF(Data!G43="","",IF(Data!G43=Data_Val!$C$2,IF(Data!L43="",0,1),0))</f>
        <v/>
      </c>
      <c r="M53" s="16" t="str">
        <f>IF(Data!L43="","",IF(ISNUMBER(MATCH(Data!M43,Data_Val!$A$2:$A$3,0)),0,1))</f>
        <v/>
      </c>
      <c r="N53" s="43" t="str">
        <f ca="1">IF(Data!L43="","",IF(ISNUMBER(Data!N43),IF(AND(Data!N43&gt;(TODAY()-(Data_Val!$L$3*365.25)),Data!N43&lt;=(TODAY()-(Data_Val!$L$2*365.25))),0,1),1))</f>
        <v/>
      </c>
      <c r="O53" s="18" t="str">
        <f>IF(Data!$G43="","",IF(Data!$G43=Data_Val!$C$2,IF(Data!O43="",0,1),0))</f>
        <v/>
      </c>
      <c r="P53" s="18" t="str">
        <f>IF(Data!O43="","",IF(ISNUMBER(MATCH(Data!P43,Data_Val!$A$2:$A$3,0)),0,1))</f>
        <v/>
      </c>
      <c r="Q53" s="44" t="str">
        <f ca="1">IF(Data!O43="","",IF(ISNUMBER(Data!Q43),IF(AND(Data!Q43&gt;(TODAY()-(Data_Val!$L$3*365.25)),Data!Q43&lt;=(TODAY()-(Data_Val!$L$2*365.25))),0,1),1))</f>
        <v/>
      </c>
    </row>
    <row r="54" spans="1:17" ht="12" customHeight="1" x14ac:dyDescent="0.25">
      <c r="A54" s="36" t="str">
        <f>IF(Data!B44="","",IF(COUNTIFS(Data!A$1:'Data'!A44,Data!A44)&lt;=1,0,1))</f>
        <v/>
      </c>
      <c r="B54" s="36"/>
      <c r="C54" s="36" t="str">
        <f>IF(Data!C44="","",(IF(ISNUMBER(MATCH("*@*.?*",Data!C44,0)),0,1)+IF(COUNTIFS(Data!C$1:'Data'!C44,Data!C44)&gt;1,1,0)))</f>
        <v/>
      </c>
      <c r="D54" s="36" t="str">
        <f>IF(Data!B44="","",IF(ISNUMBER(Data!D44),IF(AND(Data!D44&gt;999999999,Data!D44&lt;=9999999999),IF(COUNTIFS(Data!D$1:'Data'!D44,Data!D44)&lt;=1,0,1),1),1))</f>
        <v/>
      </c>
      <c r="E54" s="36" t="str">
        <f>IF(Data!B44="","",IF(ISNUMBER(MATCH(Data!E44,Data_Val!$A$2:$A$3,0)),0,1))</f>
        <v/>
      </c>
      <c r="F54" s="36" t="str">
        <f ca="1">IF(Data!B44="","",IF(ISNUMBER(Data!F44),IF(AND(Data!F44&gt;(TODAY()-(Data_Val!$H$3*365.25)),Data!F44&lt;=(TODAY()-(Data_Val!$H$2*365.25))),0,1),1))</f>
        <v/>
      </c>
      <c r="G54" s="12" t="str">
        <f>IF(Data!B44="","",IF(AND(Data!G44="",Data!H44&lt;&gt;""),1,IF(ISNUMBER(MATCH(Data!G44,Data_Val!$C$2:$C$5,0)),0,1)))</f>
        <v/>
      </c>
      <c r="H54" s="12" t="str">
        <f>IF(Data!B44="","",IF(AND(Data!G44&lt;&gt;"",Data!H44=""),1,IF(Data!G44="",1,IF(ISNUMBER(MATCH(Data!H44,Data_Val!$D$2:$D$35,0)),0,1))))</f>
        <v/>
      </c>
      <c r="I54" s="38" t="str">
        <f>IF(Data!G44="","",IF(Data!G44=Data_Val!$C$2,IF(Data!I44="",0,1),0))</f>
        <v/>
      </c>
      <c r="J54" s="38" t="str">
        <f>IF(Data!I44="","",IF(ISNUMBER(MATCH(Data!J44,Data_Val!$A$2:$A$3,0)),0,1))</f>
        <v/>
      </c>
      <c r="K54" s="38" t="str">
        <f ca="1">IF(Data!I44="","",IF(ISNUMBER(Data!K44),IF(AND(Data!K44&gt;(TODAY()-(Data_Val!$K$3*365.25)),Data!K44&lt;=(TODAY()-(Data_Val!$K$2*365.25))),0,1),1))</f>
        <v/>
      </c>
      <c r="L54" s="16" t="str">
        <f>IF(Data!G44="","",IF(Data!G44=Data_Val!$C$2,IF(Data!L44="",0,1),0))</f>
        <v/>
      </c>
      <c r="M54" s="16" t="str">
        <f>IF(Data!L44="","",IF(ISNUMBER(MATCH(Data!M44,Data_Val!$A$2:$A$3,0)),0,1))</f>
        <v/>
      </c>
      <c r="N54" s="43" t="str">
        <f ca="1">IF(Data!L44="","",IF(ISNUMBER(Data!N44),IF(AND(Data!N44&gt;(TODAY()-(Data_Val!$L$3*365.25)),Data!N44&lt;=(TODAY()-(Data_Val!$L$2*365.25))),0,1),1))</f>
        <v/>
      </c>
      <c r="O54" s="18" t="str">
        <f>IF(Data!$G44="","",IF(Data!$G44=Data_Val!$C$2,IF(Data!O44="",0,1),0))</f>
        <v/>
      </c>
      <c r="P54" s="18" t="str">
        <f>IF(Data!O44="","",IF(ISNUMBER(MATCH(Data!P44,Data_Val!$A$2:$A$3,0)),0,1))</f>
        <v/>
      </c>
      <c r="Q54" s="44" t="str">
        <f ca="1">IF(Data!O44="","",IF(ISNUMBER(Data!Q44),IF(AND(Data!Q44&gt;(TODAY()-(Data_Val!$L$3*365.25)),Data!Q44&lt;=(TODAY()-(Data_Val!$L$2*365.25))),0,1),1))</f>
        <v/>
      </c>
    </row>
    <row r="55" spans="1:17" ht="12" customHeight="1" x14ac:dyDescent="0.25">
      <c r="A55" s="36" t="str">
        <f>IF(Data!B45="","",IF(COUNTIFS(Data!A$1:'Data'!A45,Data!A45)&lt;=1,0,1))</f>
        <v/>
      </c>
      <c r="B55" s="36"/>
      <c r="C55" s="36" t="str">
        <f>IF(Data!C45="","",(IF(ISNUMBER(MATCH("*@*.?*",Data!C45,0)),0,1)+IF(COUNTIFS(Data!C$1:'Data'!C45,Data!C45)&gt;1,1,0)))</f>
        <v/>
      </c>
      <c r="D55" s="36" t="str">
        <f>IF(Data!B45="","",IF(ISNUMBER(Data!D45),IF(AND(Data!D45&gt;999999999,Data!D45&lt;=9999999999),IF(COUNTIFS(Data!D$1:'Data'!D45,Data!D45)&lt;=1,0,1),1),1))</f>
        <v/>
      </c>
      <c r="E55" s="36" t="str">
        <f>IF(Data!B45="","",IF(ISNUMBER(MATCH(Data!E45,Data_Val!$A$2:$A$3,0)),0,1))</f>
        <v/>
      </c>
      <c r="F55" s="36" t="str">
        <f ca="1">IF(Data!B45="","",IF(ISNUMBER(Data!F45),IF(AND(Data!F45&gt;(TODAY()-(Data_Val!$H$3*365.25)),Data!F45&lt;=(TODAY()-(Data_Val!$H$2*365.25))),0,1),1))</f>
        <v/>
      </c>
      <c r="G55" s="12" t="str">
        <f>IF(Data!B45="","",IF(AND(Data!G45="",Data!H45&lt;&gt;""),1,IF(ISNUMBER(MATCH(Data!G45,Data_Val!$C$2:$C$5,0)),0,1)))</f>
        <v/>
      </c>
      <c r="H55" s="12" t="str">
        <f>IF(Data!B45="","",IF(AND(Data!G45&lt;&gt;"",Data!H45=""),1,IF(Data!G45="",1,IF(ISNUMBER(MATCH(Data!H45,Data_Val!$D$2:$D$35,0)),0,1))))</f>
        <v/>
      </c>
      <c r="I55" s="38" t="str">
        <f>IF(Data!G45="","",IF(Data!G45=Data_Val!$C$2,IF(Data!I45="",0,1),0))</f>
        <v/>
      </c>
      <c r="J55" s="38" t="str">
        <f>IF(Data!I45="","",IF(ISNUMBER(MATCH(Data!J45,Data_Val!$A$2:$A$3,0)),0,1))</f>
        <v/>
      </c>
      <c r="K55" s="38" t="str">
        <f ca="1">IF(Data!I45="","",IF(ISNUMBER(Data!K45),IF(AND(Data!K45&gt;(TODAY()-(Data_Val!$K$3*365.25)),Data!K45&lt;=(TODAY()-(Data_Val!$K$2*365.25))),0,1),1))</f>
        <v/>
      </c>
      <c r="L55" s="16" t="str">
        <f>IF(Data!G45="","",IF(Data!G45=Data_Val!$C$2,IF(Data!L45="",0,1),0))</f>
        <v/>
      </c>
      <c r="M55" s="16" t="str">
        <f>IF(Data!L45="","",IF(ISNUMBER(MATCH(Data!M45,Data_Val!$A$2:$A$3,0)),0,1))</f>
        <v/>
      </c>
      <c r="N55" s="43" t="str">
        <f ca="1">IF(Data!L45="","",IF(ISNUMBER(Data!N45),IF(AND(Data!N45&gt;(TODAY()-(Data_Val!$L$3*365.25)),Data!N45&lt;=(TODAY()-(Data_Val!$L$2*365.25))),0,1),1))</f>
        <v/>
      </c>
      <c r="O55" s="18" t="str">
        <f>IF(Data!$G45="","",IF(Data!$G45=Data_Val!$C$2,IF(Data!O45="",0,1),0))</f>
        <v/>
      </c>
      <c r="P55" s="18" t="str">
        <f>IF(Data!O45="","",IF(ISNUMBER(MATCH(Data!P45,Data_Val!$A$2:$A$3,0)),0,1))</f>
        <v/>
      </c>
      <c r="Q55" s="44" t="str">
        <f ca="1">IF(Data!O45="","",IF(ISNUMBER(Data!Q45),IF(AND(Data!Q45&gt;(TODAY()-(Data_Val!$L$3*365.25)),Data!Q45&lt;=(TODAY()-(Data_Val!$L$2*365.25))),0,1),1))</f>
        <v/>
      </c>
    </row>
    <row r="56" spans="1:17" ht="12" customHeight="1" x14ac:dyDescent="0.25">
      <c r="A56" s="36" t="str">
        <f>IF(Data!B46="","",IF(COUNTIFS(Data!A$1:'Data'!A46,Data!A46)&lt;=1,0,1))</f>
        <v/>
      </c>
      <c r="B56" s="36"/>
      <c r="C56" s="36" t="str">
        <f>IF(Data!C46="","",(IF(ISNUMBER(MATCH("*@*.?*",Data!C46,0)),0,1)+IF(COUNTIFS(Data!C$1:'Data'!C46,Data!C46)&gt;1,1,0)))</f>
        <v/>
      </c>
      <c r="D56" s="36" t="str">
        <f>IF(Data!B46="","",IF(ISNUMBER(Data!D46),IF(AND(Data!D46&gt;999999999,Data!D46&lt;=9999999999),IF(COUNTIFS(Data!D$1:'Data'!D46,Data!D46)&lt;=1,0,1),1),1))</f>
        <v/>
      </c>
      <c r="E56" s="36" t="str">
        <f>IF(Data!B46="","",IF(ISNUMBER(MATCH(Data!E46,Data_Val!$A$2:$A$3,0)),0,1))</f>
        <v/>
      </c>
      <c r="F56" s="36" t="str">
        <f ca="1">IF(Data!B46="","",IF(ISNUMBER(Data!F46),IF(AND(Data!F46&gt;(TODAY()-(Data_Val!$H$3*365.25)),Data!F46&lt;=(TODAY()-(Data_Val!$H$2*365.25))),0,1),1))</f>
        <v/>
      </c>
      <c r="G56" s="12" t="str">
        <f>IF(Data!B46="","",IF(AND(Data!G46="",Data!H46&lt;&gt;""),1,IF(ISNUMBER(MATCH(Data!G46,Data_Val!$C$2:$C$5,0)),0,1)))</f>
        <v/>
      </c>
      <c r="H56" s="12" t="str">
        <f>IF(Data!B46="","",IF(AND(Data!G46&lt;&gt;"",Data!H46=""),1,IF(Data!G46="",1,IF(ISNUMBER(MATCH(Data!H46,Data_Val!$D$2:$D$35,0)),0,1))))</f>
        <v/>
      </c>
      <c r="I56" s="38" t="str">
        <f>IF(Data!G46="","",IF(Data!G46=Data_Val!$C$2,IF(Data!I46="",0,1),0))</f>
        <v/>
      </c>
      <c r="J56" s="38" t="str">
        <f>IF(Data!I46="","",IF(ISNUMBER(MATCH(Data!J46,Data_Val!$A$2:$A$3,0)),0,1))</f>
        <v/>
      </c>
      <c r="K56" s="38" t="str">
        <f ca="1">IF(Data!I46="","",IF(ISNUMBER(Data!K46),IF(AND(Data!K46&gt;(TODAY()-(Data_Val!$K$3*365.25)),Data!K46&lt;=(TODAY()-(Data_Val!$K$2*365.25))),0,1),1))</f>
        <v/>
      </c>
      <c r="L56" s="16" t="str">
        <f>IF(Data!G46="","",IF(Data!G46=Data_Val!$C$2,IF(Data!L46="",0,1),0))</f>
        <v/>
      </c>
      <c r="M56" s="16" t="str">
        <f>IF(Data!L46="","",IF(ISNUMBER(MATCH(Data!M46,Data_Val!$A$2:$A$3,0)),0,1))</f>
        <v/>
      </c>
      <c r="N56" s="43" t="str">
        <f ca="1">IF(Data!L46="","",IF(ISNUMBER(Data!N46),IF(AND(Data!N46&gt;(TODAY()-(Data_Val!$L$3*365.25)),Data!N46&lt;=(TODAY()-(Data_Val!$L$2*365.25))),0,1),1))</f>
        <v/>
      </c>
      <c r="O56" s="18" t="str">
        <f>IF(Data!$G46="","",IF(Data!$G46=Data_Val!$C$2,IF(Data!O46="",0,1),0))</f>
        <v/>
      </c>
      <c r="P56" s="18" t="str">
        <f>IF(Data!O46="","",IF(ISNUMBER(MATCH(Data!P46,Data_Val!$A$2:$A$3,0)),0,1))</f>
        <v/>
      </c>
      <c r="Q56" s="44" t="str">
        <f ca="1">IF(Data!O46="","",IF(ISNUMBER(Data!Q46),IF(AND(Data!Q46&gt;(TODAY()-(Data_Val!$L$3*365.25)),Data!Q46&lt;=(TODAY()-(Data_Val!$L$2*365.25))),0,1),1))</f>
        <v/>
      </c>
    </row>
    <row r="57" spans="1:17" ht="12" customHeight="1" x14ac:dyDescent="0.25">
      <c r="A57" s="36" t="str">
        <f>IF(Data!B47="","",IF(COUNTIFS(Data!A$1:'Data'!A47,Data!A47)&lt;=1,0,1))</f>
        <v/>
      </c>
      <c r="B57" s="36"/>
      <c r="C57" s="36" t="str">
        <f>IF(Data!C47="","",(IF(ISNUMBER(MATCH("*@*.?*",Data!C47,0)),0,1)+IF(COUNTIFS(Data!C$1:'Data'!C47,Data!C47)&gt;1,1,0)))</f>
        <v/>
      </c>
      <c r="D57" s="36" t="str">
        <f>IF(Data!B47="","",IF(ISNUMBER(Data!D47),IF(AND(Data!D47&gt;999999999,Data!D47&lt;=9999999999),IF(COUNTIFS(Data!D$1:'Data'!D47,Data!D47)&lt;=1,0,1),1),1))</f>
        <v/>
      </c>
      <c r="E57" s="36" t="str">
        <f>IF(Data!B47="","",IF(ISNUMBER(MATCH(Data!E47,Data_Val!$A$2:$A$3,0)),0,1))</f>
        <v/>
      </c>
      <c r="F57" s="36" t="str">
        <f ca="1">IF(Data!B47="","",IF(ISNUMBER(Data!F47),IF(AND(Data!F47&gt;(TODAY()-(Data_Val!$H$3*365.25)),Data!F47&lt;=(TODAY()-(Data_Val!$H$2*365.25))),0,1),1))</f>
        <v/>
      </c>
      <c r="G57" s="12" t="str">
        <f>IF(Data!B47="","",IF(AND(Data!G47="",Data!H47&lt;&gt;""),1,IF(ISNUMBER(MATCH(Data!G47,Data_Val!$C$2:$C$5,0)),0,1)))</f>
        <v/>
      </c>
      <c r="H57" s="12" t="str">
        <f>IF(Data!B47="","",IF(AND(Data!G47&lt;&gt;"",Data!H47=""),1,IF(Data!G47="",1,IF(ISNUMBER(MATCH(Data!H47,Data_Val!$D$2:$D$35,0)),0,1))))</f>
        <v/>
      </c>
      <c r="I57" s="38" t="str">
        <f>IF(Data!G47="","",IF(Data!G47=Data_Val!$C$2,IF(Data!I47="",0,1),0))</f>
        <v/>
      </c>
      <c r="J57" s="38" t="str">
        <f>IF(Data!I47="","",IF(ISNUMBER(MATCH(Data!J47,Data_Val!$A$2:$A$3,0)),0,1))</f>
        <v/>
      </c>
      <c r="K57" s="38" t="str">
        <f ca="1">IF(Data!I47="","",IF(ISNUMBER(Data!K47),IF(AND(Data!K47&gt;(TODAY()-(Data_Val!$K$3*365.25)),Data!K47&lt;=(TODAY()-(Data_Val!$K$2*365.25))),0,1),1))</f>
        <v/>
      </c>
      <c r="L57" s="16" t="str">
        <f>IF(Data!G47="","",IF(Data!G47=Data_Val!$C$2,IF(Data!L47="",0,1),0))</f>
        <v/>
      </c>
      <c r="M57" s="16" t="str">
        <f>IF(Data!L47="","",IF(ISNUMBER(MATCH(Data!M47,Data_Val!$A$2:$A$3,0)),0,1))</f>
        <v/>
      </c>
      <c r="N57" s="43" t="str">
        <f ca="1">IF(Data!L47="","",IF(ISNUMBER(Data!N47),IF(AND(Data!N47&gt;(TODAY()-(Data_Val!$L$3*365.25)),Data!N47&lt;=(TODAY()-(Data_Val!$L$2*365.25))),0,1),1))</f>
        <v/>
      </c>
      <c r="O57" s="18" t="str">
        <f>IF(Data!$G47="","",IF(Data!$G47=Data_Val!$C$2,IF(Data!O47="",0,1),0))</f>
        <v/>
      </c>
      <c r="P57" s="18" t="str">
        <f>IF(Data!O47="","",IF(ISNUMBER(MATCH(Data!P47,Data_Val!$A$2:$A$3,0)),0,1))</f>
        <v/>
      </c>
      <c r="Q57" s="44" t="str">
        <f ca="1">IF(Data!O47="","",IF(ISNUMBER(Data!Q47),IF(AND(Data!Q47&gt;(TODAY()-(Data_Val!$L$3*365.25)),Data!Q47&lt;=(TODAY()-(Data_Val!$L$2*365.25))),0,1),1))</f>
        <v/>
      </c>
    </row>
    <row r="58" spans="1:17" ht="12" customHeight="1" x14ac:dyDescent="0.25">
      <c r="A58" s="36" t="str">
        <f>IF(Data!B48="","",IF(COUNTIFS(Data!A$1:'Data'!A48,Data!A48)&lt;=1,0,1))</f>
        <v/>
      </c>
      <c r="B58" s="36"/>
      <c r="C58" s="36" t="str">
        <f>IF(Data!C48="","",(IF(ISNUMBER(MATCH("*@*.?*",Data!C48,0)),0,1)+IF(COUNTIFS(Data!C$1:'Data'!C48,Data!C48)&gt;1,1,0)))</f>
        <v/>
      </c>
      <c r="D58" s="36" t="str">
        <f>IF(Data!B48="","",IF(ISNUMBER(Data!D48),IF(AND(Data!D48&gt;999999999,Data!D48&lt;=9999999999),IF(COUNTIFS(Data!D$1:'Data'!D48,Data!D48)&lt;=1,0,1),1),1))</f>
        <v/>
      </c>
      <c r="E58" s="36" t="str">
        <f>IF(Data!B48="","",IF(ISNUMBER(MATCH(Data!E48,Data_Val!$A$2:$A$3,0)),0,1))</f>
        <v/>
      </c>
      <c r="F58" s="36" t="str">
        <f ca="1">IF(Data!B48="","",IF(ISNUMBER(Data!F48),IF(AND(Data!F48&gt;(TODAY()-(Data_Val!$H$3*365.25)),Data!F48&lt;=(TODAY()-(Data_Val!$H$2*365.25))),0,1),1))</f>
        <v/>
      </c>
      <c r="G58" s="12" t="str">
        <f>IF(Data!B48="","",IF(AND(Data!G48="",Data!H48&lt;&gt;""),1,IF(ISNUMBER(MATCH(Data!G48,Data_Val!$C$2:$C$5,0)),0,1)))</f>
        <v/>
      </c>
      <c r="H58" s="12" t="str">
        <f>IF(Data!B48="","",IF(AND(Data!G48&lt;&gt;"",Data!H48=""),1,IF(Data!G48="",1,IF(ISNUMBER(MATCH(Data!H48,Data_Val!$D$2:$D$35,0)),0,1))))</f>
        <v/>
      </c>
      <c r="I58" s="38" t="str">
        <f>IF(Data!G48="","",IF(Data!G48=Data_Val!$C$2,IF(Data!I48="",0,1),0))</f>
        <v/>
      </c>
      <c r="J58" s="38" t="str">
        <f>IF(Data!I48="","",IF(ISNUMBER(MATCH(Data!J48,Data_Val!$A$2:$A$3,0)),0,1))</f>
        <v/>
      </c>
      <c r="K58" s="38" t="str">
        <f ca="1">IF(Data!I48="","",IF(ISNUMBER(Data!K48),IF(AND(Data!K48&gt;(TODAY()-(Data_Val!$K$3*365.25)),Data!K48&lt;=(TODAY()-(Data_Val!$K$2*365.25))),0,1),1))</f>
        <v/>
      </c>
      <c r="L58" s="16" t="str">
        <f>IF(Data!G48="","",IF(Data!G48=Data_Val!$C$2,IF(Data!L48="",0,1),0))</f>
        <v/>
      </c>
      <c r="M58" s="16" t="str">
        <f>IF(Data!L48="","",IF(ISNUMBER(MATCH(Data!M48,Data_Val!$A$2:$A$3,0)),0,1))</f>
        <v/>
      </c>
      <c r="N58" s="43" t="str">
        <f ca="1">IF(Data!L48="","",IF(ISNUMBER(Data!N48),IF(AND(Data!N48&gt;(TODAY()-(Data_Val!$L$3*365.25)),Data!N48&lt;=(TODAY()-(Data_Val!$L$2*365.25))),0,1),1))</f>
        <v/>
      </c>
      <c r="O58" s="18" t="str">
        <f>IF(Data!$G48="","",IF(Data!$G48=Data_Val!$C$2,IF(Data!O48="",0,1),0))</f>
        <v/>
      </c>
      <c r="P58" s="18" t="str">
        <f>IF(Data!O48="","",IF(ISNUMBER(MATCH(Data!P48,Data_Val!$A$2:$A$3,0)),0,1))</f>
        <v/>
      </c>
      <c r="Q58" s="44" t="str">
        <f ca="1">IF(Data!O48="","",IF(ISNUMBER(Data!Q48),IF(AND(Data!Q48&gt;(TODAY()-(Data_Val!$L$3*365.25)),Data!Q48&lt;=(TODAY()-(Data_Val!$L$2*365.25))),0,1),1))</f>
        <v/>
      </c>
    </row>
    <row r="59" spans="1:17" ht="12" customHeight="1" x14ac:dyDescent="0.25">
      <c r="A59" s="36" t="str">
        <f>IF(Data!B49="","",IF(COUNTIFS(Data!A$1:'Data'!A49,Data!A49)&lt;=1,0,1))</f>
        <v/>
      </c>
      <c r="B59" s="36"/>
      <c r="C59" s="36" t="str">
        <f>IF(Data!C49="","",(IF(ISNUMBER(MATCH("*@*.?*",Data!C49,0)),0,1)+IF(COUNTIFS(Data!C$1:'Data'!C49,Data!C49)&gt;1,1,0)))</f>
        <v/>
      </c>
      <c r="D59" s="36" t="str">
        <f>IF(Data!B49="","",IF(ISNUMBER(Data!D49),IF(AND(Data!D49&gt;999999999,Data!D49&lt;=9999999999),IF(COUNTIFS(Data!D$1:'Data'!D49,Data!D49)&lt;=1,0,1),1),1))</f>
        <v/>
      </c>
      <c r="E59" s="36" t="str">
        <f>IF(Data!B49="","",IF(ISNUMBER(MATCH(Data!E49,Data_Val!$A$2:$A$3,0)),0,1))</f>
        <v/>
      </c>
      <c r="F59" s="36" t="str">
        <f ca="1">IF(Data!B49="","",IF(ISNUMBER(Data!F49),IF(AND(Data!F49&gt;(TODAY()-(Data_Val!$H$3*365.25)),Data!F49&lt;=(TODAY()-(Data_Val!$H$2*365.25))),0,1),1))</f>
        <v/>
      </c>
      <c r="G59" s="12" t="str">
        <f>IF(Data!B49="","",IF(AND(Data!G49="",Data!H49&lt;&gt;""),1,IF(ISNUMBER(MATCH(Data!G49,Data_Val!$C$2:$C$5,0)),0,1)))</f>
        <v/>
      </c>
      <c r="H59" s="12" t="str">
        <f>IF(Data!B49="","",IF(AND(Data!G49&lt;&gt;"",Data!H49=""),1,IF(Data!G49="",1,IF(ISNUMBER(MATCH(Data!H49,Data_Val!$D$2:$D$35,0)),0,1))))</f>
        <v/>
      </c>
      <c r="I59" s="38" t="str">
        <f>IF(Data!G49="","",IF(Data!G49=Data_Val!$C$2,IF(Data!I49="",0,1),0))</f>
        <v/>
      </c>
      <c r="J59" s="38" t="str">
        <f>IF(Data!I49="","",IF(ISNUMBER(MATCH(Data!J49,Data_Val!$A$2:$A$3,0)),0,1))</f>
        <v/>
      </c>
      <c r="K59" s="38" t="str">
        <f ca="1">IF(Data!I49="","",IF(ISNUMBER(Data!K49),IF(AND(Data!K49&gt;(TODAY()-(Data_Val!$K$3*365.25)),Data!K49&lt;=(TODAY()-(Data_Val!$K$2*365.25))),0,1),1))</f>
        <v/>
      </c>
      <c r="L59" s="16" t="str">
        <f>IF(Data!G49="","",IF(Data!G49=Data_Val!$C$2,IF(Data!L49="",0,1),0))</f>
        <v/>
      </c>
      <c r="M59" s="16" t="str">
        <f>IF(Data!L49="","",IF(ISNUMBER(MATCH(Data!M49,Data_Val!$A$2:$A$3,0)),0,1))</f>
        <v/>
      </c>
      <c r="N59" s="43" t="str">
        <f ca="1">IF(Data!L49="","",IF(ISNUMBER(Data!N49),IF(AND(Data!N49&gt;(TODAY()-(Data_Val!$L$3*365.25)),Data!N49&lt;=(TODAY()-(Data_Val!$L$2*365.25))),0,1),1))</f>
        <v/>
      </c>
      <c r="O59" s="18" t="str">
        <f>IF(Data!$G49="","",IF(Data!$G49=Data_Val!$C$2,IF(Data!O49="",0,1),0))</f>
        <v/>
      </c>
      <c r="P59" s="18" t="str">
        <f>IF(Data!O49="","",IF(ISNUMBER(MATCH(Data!P49,Data_Val!$A$2:$A$3,0)),0,1))</f>
        <v/>
      </c>
      <c r="Q59" s="44" t="str">
        <f ca="1">IF(Data!O49="","",IF(ISNUMBER(Data!Q49),IF(AND(Data!Q49&gt;(TODAY()-(Data_Val!$L$3*365.25)),Data!Q49&lt;=(TODAY()-(Data_Val!$L$2*365.25))),0,1),1))</f>
        <v/>
      </c>
    </row>
    <row r="60" spans="1:17" ht="12" customHeight="1" x14ac:dyDescent="0.25">
      <c r="A60" s="36" t="str">
        <f>IF(Data!B50="","",IF(COUNTIFS(Data!A$1:'Data'!A50,Data!A50)&lt;=1,0,1))</f>
        <v/>
      </c>
      <c r="B60" s="36"/>
      <c r="C60" s="36" t="str">
        <f>IF(Data!C50="","",(IF(ISNUMBER(MATCH("*@*.?*",Data!C50,0)),0,1)+IF(COUNTIFS(Data!C$1:'Data'!C50,Data!C50)&gt;1,1,0)))</f>
        <v/>
      </c>
      <c r="D60" s="36" t="str">
        <f>IF(Data!B50="","",IF(ISNUMBER(Data!D50),IF(AND(Data!D50&gt;999999999,Data!D50&lt;=9999999999),IF(COUNTIFS(Data!D$1:'Data'!D50,Data!D50)&lt;=1,0,1),1),1))</f>
        <v/>
      </c>
      <c r="E60" s="36" t="str">
        <f>IF(Data!B50="","",IF(ISNUMBER(MATCH(Data!E50,Data_Val!$A$2:$A$3,0)),0,1))</f>
        <v/>
      </c>
      <c r="F60" s="36" t="str">
        <f ca="1">IF(Data!B50="","",IF(ISNUMBER(Data!F50),IF(AND(Data!F50&gt;(TODAY()-(Data_Val!$H$3*365.25)),Data!F50&lt;=(TODAY()-(Data_Val!$H$2*365.25))),0,1),1))</f>
        <v/>
      </c>
      <c r="G60" s="12" t="str">
        <f>IF(Data!B50="","",IF(AND(Data!G50="",Data!H50&lt;&gt;""),1,IF(ISNUMBER(MATCH(Data!G50,Data_Val!$C$2:$C$5,0)),0,1)))</f>
        <v/>
      </c>
      <c r="H60" s="12" t="str">
        <f>IF(Data!B50="","",IF(AND(Data!G50&lt;&gt;"",Data!H50=""),1,IF(Data!G50="",1,IF(ISNUMBER(MATCH(Data!H50,Data_Val!$D$2:$D$35,0)),0,1))))</f>
        <v/>
      </c>
      <c r="I60" s="38" t="str">
        <f>IF(Data!G50="","",IF(Data!G50=Data_Val!$C$2,IF(Data!I50="",0,1),0))</f>
        <v/>
      </c>
      <c r="J60" s="38" t="str">
        <f>IF(Data!I50="","",IF(ISNUMBER(MATCH(Data!J50,Data_Val!$A$2:$A$3,0)),0,1))</f>
        <v/>
      </c>
      <c r="K60" s="38" t="str">
        <f ca="1">IF(Data!I50="","",IF(ISNUMBER(Data!K50),IF(AND(Data!K50&gt;(TODAY()-(Data_Val!$K$3*365.25)),Data!K50&lt;=(TODAY()-(Data_Val!$K$2*365.25))),0,1),1))</f>
        <v/>
      </c>
      <c r="L60" s="16" t="str">
        <f>IF(Data!G50="","",IF(Data!G50=Data_Val!$C$2,IF(Data!L50="",0,1),0))</f>
        <v/>
      </c>
      <c r="M60" s="16" t="str">
        <f>IF(Data!L50="","",IF(ISNUMBER(MATCH(Data!M50,Data_Val!$A$2:$A$3,0)),0,1))</f>
        <v/>
      </c>
      <c r="N60" s="43" t="str">
        <f ca="1">IF(Data!L50="","",IF(ISNUMBER(Data!N50),IF(AND(Data!N50&gt;(TODAY()-(Data_Val!$L$3*365.25)),Data!N50&lt;=(TODAY()-(Data_Val!$L$2*365.25))),0,1),1))</f>
        <v/>
      </c>
      <c r="O60" s="18" t="str">
        <f>IF(Data!$G50="","",IF(Data!$G50=Data_Val!$C$2,IF(Data!O50="",0,1),0))</f>
        <v/>
      </c>
      <c r="P60" s="18" t="str">
        <f>IF(Data!O50="","",IF(ISNUMBER(MATCH(Data!P50,Data_Val!$A$2:$A$3,0)),0,1))</f>
        <v/>
      </c>
      <c r="Q60" s="44" t="str">
        <f ca="1">IF(Data!O50="","",IF(ISNUMBER(Data!Q50),IF(AND(Data!Q50&gt;(TODAY()-(Data_Val!$L$3*365.25)),Data!Q50&lt;=(TODAY()-(Data_Val!$L$2*365.25))),0,1),1))</f>
        <v/>
      </c>
    </row>
    <row r="61" spans="1:17" ht="12" customHeight="1" x14ac:dyDescent="0.25">
      <c r="A61" s="36" t="str">
        <f>IF(Data!B51="","",IF(COUNTIFS(Data!A$1:'Data'!A51,Data!A51)&lt;=1,0,1))</f>
        <v/>
      </c>
      <c r="B61" s="36"/>
      <c r="C61" s="36" t="str">
        <f>IF(Data!C51="","",(IF(ISNUMBER(MATCH("*@*.?*",Data!C51,0)),0,1)+IF(COUNTIFS(Data!C$1:'Data'!C51,Data!C51)&gt;1,1,0)))</f>
        <v/>
      </c>
      <c r="D61" s="36" t="str">
        <f>IF(Data!B51="","",IF(ISNUMBER(Data!D51),IF(AND(Data!D51&gt;999999999,Data!D51&lt;=9999999999),IF(COUNTIFS(Data!D$1:'Data'!D51,Data!D51)&lt;=1,0,1),1),1))</f>
        <v/>
      </c>
      <c r="E61" s="36" t="str">
        <f>IF(Data!B51="","",IF(ISNUMBER(MATCH(Data!E51,Data_Val!$A$2:$A$3,0)),0,1))</f>
        <v/>
      </c>
      <c r="F61" s="36" t="str">
        <f ca="1">IF(Data!B51="","",IF(ISNUMBER(Data!F51),IF(AND(Data!F51&gt;(TODAY()-(Data_Val!$H$3*365.25)),Data!F51&lt;=(TODAY()-(Data_Val!$H$2*365.25))),0,1),1))</f>
        <v/>
      </c>
      <c r="G61" s="12" t="str">
        <f>IF(Data!B51="","",IF(AND(Data!G51="",Data!H51&lt;&gt;""),1,IF(ISNUMBER(MATCH(Data!G51,Data_Val!$C$2:$C$5,0)),0,1)))</f>
        <v/>
      </c>
      <c r="H61" s="12" t="str">
        <f>IF(Data!B51="","",IF(AND(Data!G51&lt;&gt;"",Data!H51=""),1,IF(Data!G51="",1,IF(ISNUMBER(MATCH(Data!H51,Data_Val!$D$2:$D$35,0)),0,1))))</f>
        <v/>
      </c>
      <c r="I61" s="38" t="str">
        <f>IF(Data!G51="","",IF(Data!G51=Data_Val!$C$2,IF(Data!I51="",0,1),0))</f>
        <v/>
      </c>
      <c r="J61" s="38" t="str">
        <f>IF(Data!I51="","",IF(ISNUMBER(MATCH(Data!J51,Data_Val!$A$2:$A$3,0)),0,1))</f>
        <v/>
      </c>
      <c r="K61" s="38" t="str">
        <f ca="1">IF(Data!I51="","",IF(ISNUMBER(Data!K51),IF(AND(Data!K51&gt;(TODAY()-(Data_Val!$K$3*365.25)),Data!K51&lt;=(TODAY()-(Data_Val!$K$2*365.25))),0,1),1))</f>
        <v/>
      </c>
      <c r="L61" s="16" t="str">
        <f>IF(Data!G51="","",IF(Data!G51=Data_Val!$C$2,IF(Data!L51="",0,1),0))</f>
        <v/>
      </c>
      <c r="M61" s="16" t="str">
        <f>IF(Data!L51="","",IF(ISNUMBER(MATCH(Data!M51,Data_Val!$A$2:$A$3,0)),0,1))</f>
        <v/>
      </c>
      <c r="N61" s="43" t="str">
        <f ca="1">IF(Data!L51="","",IF(ISNUMBER(Data!N51),IF(AND(Data!N51&gt;(TODAY()-(Data_Val!$L$3*365.25)),Data!N51&lt;=(TODAY()-(Data_Val!$L$2*365.25))),0,1),1))</f>
        <v/>
      </c>
      <c r="O61" s="18" t="str">
        <f>IF(Data!$G51="","",IF(Data!$G51=Data_Val!$C$2,IF(Data!O51="",0,1),0))</f>
        <v/>
      </c>
      <c r="P61" s="18" t="str">
        <f>IF(Data!O51="","",IF(ISNUMBER(MATCH(Data!P51,Data_Val!$A$2:$A$3,0)),0,1))</f>
        <v/>
      </c>
      <c r="Q61" s="44" t="str">
        <f ca="1">IF(Data!O51="","",IF(ISNUMBER(Data!Q51),IF(AND(Data!Q51&gt;(TODAY()-(Data_Val!$L$3*365.25)),Data!Q51&lt;=(TODAY()-(Data_Val!$L$2*365.25))),0,1),1))</f>
        <v/>
      </c>
    </row>
    <row r="62" spans="1:17" ht="12" customHeight="1" x14ac:dyDescent="0.25">
      <c r="A62" s="36" t="str">
        <f>IF(Data!B52="","",IF(COUNTIFS(Data!A$1:'Data'!A52,Data!A52)&lt;=1,0,1))</f>
        <v/>
      </c>
      <c r="B62" s="36"/>
      <c r="C62" s="36" t="str">
        <f>IF(Data!C52="","",(IF(ISNUMBER(MATCH("*@*.?*",Data!C52,0)),0,1)+IF(COUNTIFS(Data!C$1:'Data'!C52,Data!C52)&gt;1,1,0)))</f>
        <v/>
      </c>
      <c r="D62" s="36" t="str">
        <f>IF(Data!B52="","",IF(ISNUMBER(Data!D52),IF(AND(Data!D52&gt;999999999,Data!D52&lt;=9999999999),IF(COUNTIFS(Data!D$1:'Data'!D52,Data!D52)&lt;=1,0,1),1),1))</f>
        <v/>
      </c>
      <c r="E62" s="36" t="str">
        <f>IF(Data!B52="","",IF(ISNUMBER(MATCH(Data!E52,Data_Val!$A$2:$A$3,0)),0,1))</f>
        <v/>
      </c>
      <c r="F62" s="36" t="str">
        <f ca="1">IF(Data!B52="","",IF(ISNUMBER(Data!F52),IF(AND(Data!F52&gt;(TODAY()-(Data_Val!$H$3*365.25)),Data!F52&lt;=(TODAY()-(Data_Val!$H$2*365.25))),0,1),1))</f>
        <v/>
      </c>
      <c r="G62" s="12" t="str">
        <f>IF(Data!B52="","",IF(AND(Data!G52="",Data!H52&lt;&gt;""),1,IF(ISNUMBER(MATCH(Data!G52,Data_Val!$C$2:$C$5,0)),0,1)))</f>
        <v/>
      </c>
      <c r="H62" s="12" t="str">
        <f>IF(Data!B52="","",IF(AND(Data!G52&lt;&gt;"",Data!H52=""),1,IF(Data!G52="",1,IF(ISNUMBER(MATCH(Data!H52,Data_Val!$D$2:$D$35,0)),0,1))))</f>
        <v/>
      </c>
      <c r="I62" s="38" t="str">
        <f>IF(Data!G52="","",IF(Data!G52=Data_Val!$C$2,IF(Data!I52="",0,1),0))</f>
        <v/>
      </c>
      <c r="J62" s="38" t="str">
        <f>IF(Data!I52="","",IF(ISNUMBER(MATCH(Data!J52,Data_Val!$A$2:$A$3,0)),0,1))</f>
        <v/>
      </c>
      <c r="K62" s="38" t="str">
        <f ca="1">IF(Data!I52="","",IF(ISNUMBER(Data!K52),IF(AND(Data!K52&gt;(TODAY()-(Data_Val!$K$3*365.25)),Data!K52&lt;=(TODAY()-(Data_Val!$K$2*365.25))),0,1),1))</f>
        <v/>
      </c>
      <c r="L62" s="16" t="str">
        <f>IF(Data!G52="","",IF(Data!G52=Data_Val!$C$2,IF(Data!L52="",0,1),0))</f>
        <v/>
      </c>
      <c r="M62" s="16" t="str">
        <f>IF(Data!L52="","",IF(ISNUMBER(MATCH(Data!M52,Data_Val!$A$2:$A$3,0)),0,1))</f>
        <v/>
      </c>
      <c r="N62" s="43" t="str">
        <f ca="1">IF(Data!L52="","",IF(ISNUMBER(Data!N52),IF(AND(Data!N52&gt;(TODAY()-(Data_Val!$L$3*365.25)),Data!N52&lt;=(TODAY()-(Data_Val!$L$2*365.25))),0,1),1))</f>
        <v/>
      </c>
      <c r="O62" s="18" t="str">
        <f>IF(Data!$G52="","",IF(Data!$G52=Data_Val!$C$2,IF(Data!O52="",0,1),0))</f>
        <v/>
      </c>
      <c r="P62" s="18" t="str">
        <f>IF(Data!O52="","",IF(ISNUMBER(MATCH(Data!P52,Data_Val!$A$2:$A$3,0)),0,1))</f>
        <v/>
      </c>
      <c r="Q62" s="44" t="str">
        <f ca="1">IF(Data!O52="","",IF(ISNUMBER(Data!Q52),IF(AND(Data!Q52&gt;(TODAY()-(Data_Val!$L$3*365.25)),Data!Q52&lt;=(TODAY()-(Data_Val!$L$2*365.25))),0,1),1))</f>
        <v/>
      </c>
    </row>
    <row r="63" spans="1:17" ht="12" customHeight="1" x14ac:dyDescent="0.25">
      <c r="A63" s="36" t="str">
        <f>IF(Data!B53="","",IF(COUNTIFS(Data!A$1:'Data'!A53,Data!A53)&lt;=1,0,1))</f>
        <v/>
      </c>
      <c r="B63" s="36"/>
      <c r="C63" s="36" t="str">
        <f>IF(Data!C53="","",(IF(ISNUMBER(MATCH("*@*.?*",Data!C53,0)),0,1)+IF(COUNTIFS(Data!C$1:'Data'!C53,Data!C53)&gt;1,1,0)))</f>
        <v/>
      </c>
      <c r="D63" s="36" t="str">
        <f>IF(Data!B53="","",IF(ISNUMBER(Data!D53),IF(AND(Data!D53&gt;999999999,Data!D53&lt;=9999999999),IF(COUNTIFS(Data!D$1:'Data'!D53,Data!D53)&lt;=1,0,1),1),1))</f>
        <v/>
      </c>
      <c r="E63" s="36" t="str">
        <f>IF(Data!B53="","",IF(ISNUMBER(MATCH(Data!E53,Data_Val!$A$2:$A$3,0)),0,1))</f>
        <v/>
      </c>
      <c r="F63" s="36" t="str">
        <f ca="1">IF(Data!B53="","",IF(ISNUMBER(Data!F53),IF(AND(Data!F53&gt;(TODAY()-(Data_Val!$H$3*365.25)),Data!F53&lt;=(TODAY()-(Data_Val!$H$2*365.25))),0,1),1))</f>
        <v/>
      </c>
      <c r="G63" s="12" t="str">
        <f>IF(Data!B53="","",IF(AND(Data!G53="",Data!H53&lt;&gt;""),1,IF(ISNUMBER(MATCH(Data!G53,Data_Val!$C$2:$C$5,0)),0,1)))</f>
        <v/>
      </c>
      <c r="H63" s="12" t="str">
        <f>IF(Data!B53="","",IF(AND(Data!G53&lt;&gt;"",Data!H53=""),1,IF(Data!G53="",1,IF(ISNUMBER(MATCH(Data!H53,Data_Val!$D$2:$D$35,0)),0,1))))</f>
        <v/>
      </c>
      <c r="I63" s="38" t="str">
        <f>IF(Data!G53="","",IF(Data!G53=Data_Val!$C$2,IF(Data!I53="",0,1),0))</f>
        <v/>
      </c>
      <c r="J63" s="38" t="str">
        <f>IF(Data!I53="","",IF(ISNUMBER(MATCH(Data!J53,Data_Val!$A$2:$A$3,0)),0,1))</f>
        <v/>
      </c>
      <c r="K63" s="38" t="str">
        <f ca="1">IF(Data!I53="","",IF(ISNUMBER(Data!K53),IF(AND(Data!K53&gt;(TODAY()-(Data_Val!$K$3*365.25)),Data!K53&lt;=(TODAY()-(Data_Val!$K$2*365.25))),0,1),1))</f>
        <v/>
      </c>
      <c r="L63" s="16" t="str">
        <f>IF(Data!G53="","",IF(Data!G53=Data_Val!$C$2,IF(Data!L53="",0,1),0))</f>
        <v/>
      </c>
      <c r="M63" s="16" t="str">
        <f>IF(Data!L53="","",IF(ISNUMBER(MATCH(Data!M53,Data_Val!$A$2:$A$3,0)),0,1))</f>
        <v/>
      </c>
      <c r="N63" s="43" t="str">
        <f ca="1">IF(Data!L53="","",IF(ISNUMBER(Data!N53),IF(AND(Data!N53&gt;(TODAY()-(Data_Val!$L$3*365.25)),Data!N53&lt;=(TODAY()-(Data_Val!$L$2*365.25))),0,1),1))</f>
        <v/>
      </c>
      <c r="O63" s="18" t="str">
        <f>IF(Data!$G53="","",IF(Data!$G53=Data_Val!$C$2,IF(Data!O53="",0,1),0))</f>
        <v/>
      </c>
      <c r="P63" s="18" t="str">
        <f>IF(Data!O53="","",IF(ISNUMBER(MATCH(Data!P53,Data_Val!$A$2:$A$3,0)),0,1))</f>
        <v/>
      </c>
      <c r="Q63" s="44" t="str">
        <f ca="1">IF(Data!O53="","",IF(ISNUMBER(Data!Q53),IF(AND(Data!Q53&gt;(TODAY()-(Data_Val!$L$3*365.25)),Data!Q53&lt;=(TODAY()-(Data_Val!$L$2*365.25))),0,1),1))</f>
        <v/>
      </c>
    </row>
    <row r="64" spans="1:17" ht="12" customHeight="1" x14ac:dyDescent="0.25">
      <c r="A64" s="36" t="str">
        <f>IF(Data!B54="","",IF(COUNTIFS(Data!A$1:'Data'!A54,Data!A54)&lt;=1,0,1))</f>
        <v/>
      </c>
      <c r="B64" s="36"/>
      <c r="C64" s="36" t="str">
        <f>IF(Data!C54="","",(IF(ISNUMBER(MATCH("*@*.?*",Data!C54,0)),0,1)+IF(COUNTIFS(Data!C$1:'Data'!C54,Data!C54)&gt;1,1,0)))</f>
        <v/>
      </c>
      <c r="D64" s="36" t="str">
        <f>IF(Data!B54="","",IF(ISNUMBER(Data!D54),IF(AND(Data!D54&gt;999999999,Data!D54&lt;=9999999999),IF(COUNTIFS(Data!D$1:'Data'!D54,Data!D54)&lt;=1,0,1),1),1))</f>
        <v/>
      </c>
      <c r="E64" s="36" t="str">
        <f>IF(Data!B54="","",IF(ISNUMBER(MATCH(Data!E54,Data_Val!$A$2:$A$3,0)),0,1))</f>
        <v/>
      </c>
      <c r="F64" s="36" t="str">
        <f ca="1">IF(Data!B54="","",IF(ISNUMBER(Data!F54),IF(AND(Data!F54&gt;(TODAY()-(Data_Val!$H$3*365.25)),Data!F54&lt;=(TODAY()-(Data_Val!$H$2*365.25))),0,1),1))</f>
        <v/>
      </c>
      <c r="G64" s="12" t="str">
        <f>IF(Data!B54="","",IF(AND(Data!G54="",Data!H54&lt;&gt;""),1,IF(ISNUMBER(MATCH(Data!G54,Data_Val!$C$2:$C$5,0)),0,1)))</f>
        <v/>
      </c>
      <c r="H64" s="12" t="str">
        <f>IF(Data!B54="","",IF(AND(Data!G54&lt;&gt;"",Data!H54=""),1,IF(Data!G54="",1,IF(ISNUMBER(MATCH(Data!H54,Data_Val!$D$2:$D$35,0)),0,1))))</f>
        <v/>
      </c>
      <c r="I64" s="38" t="str">
        <f>IF(Data!G54="","",IF(Data!G54=Data_Val!$C$2,IF(Data!I54="",0,1),0))</f>
        <v/>
      </c>
      <c r="J64" s="38" t="str">
        <f>IF(Data!I54="","",IF(ISNUMBER(MATCH(Data!J54,Data_Val!$A$2:$A$3,0)),0,1))</f>
        <v/>
      </c>
      <c r="K64" s="38" t="str">
        <f ca="1">IF(Data!I54="","",IF(ISNUMBER(Data!K54),IF(AND(Data!K54&gt;(TODAY()-(Data_Val!$K$3*365.25)),Data!K54&lt;=(TODAY()-(Data_Val!$K$2*365.25))),0,1),1))</f>
        <v/>
      </c>
      <c r="L64" s="16" t="str">
        <f>IF(Data!G54="","",IF(Data!G54=Data_Val!$C$2,IF(Data!L54="",0,1),0))</f>
        <v/>
      </c>
      <c r="M64" s="16" t="str">
        <f>IF(Data!L54="","",IF(ISNUMBER(MATCH(Data!M54,Data_Val!$A$2:$A$3,0)),0,1))</f>
        <v/>
      </c>
      <c r="N64" s="43" t="str">
        <f ca="1">IF(Data!L54="","",IF(ISNUMBER(Data!N54),IF(AND(Data!N54&gt;(TODAY()-(Data_Val!$L$3*365.25)),Data!N54&lt;=(TODAY()-(Data_Val!$L$2*365.25))),0,1),1))</f>
        <v/>
      </c>
      <c r="O64" s="18" t="str">
        <f>IF(Data!$G54="","",IF(Data!$G54=Data_Val!$C$2,IF(Data!O54="",0,1),0))</f>
        <v/>
      </c>
      <c r="P64" s="18" t="str">
        <f>IF(Data!O54="","",IF(ISNUMBER(MATCH(Data!P54,Data_Val!$A$2:$A$3,0)),0,1))</f>
        <v/>
      </c>
      <c r="Q64" s="44" t="str">
        <f ca="1">IF(Data!O54="","",IF(ISNUMBER(Data!Q54),IF(AND(Data!Q54&gt;(TODAY()-(Data_Val!$L$3*365.25)),Data!Q54&lt;=(TODAY()-(Data_Val!$L$2*365.25))),0,1),1))</f>
        <v/>
      </c>
    </row>
    <row r="65" spans="1:17" ht="12" customHeight="1" x14ac:dyDescent="0.25">
      <c r="A65" s="36" t="str">
        <f>IF(Data!B55="","",IF(COUNTIFS(Data!A$1:'Data'!A55,Data!A55)&lt;=1,0,1))</f>
        <v/>
      </c>
      <c r="B65" s="36"/>
      <c r="C65" s="36" t="str">
        <f>IF(Data!C55="","",(IF(ISNUMBER(MATCH("*@*.?*",Data!C55,0)),0,1)+IF(COUNTIFS(Data!C$1:'Data'!C55,Data!C55)&gt;1,1,0)))</f>
        <v/>
      </c>
      <c r="D65" s="36" t="str">
        <f>IF(Data!B55="","",IF(ISNUMBER(Data!D55),IF(AND(Data!D55&gt;999999999,Data!D55&lt;=9999999999),IF(COUNTIFS(Data!D$1:'Data'!D55,Data!D55)&lt;=1,0,1),1),1))</f>
        <v/>
      </c>
      <c r="E65" s="36" t="str">
        <f>IF(Data!B55="","",IF(ISNUMBER(MATCH(Data!E55,Data_Val!$A$2:$A$3,0)),0,1))</f>
        <v/>
      </c>
      <c r="F65" s="36" t="str">
        <f ca="1">IF(Data!B55="","",IF(ISNUMBER(Data!F55),IF(AND(Data!F55&gt;(TODAY()-(Data_Val!$H$3*365.25)),Data!F55&lt;=(TODAY()-(Data_Val!$H$2*365.25))),0,1),1))</f>
        <v/>
      </c>
      <c r="G65" s="12" t="str">
        <f>IF(Data!B55="","",IF(AND(Data!G55="",Data!H55&lt;&gt;""),1,IF(ISNUMBER(MATCH(Data!G55,Data_Val!$C$2:$C$5,0)),0,1)))</f>
        <v/>
      </c>
      <c r="H65" s="12" t="str">
        <f>IF(Data!B55="","",IF(AND(Data!G55&lt;&gt;"",Data!H55=""),1,IF(Data!G55="",1,IF(ISNUMBER(MATCH(Data!H55,Data_Val!$D$2:$D$35,0)),0,1))))</f>
        <v/>
      </c>
      <c r="I65" s="38" t="str">
        <f>IF(Data!G55="","",IF(Data!G55=Data_Val!$C$2,IF(Data!I55="",0,1),0))</f>
        <v/>
      </c>
      <c r="J65" s="38" t="str">
        <f>IF(Data!I55="","",IF(ISNUMBER(MATCH(Data!J55,Data_Val!$A$2:$A$3,0)),0,1))</f>
        <v/>
      </c>
      <c r="K65" s="38" t="str">
        <f ca="1">IF(Data!I55="","",IF(ISNUMBER(Data!K55),IF(AND(Data!K55&gt;(TODAY()-(Data_Val!$K$3*365.25)),Data!K55&lt;=(TODAY()-(Data_Val!$K$2*365.25))),0,1),1))</f>
        <v/>
      </c>
      <c r="L65" s="16" t="str">
        <f>IF(Data!G55="","",IF(Data!G55=Data_Val!$C$2,IF(Data!L55="",0,1),0))</f>
        <v/>
      </c>
      <c r="M65" s="16" t="str">
        <f>IF(Data!L55="","",IF(ISNUMBER(MATCH(Data!M55,Data_Val!$A$2:$A$3,0)),0,1))</f>
        <v/>
      </c>
      <c r="N65" s="43" t="str">
        <f ca="1">IF(Data!L55="","",IF(ISNUMBER(Data!N55),IF(AND(Data!N55&gt;(TODAY()-(Data_Val!$L$3*365.25)),Data!N55&lt;=(TODAY()-(Data_Val!$L$2*365.25))),0,1),1))</f>
        <v/>
      </c>
      <c r="O65" s="18" t="str">
        <f>IF(Data!$G55="","",IF(Data!$G55=Data_Val!$C$2,IF(Data!O55="",0,1),0))</f>
        <v/>
      </c>
      <c r="P65" s="18" t="str">
        <f>IF(Data!O55="","",IF(ISNUMBER(MATCH(Data!P55,Data_Val!$A$2:$A$3,0)),0,1))</f>
        <v/>
      </c>
      <c r="Q65" s="44" t="str">
        <f ca="1">IF(Data!O55="","",IF(ISNUMBER(Data!Q55),IF(AND(Data!Q55&gt;(TODAY()-(Data_Val!$L$3*365.25)),Data!Q55&lt;=(TODAY()-(Data_Val!$L$2*365.25))),0,1),1))</f>
        <v/>
      </c>
    </row>
    <row r="66" spans="1:17" ht="12" customHeight="1" x14ac:dyDescent="0.25">
      <c r="A66" s="36" t="str">
        <f>IF(Data!B56="","",IF(COUNTIFS(Data!A$1:'Data'!A56,Data!A56)&lt;=1,0,1))</f>
        <v/>
      </c>
      <c r="B66" s="36"/>
      <c r="C66" s="36" t="str">
        <f>IF(Data!C56="","",(IF(ISNUMBER(MATCH("*@*.?*",Data!C56,0)),0,1)+IF(COUNTIFS(Data!C$1:'Data'!C56,Data!C56)&gt;1,1,0)))</f>
        <v/>
      </c>
      <c r="D66" s="36" t="str">
        <f>IF(Data!B56="","",IF(ISNUMBER(Data!D56),IF(AND(Data!D56&gt;999999999,Data!D56&lt;=9999999999),IF(COUNTIFS(Data!D$1:'Data'!D56,Data!D56)&lt;=1,0,1),1),1))</f>
        <v/>
      </c>
      <c r="E66" s="36" t="str">
        <f>IF(Data!B56="","",IF(ISNUMBER(MATCH(Data!E56,Data_Val!$A$2:$A$3,0)),0,1))</f>
        <v/>
      </c>
      <c r="F66" s="36" t="str">
        <f ca="1">IF(Data!B56="","",IF(ISNUMBER(Data!F56),IF(AND(Data!F56&gt;(TODAY()-(Data_Val!$H$3*365.25)),Data!F56&lt;=(TODAY()-(Data_Val!$H$2*365.25))),0,1),1))</f>
        <v/>
      </c>
      <c r="G66" s="12" t="str">
        <f>IF(Data!B56="","",IF(AND(Data!G56="",Data!H56&lt;&gt;""),1,IF(ISNUMBER(MATCH(Data!G56,Data_Val!$C$2:$C$5,0)),0,1)))</f>
        <v/>
      </c>
      <c r="H66" s="12" t="str">
        <f>IF(Data!B56="","",IF(AND(Data!G56&lt;&gt;"",Data!H56=""),1,IF(Data!G56="",1,IF(ISNUMBER(MATCH(Data!H56,Data_Val!$D$2:$D$35,0)),0,1))))</f>
        <v/>
      </c>
      <c r="I66" s="38" t="str">
        <f>IF(Data!G56="","",IF(Data!G56=Data_Val!$C$2,IF(Data!I56="",0,1),0))</f>
        <v/>
      </c>
      <c r="J66" s="38" t="str">
        <f>IF(Data!I56="","",IF(ISNUMBER(MATCH(Data!J56,Data_Val!$A$2:$A$3,0)),0,1))</f>
        <v/>
      </c>
      <c r="K66" s="38" t="str">
        <f ca="1">IF(Data!I56="","",IF(ISNUMBER(Data!K56),IF(AND(Data!K56&gt;(TODAY()-(Data_Val!$K$3*365.25)),Data!K56&lt;=(TODAY()-(Data_Val!$K$2*365.25))),0,1),1))</f>
        <v/>
      </c>
      <c r="L66" s="16" t="str">
        <f>IF(Data!G56="","",IF(Data!G56=Data_Val!$C$2,IF(Data!L56="",0,1),0))</f>
        <v/>
      </c>
      <c r="M66" s="16" t="str">
        <f>IF(Data!L56="","",IF(ISNUMBER(MATCH(Data!M56,Data_Val!$A$2:$A$3,0)),0,1))</f>
        <v/>
      </c>
      <c r="N66" s="43" t="str">
        <f ca="1">IF(Data!L56="","",IF(ISNUMBER(Data!N56),IF(AND(Data!N56&gt;(TODAY()-(Data_Val!$L$3*365.25)),Data!N56&lt;=(TODAY()-(Data_Val!$L$2*365.25))),0,1),1))</f>
        <v/>
      </c>
      <c r="O66" s="18" t="str">
        <f>IF(Data!$G56="","",IF(Data!$G56=Data_Val!$C$2,IF(Data!O56="",0,1),0))</f>
        <v/>
      </c>
      <c r="P66" s="18" t="str">
        <f>IF(Data!O56="","",IF(ISNUMBER(MATCH(Data!P56,Data_Val!$A$2:$A$3,0)),0,1))</f>
        <v/>
      </c>
      <c r="Q66" s="44" t="str">
        <f ca="1">IF(Data!O56="","",IF(ISNUMBER(Data!Q56),IF(AND(Data!Q56&gt;(TODAY()-(Data_Val!$L$3*365.25)),Data!Q56&lt;=(TODAY()-(Data_Val!$L$2*365.25))),0,1),1))</f>
        <v/>
      </c>
    </row>
    <row r="67" spans="1:17" ht="12" customHeight="1" x14ac:dyDescent="0.25">
      <c r="A67" s="36" t="str">
        <f>IF(Data!B57="","",IF(COUNTIFS(Data!A$1:'Data'!A57,Data!A57)&lt;=1,0,1))</f>
        <v/>
      </c>
      <c r="B67" s="36"/>
      <c r="C67" s="36" t="str">
        <f>IF(Data!C57="","",(IF(ISNUMBER(MATCH("*@*.?*",Data!C57,0)),0,1)+IF(COUNTIFS(Data!C$1:'Data'!C57,Data!C57)&gt;1,1,0)))</f>
        <v/>
      </c>
      <c r="D67" s="36" t="str">
        <f>IF(Data!B57="","",IF(ISNUMBER(Data!D57),IF(AND(Data!D57&gt;999999999,Data!D57&lt;=9999999999),IF(COUNTIFS(Data!D$1:'Data'!D57,Data!D57)&lt;=1,0,1),1),1))</f>
        <v/>
      </c>
      <c r="E67" s="36" t="str">
        <f>IF(Data!B57="","",IF(ISNUMBER(MATCH(Data!E57,Data_Val!$A$2:$A$3,0)),0,1))</f>
        <v/>
      </c>
      <c r="F67" s="36" t="str">
        <f ca="1">IF(Data!B57="","",IF(ISNUMBER(Data!F57),IF(AND(Data!F57&gt;(TODAY()-(Data_Val!$H$3*365.25)),Data!F57&lt;=(TODAY()-(Data_Val!$H$2*365.25))),0,1),1))</f>
        <v/>
      </c>
      <c r="G67" s="12" t="str">
        <f>IF(Data!B57="","",IF(AND(Data!G57="",Data!H57&lt;&gt;""),1,IF(ISNUMBER(MATCH(Data!G57,Data_Val!$C$2:$C$5,0)),0,1)))</f>
        <v/>
      </c>
      <c r="H67" s="12" t="str">
        <f>IF(Data!B57="","",IF(AND(Data!G57&lt;&gt;"",Data!H57=""),1,IF(Data!G57="",1,IF(ISNUMBER(MATCH(Data!H57,Data_Val!$D$2:$D$35,0)),0,1))))</f>
        <v/>
      </c>
      <c r="I67" s="38" t="str">
        <f>IF(Data!G57="","",IF(Data!G57=Data_Val!$C$2,IF(Data!I57="",0,1),0))</f>
        <v/>
      </c>
      <c r="J67" s="38" t="str">
        <f>IF(Data!I57="","",IF(ISNUMBER(MATCH(Data!J57,Data_Val!$A$2:$A$3,0)),0,1))</f>
        <v/>
      </c>
      <c r="K67" s="38" t="str">
        <f ca="1">IF(Data!I57="","",IF(ISNUMBER(Data!K57),IF(AND(Data!K57&gt;(TODAY()-(Data_Val!$K$3*365.25)),Data!K57&lt;=(TODAY()-(Data_Val!$K$2*365.25))),0,1),1))</f>
        <v/>
      </c>
      <c r="L67" s="16" t="str">
        <f>IF(Data!G57="","",IF(Data!G57=Data_Val!$C$2,IF(Data!L57="",0,1),0))</f>
        <v/>
      </c>
      <c r="M67" s="16" t="str">
        <f>IF(Data!L57="","",IF(ISNUMBER(MATCH(Data!M57,Data_Val!$A$2:$A$3,0)),0,1))</f>
        <v/>
      </c>
      <c r="N67" s="43" t="str">
        <f ca="1">IF(Data!L57="","",IF(ISNUMBER(Data!N57),IF(AND(Data!N57&gt;(TODAY()-(Data_Val!$L$3*365.25)),Data!N57&lt;=(TODAY()-(Data_Val!$L$2*365.25))),0,1),1))</f>
        <v/>
      </c>
      <c r="O67" s="18" t="str">
        <f>IF(Data!$G57="","",IF(Data!$G57=Data_Val!$C$2,IF(Data!O57="",0,1),0))</f>
        <v/>
      </c>
      <c r="P67" s="18" t="str">
        <f>IF(Data!O57="","",IF(ISNUMBER(MATCH(Data!P57,Data_Val!$A$2:$A$3,0)),0,1))</f>
        <v/>
      </c>
      <c r="Q67" s="44" t="str">
        <f ca="1">IF(Data!O57="","",IF(ISNUMBER(Data!Q57),IF(AND(Data!Q57&gt;(TODAY()-(Data_Val!$L$3*365.25)),Data!Q57&lt;=(TODAY()-(Data_Val!$L$2*365.25))),0,1),1))</f>
        <v/>
      </c>
    </row>
    <row r="68" spans="1:17" ht="12" customHeight="1" x14ac:dyDescent="0.25">
      <c r="A68" s="36" t="str">
        <f>IF(Data!B58="","",IF(COUNTIFS(Data!A$1:'Data'!A58,Data!A58)&lt;=1,0,1))</f>
        <v/>
      </c>
      <c r="B68" s="36"/>
      <c r="C68" s="36" t="str">
        <f>IF(Data!C58="","",(IF(ISNUMBER(MATCH("*@*.?*",Data!C58,0)),0,1)+IF(COUNTIFS(Data!C$1:'Data'!C58,Data!C58)&gt;1,1,0)))</f>
        <v/>
      </c>
      <c r="D68" s="36" t="str">
        <f>IF(Data!B58="","",IF(ISNUMBER(Data!D58),IF(AND(Data!D58&gt;999999999,Data!D58&lt;=9999999999),IF(COUNTIFS(Data!D$1:'Data'!D58,Data!D58)&lt;=1,0,1),1),1))</f>
        <v/>
      </c>
      <c r="E68" s="36" t="str">
        <f>IF(Data!B58="","",IF(ISNUMBER(MATCH(Data!E58,Data_Val!$A$2:$A$3,0)),0,1))</f>
        <v/>
      </c>
      <c r="F68" s="36" t="str">
        <f ca="1">IF(Data!B58="","",IF(ISNUMBER(Data!F58),IF(AND(Data!F58&gt;(TODAY()-(Data_Val!$H$3*365.25)),Data!F58&lt;=(TODAY()-(Data_Val!$H$2*365.25))),0,1),1))</f>
        <v/>
      </c>
      <c r="G68" s="12" t="str">
        <f>IF(Data!B58="","",IF(AND(Data!G58="",Data!H58&lt;&gt;""),1,IF(ISNUMBER(MATCH(Data!G58,Data_Val!$C$2:$C$5,0)),0,1)))</f>
        <v/>
      </c>
      <c r="H68" s="12" t="str">
        <f>IF(Data!B58="","",IF(AND(Data!G58&lt;&gt;"",Data!H58=""),1,IF(Data!G58="",1,IF(ISNUMBER(MATCH(Data!H58,Data_Val!$D$2:$D$35,0)),0,1))))</f>
        <v/>
      </c>
      <c r="I68" s="38" t="str">
        <f>IF(Data!G58="","",IF(Data!G58=Data_Val!$C$2,IF(Data!I58="",0,1),0))</f>
        <v/>
      </c>
      <c r="J68" s="38" t="str">
        <f>IF(Data!I58="","",IF(ISNUMBER(MATCH(Data!J58,Data_Val!$A$2:$A$3,0)),0,1))</f>
        <v/>
      </c>
      <c r="K68" s="38" t="str">
        <f ca="1">IF(Data!I58="","",IF(ISNUMBER(Data!K58),IF(AND(Data!K58&gt;(TODAY()-(Data_Val!$K$3*365.25)),Data!K58&lt;=(TODAY()-(Data_Val!$K$2*365.25))),0,1),1))</f>
        <v/>
      </c>
      <c r="L68" s="16" t="str">
        <f>IF(Data!G58="","",IF(Data!G58=Data_Val!$C$2,IF(Data!L58="",0,1),0))</f>
        <v/>
      </c>
      <c r="M68" s="16" t="str">
        <f>IF(Data!L58="","",IF(ISNUMBER(MATCH(Data!M58,Data_Val!$A$2:$A$3,0)),0,1))</f>
        <v/>
      </c>
      <c r="N68" s="43" t="str">
        <f ca="1">IF(Data!L58="","",IF(ISNUMBER(Data!N58),IF(AND(Data!N58&gt;(TODAY()-(Data_Val!$L$3*365.25)),Data!N58&lt;=(TODAY()-(Data_Val!$L$2*365.25))),0,1),1))</f>
        <v/>
      </c>
      <c r="O68" s="18" t="str">
        <f>IF(Data!$G58="","",IF(Data!$G58=Data_Val!$C$2,IF(Data!O58="",0,1),0))</f>
        <v/>
      </c>
      <c r="P68" s="18" t="str">
        <f>IF(Data!O58="","",IF(ISNUMBER(MATCH(Data!P58,Data_Val!$A$2:$A$3,0)),0,1))</f>
        <v/>
      </c>
      <c r="Q68" s="44" t="str">
        <f ca="1">IF(Data!O58="","",IF(ISNUMBER(Data!Q58),IF(AND(Data!Q58&gt;(TODAY()-(Data_Val!$L$3*365.25)),Data!Q58&lt;=(TODAY()-(Data_Val!$L$2*365.25))),0,1),1))</f>
        <v/>
      </c>
    </row>
    <row r="69" spans="1:17" ht="12" customHeight="1" x14ac:dyDescent="0.25">
      <c r="A69" s="36" t="str">
        <f>IF(Data!B59="","",IF(COUNTIFS(Data!A$1:'Data'!A59,Data!A59)&lt;=1,0,1))</f>
        <v/>
      </c>
      <c r="B69" s="36"/>
      <c r="C69" s="36" t="str">
        <f>IF(Data!C59="","",(IF(ISNUMBER(MATCH("*@*.?*",Data!C59,0)),0,1)+IF(COUNTIFS(Data!C$1:'Data'!C59,Data!C59)&gt;1,1,0)))</f>
        <v/>
      </c>
      <c r="D69" s="36" t="str">
        <f>IF(Data!B59="","",IF(ISNUMBER(Data!D59),IF(AND(Data!D59&gt;999999999,Data!D59&lt;=9999999999),IF(COUNTIFS(Data!D$1:'Data'!D59,Data!D59)&lt;=1,0,1),1),1))</f>
        <v/>
      </c>
      <c r="E69" s="36" t="str">
        <f>IF(Data!B59="","",IF(ISNUMBER(MATCH(Data!E59,Data_Val!$A$2:$A$3,0)),0,1))</f>
        <v/>
      </c>
      <c r="F69" s="36" t="str">
        <f ca="1">IF(Data!B59="","",IF(ISNUMBER(Data!F59),IF(AND(Data!F59&gt;(TODAY()-(Data_Val!$H$3*365.25)),Data!F59&lt;=(TODAY()-(Data_Val!$H$2*365.25))),0,1),1))</f>
        <v/>
      </c>
      <c r="G69" s="12" t="str">
        <f>IF(Data!B59="","",IF(AND(Data!G59="",Data!H59&lt;&gt;""),1,IF(ISNUMBER(MATCH(Data!G59,Data_Val!$C$2:$C$5,0)),0,1)))</f>
        <v/>
      </c>
      <c r="H69" s="12" t="str">
        <f>IF(Data!B59="","",IF(AND(Data!G59&lt;&gt;"",Data!H59=""),1,IF(Data!G59="",1,IF(ISNUMBER(MATCH(Data!H59,Data_Val!$D$2:$D$35,0)),0,1))))</f>
        <v/>
      </c>
      <c r="I69" s="38" t="str">
        <f>IF(Data!G59="","",IF(Data!G59=Data_Val!$C$2,IF(Data!I59="",0,1),0))</f>
        <v/>
      </c>
      <c r="J69" s="38" t="str">
        <f>IF(Data!I59="","",IF(ISNUMBER(MATCH(Data!J59,Data_Val!$A$2:$A$3,0)),0,1))</f>
        <v/>
      </c>
      <c r="K69" s="38" t="str">
        <f ca="1">IF(Data!I59="","",IF(ISNUMBER(Data!K59),IF(AND(Data!K59&gt;(TODAY()-(Data_Val!$K$3*365.25)),Data!K59&lt;=(TODAY()-(Data_Val!$K$2*365.25))),0,1),1))</f>
        <v/>
      </c>
      <c r="L69" s="16" t="str">
        <f>IF(Data!G59="","",IF(Data!G59=Data_Val!$C$2,IF(Data!L59="",0,1),0))</f>
        <v/>
      </c>
      <c r="M69" s="16" t="str">
        <f>IF(Data!L59="","",IF(ISNUMBER(MATCH(Data!M59,Data_Val!$A$2:$A$3,0)),0,1))</f>
        <v/>
      </c>
      <c r="N69" s="43" t="str">
        <f ca="1">IF(Data!L59="","",IF(ISNUMBER(Data!N59),IF(AND(Data!N59&gt;(TODAY()-(Data_Val!$L$3*365.25)),Data!N59&lt;=(TODAY()-(Data_Val!$L$2*365.25))),0,1),1))</f>
        <v/>
      </c>
      <c r="O69" s="18" t="str">
        <f>IF(Data!$G59="","",IF(Data!$G59=Data_Val!$C$2,IF(Data!O59="",0,1),0))</f>
        <v/>
      </c>
      <c r="P69" s="18" t="str">
        <f>IF(Data!O59="","",IF(ISNUMBER(MATCH(Data!P59,Data_Val!$A$2:$A$3,0)),0,1))</f>
        <v/>
      </c>
      <c r="Q69" s="44" t="str">
        <f ca="1">IF(Data!O59="","",IF(ISNUMBER(Data!Q59),IF(AND(Data!Q59&gt;(TODAY()-(Data_Val!$L$3*365.25)),Data!Q59&lt;=(TODAY()-(Data_Val!$L$2*365.25))),0,1),1))</f>
        <v/>
      </c>
    </row>
    <row r="70" spans="1:17" ht="12" customHeight="1" x14ac:dyDescent="0.25">
      <c r="A70" s="36" t="str">
        <f>IF(Data!B60="","",IF(COUNTIFS(Data!A$1:'Data'!A60,Data!A60)&lt;=1,0,1))</f>
        <v/>
      </c>
      <c r="B70" s="36"/>
      <c r="C70" s="36" t="str">
        <f>IF(Data!C60="","",(IF(ISNUMBER(MATCH("*@*.?*",Data!C60,0)),0,1)+IF(COUNTIFS(Data!C$1:'Data'!C60,Data!C60)&gt;1,1,0)))</f>
        <v/>
      </c>
      <c r="D70" s="36" t="str">
        <f>IF(Data!B60="","",IF(ISNUMBER(Data!D60),IF(AND(Data!D60&gt;999999999,Data!D60&lt;=9999999999),IF(COUNTIFS(Data!D$1:'Data'!D60,Data!D60)&lt;=1,0,1),1),1))</f>
        <v/>
      </c>
      <c r="E70" s="36" t="str">
        <f>IF(Data!B60="","",IF(ISNUMBER(MATCH(Data!E60,Data_Val!$A$2:$A$3,0)),0,1))</f>
        <v/>
      </c>
      <c r="F70" s="36" t="str">
        <f ca="1">IF(Data!B60="","",IF(ISNUMBER(Data!F60),IF(AND(Data!F60&gt;(TODAY()-(Data_Val!$H$3*365.25)),Data!F60&lt;=(TODAY()-(Data_Val!$H$2*365.25))),0,1),1))</f>
        <v/>
      </c>
      <c r="G70" s="12" t="str">
        <f>IF(Data!B60="","",IF(AND(Data!G60="",Data!H60&lt;&gt;""),1,IF(ISNUMBER(MATCH(Data!G60,Data_Val!$C$2:$C$5,0)),0,1)))</f>
        <v/>
      </c>
      <c r="H70" s="12" t="str">
        <f>IF(Data!B60="","",IF(AND(Data!G60&lt;&gt;"",Data!H60=""),1,IF(Data!G60="",1,IF(ISNUMBER(MATCH(Data!H60,Data_Val!$D$2:$D$35,0)),0,1))))</f>
        <v/>
      </c>
      <c r="I70" s="38" t="str">
        <f>IF(Data!G60="","",IF(Data!G60=Data_Val!$C$2,IF(Data!I60="",0,1),0))</f>
        <v/>
      </c>
      <c r="J70" s="38" t="str">
        <f>IF(Data!I60="","",IF(ISNUMBER(MATCH(Data!J60,Data_Val!$A$2:$A$3,0)),0,1))</f>
        <v/>
      </c>
      <c r="K70" s="38" t="str">
        <f ca="1">IF(Data!I60="","",IF(ISNUMBER(Data!K60),IF(AND(Data!K60&gt;(TODAY()-(Data_Val!$K$3*365.25)),Data!K60&lt;=(TODAY()-(Data_Val!$K$2*365.25))),0,1),1))</f>
        <v/>
      </c>
      <c r="L70" s="16" t="str">
        <f>IF(Data!G60="","",IF(Data!G60=Data_Val!$C$2,IF(Data!L60="",0,1),0))</f>
        <v/>
      </c>
      <c r="M70" s="16" t="str">
        <f>IF(Data!L60="","",IF(ISNUMBER(MATCH(Data!M60,Data_Val!$A$2:$A$3,0)),0,1))</f>
        <v/>
      </c>
      <c r="N70" s="43" t="str">
        <f ca="1">IF(Data!L60="","",IF(ISNUMBER(Data!N60),IF(AND(Data!N60&gt;(TODAY()-(Data_Val!$L$3*365.25)),Data!N60&lt;=(TODAY()-(Data_Val!$L$2*365.25))),0,1),1))</f>
        <v/>
      </c>
      <c r="O70" s="18" t="str">
        <f>IF(Data!$G60="","",IF(Data!$G60=Data_Val!$C$2,IF(Data!O60="",0,1),0))</f>
        <v/>
      </c>
      <c r="P70" s="18" t="str">
        <f>IF(Data!O60="","",IF(ISNUMBER(MATCH(Data!P60,Data_Val!$A$2:$A$3,0)),0,1))</f>
        <v/>
      </c>
      <c r="Q70" s="44" t="str">
        <f ca="1">IF(Data!O60="","",IF(ISNUMBER(Data!Q60),IF(AND(Data!Q60&gt;(TODAY()-(Data_Val!$L$3*365.25)),Data!Q60&lt;=(TODAY()-(Data_Val!$L$2*365.25))),0,1),1))</f>
        <v/>
      </c>
    </row>
    <row r="71" spans="1:17" ht="12" customHeight="1" x14ac:dyDescent="0.25">
      <c r="A71" s="36" t="str">
        <f>IF(Data!B61="","",IF(COUNTIFS(Data!A$1:'Data'!A61,Data!A61)&lt;=1,0,1))</f>
        <v/>
      </c>
      <c r="B71" s="36"/>
      <c r="C71" s="36" t="str">
        <f>IF(Data!C61="","",(IF(ISNUMBER(MATCH("*@*.?*",Data!C61,0)),0,1)+IF(COUNTIFS(Data!C$1:'Data'!C61,Data!C61)&gt;1,1,0)))</f>
        <v/>
      </c>
      <c r="D71" s="36" t="str">
        <f>IF(Data!B61="","",IF(ISNUMBER(Data!D61),IF(AND(Data!D61&gt;999999999,Data!D61&lt;=9999999999),IF(COUNTIFS(Data!D$1:'Data'!D61,Data!D61)&lt;=1,0,1),1),1))</f>
        <v/>
      </c>
      <c r="E71" s="36" t="str">
        <f>IF(Data!B61="","",IF(ISNUMBER(MATCH(Data!E61,Data_Val!$A$2:$A$3,0)),0,1))</f>
        <v/>
      </c>
      <c r="F71" s="36" t="str">
        <f ca="1">IF(Data!B61="","",IF(ISNUMBER(Data!F61),IF(AND(Data!F61&gt;(TODAY()-(Data_Val!$H$3*365.25)),Data!F61&lt;=(TODAY()-(Data_Val!$H$2*365.25))),0,1),1))</f>
        <v/>
      </c>
      <c r="G71" s="12" t="str">
        <f>IF(Data!B61="","",IF(AND(Data!G61="",Data!H61&lt;&gt;""),1,IF(ISNUMBER(MATCH(Data!G61,Data_Val!$C$2:$C$5,0)),0,1)))</f>
        <v/>
      </c>
      <c r="H71" s="12" t="str">
        <f>IF(Data!B61="","",IF(AND(Data!G61&lt;&gt;"",Data!H61=""),1,IF(Data!G61="",1,IF(ISNUMBER(MATCH(Data!H61,Data_Val!$D$2:$D$35,0)),0,1))))</f>
        <v/>
      </c>
      <c r="I71" s="38" t="str">
        <f>IF(Data!G61="","",IF(Data!G61=Data_Val!$C$2,IF(Data!I61="",0,1),0))</f>
        <v/>
      </c>
      <c r="J71" s="38" t="str">
        <f>IF(Data!I61="","",IF(ISNUMBER(MATCH(Data!J61,Data_Val!$A$2:$A$3,0)),0,1))</f>
        <v/>
      </c>
      <c r="K71" s="38" t="str">
        <f ca="1">IF(Data!I61="","",IF(ISNUMBER(Data!K61),IF(AND(Data!K61&gt;(TODAY()-(Data_Val!$K$3*365.25)),Data!K61&lt;=(TODAY()-(Data_Val!$K$2*365.25))),0,1),1))</f>
        <v/>
      </c>
      <c r="L71" s="16" t="str">
        <f>IF(Data!G61="","",IF(Data!G61=Data_Val!$C$2,IF(Data!L61="",0,1),0))</f>
        <v/>
      </c>
      <c r="M71" s="16" t="str">
        <f>IF(Data!L61="","",IF(ISNUMBER(MATCH(Data!M61,Data_Val!$A$2:$A$3,0)),0,1))</f>
        <v/>
      </c>
      <c r="N71" s="43" t="str">
        <f ca="1">IF(Data!L61="","",IF(ISNUMBER(Data!N61),IF(AND(Data!N61&gt;(TODAY()-(Data_Val!$L$3*365.25)),Data!N61&lt;=(TODAY()-(Data_Val!$L$2*365.25))),0,1),1))</f>
        <v/>
      </c>
      <c r="O71" s="18" t="str">
        <f>IF(Data!$G61="","",IF(Data!$G61=Data_Val!$C$2,IF(Data!O61="",0,1),0))</f>
        <v/>
      </c>
      <c r="P71" s="18" t="str">
        <f>IF(Data!O61="","",IF(ISNUMBER(MATCH(Data!P61,Data_Val!$A$2:$A$3,0)),0,1))</f>
        <v/>
      </c>
      <c r="Q71" s="44" t="str">
        <f ca="1">IF(Data!O61="","",IF(ISNUMBER(Data!Q61),IF(AND(Data!Q61&gt;(TODAY()-(Data_Val!$L$3*365.25)),Data!Q61&lt;=(TODAY()-(Data_Val!$L$2*365.25))),0,1),1))</f>
        <v/>
      </c>
    </row>
    <row r="72" spans="1:17" ht="12" customHeight="1" x14ac:dyDescent="0.25">
      <c r="A72" s="36" t="str">
        <f>IF(Data!B62="","",IF(COUNTIFS(Data!A$1:'Data'!A62,Data!A62)&lt;=1,0,1))</f>
        <v/>
      </c>
      <c r="B72" s="36"/>
      <c r="C72" s="36" t="str">
        <f>IF(Data!C62="","",(IF(ISNUMBER(MATCH("*@*.?*",Data!C62,0)),0,1)+IF(COUNTIFS(Data!C$1:'Data'!C62,Data!C62)&gt;1,1,0)))</f>
        <v/>
      </c>
      <c r="D72" s="36" t="str">
        <f>IF(Data!B62="","",IF(ISNUMBER(Data!D62),IF(AND(Data!D62&gt;999999999,Data!D62&lt;=9999999999),IF(COUNTIFS(Data!D$1:'Data'!D62,Data!D62)&lt;=1,0,1),1),1))</f>
        <v/>
      </c>
      <c r="E72" s="36" t="str">
        <f>IF(Data!B62="","",IF(ISNUMBER(MATCH(Data!E62,Data_Val!$A$2:$A$3,0)),0,1))</f>
        <v/>
      </c>
      <c r="F72" s="36" t="str">
        <f ca="1">IF(Data!B62="","",IF(ISNUMBER(Data!F62),IF(AND(Data!F62&gt;(TODAY()-(Data_Val!$H$3*365.25)),Data!F62&lt;=(TODAY()-(Data_Val!$H$2*365.25))),0,1),1))</f>
        <v/>
      </c>
      <c r="G72" s="12" t="str">
        <f>IF(Data!B62="","",IF(AND(Data!G62="",Data!H62&lt;&gt;""),1,IF(ISNUMBER(MATCH(Data!G62,Data_Val!$C$2:$C$5,0)),0,1)))</f>
        <v/>
      </c>
      <c r="H72" s="12" t="str">
        <f>IF(Data!B62="","",IF(AND(Data!G62&lt;&gt;"",Data!H62=""),1,IF(Data!G62="",1,IF(ISNUMBER(MATCH(Data!H62,Data_Val!$D$2:$D$35,0)),0,1))))</f>
        <v/>
      </c>
      <c r="I72" s="38" t="str">
        <f>IF(Data!G62="","",IF(Data!G62=Data_Val!$C$2,IF(Data!I62="",0,1),0))</f>
        <v/>
      </c>
      <c r="J72" s="38" t="str">
        <f>IF(Data!I62="","",IF(ISNUMBER(MATCH(Data!J62,Data_Val!$A$2:$A$3,0)),0,1))</f>
        <v/>
      </c>
      <c r="K72" s="38" t="str">
        <f ca="1">IF(Data!I62="","",IF(ISNUMBER(Data!K62),IF(AND(Data!K62&gt;(TODAY()-(Data_Val!$K$3*365.25)),Data!K62&lt;=(TODAY()-(Data_Val!$K$2*365.25))),0,1),1))</f>
        <v/>
      </c>
      <c r="L72" s="16" t="str">
        <f>IF(Data!G62="","",IF(Data!G62=Data_Val!$C$2,IF(Data!L62="",0,1),0))</f>
        <v/>
      </c>
      <c r="M72" s="16" t="str">
        <f>IF(Data!L62="","",IF(ISNUMBER(MATCH(Data!M62,Data_Val!$A$2:$A$3,0)),0,1))</f>
        <v/>
      </c>
      <c r="N72" s="43" t="str">
        <f ca="1">IF(Data!L62="","",IF(ISNUMBER(Data!N62),IF(AND(Data!N62&gt;(TODAY()-(Data_Val!$L$3*365.25)),Data!N62&lt;=(TODAY()-(Data_Val!$L$2*365.25))),0,1),1))</f>
        <v/>
      </c>
      <c r="O72" s="18" t="str">
        <f>IF(Data!$G62="","",IF(Data!$G62=Data_Val!$C$2,IF(Data!O62="",0,1),0))</f>
        <v/>
      </c>
      <c r="P72" s="18" t="str">
        <f>IF(Data!O62="","",IF(ISNUMBER(MATCH(Data!P62,Data_Val!$A$2:$A$3,0)),0,1))</f>
        <v/>
      </c>
      <c r="Q72" s="44" t="str">
        <f ca="1">IF(Data!O62="","",IF(ISNUMBER(Data!Q62),IF(AND(Data!Q62&gt;(TODAY()-(Data_Val!$L$3*365.25)),Data!Q62&lt;=(TODAY()-(Data_Val!$L$2*365.25))),0,1),1))</f>
        <v/>
      </c>
    </row>
    <row r="73" spans="1:17" ht="12" customHeight="1" x14ac:dyDescent="0.25">
      <c r="A73" s="36" t="str">
        <f>IF(Data!B63="","",IF(COUNTIFS(Data!A$1:'Data'!A63,Data!A63)&lt;=1,0,1))</f>
        <v/>
      </c>
      <c r="B73" s="36"/>
      <c r="C73" s="36" t="str">
        <f>IF(Data!C63="","",(IF(ISNUMBER(MATCH("*@*.?*",Data!C63,0)),0,1)+IF(COUNTIFS(Data!C$1:'Data'!C63,Data!C63)&gt;1,1,0)))</f>
        <v/>
      </c>
      <c r="D73" s="36" t="str">
        <f>IF(Data!B63="","",IF(ISNUMBER(Data!D63),IF(AND(Data!D63&gt;999999999,Data!D63&lt;=9999999999),IF(COUNTIFS(Data!D$1:'Data'!D63,Data!D63)&lt;=1,0,1),1),1))</f>
        <v/>
      </c>
      <c r="E73" s="36" t="str">
        <f>IF(Data!B63="","",IF(ISNUMBER(MATCH(Data!E63,Data_Val!$A$2:$A$3,0)),0,1))</f>
        <v/>
      </c>
      <c r="F73" s="36" t="str">
        <f ca="1">IF(Data!B63="","",IF(ISNUMBER(Data!F63),IF(AND(Data!F63&gt;(TODAY()-(Data_Val!$H$3*365.25)),Data!F63&lt;=(TODAY()-(Data_Val!$H$2*365.25))),0,1),1))</f>
        <v/>
      </c>
      <c r="G73" s="12" t="str">
        <f>IF(Data!B63="","",IF(AND(Data!G63="",Data!H63&lt;&gt;""),1,IF(ISNUMBER(MATCH(Data!G63,Data_Val!$C$2:$C$5,0)),0,1)))</f>
        <v/>
      </c>
      <c r="H73" s="12" t="str">
        <f>IF(Data!B63="","",IF(AND(Data!G63&lt;&gt;"",Data!H63=""),1,IF(Data!G63="",1,IF(ISNUMBER(MATCH(Data!H63,Data_Val!$D$2:$D$35,0)),0,1))))</f>
        <v/>
      </c>
      <c r="I73" s="38" t="str">
        <f>IF(Data!G63="","",IF(Data!G63=Data_Val!$C$2,IF(Data!I63="",0,1),0))</f>
        <v/>
      </c>
      <c r="J73" s="38" t="str">
        <f>IF(Data!I63="","",IF(ISNUMBER(MATCH(Data!J63,Data_Val!$A$2:$A$3,0)),0,1))</f>
        <v/>
      </c>
      <c r="K73" s="38" t="str">
        <f ca="1">IF(Data!I63="","",IF(ISNUMBER(Data!K63),IF(AND(Data!K63&gt;(TODAY()-(Data_Val!$K$3*365.25)),Data!K63&lt;=(TODAY()-(Data_Val!$K$2*365.25))),0,1),1))</f>
        <v/>
      </c>
      <c r="L73" s="16" t="str">
        <f>IF(Data!G63="","",IF(Data!G63=Data_Val!$C$2,IF(Data!L63="",0,1),0))</f>
        <v/>
      </c>
      <c r="M73" s="16" t="str">
        <f>IF(Data!L63="","",IF(ISNUMBER(MATCH(Data!M63,Data_Val!$A$2:$A$3,0)),0,1))</f>
        <v/>
      </c>
      <c r="N73" s="43" t="str">
        <f ca="1">IF(Data!L63="","",IF(ISNUMBER(Data!N63),IF(AND(Data!N63&gt;(TODAY()-(Data_Val!$L$3*365.25)),Data!N63&lt;=(TODAY()-(Data_Val!$L$2*365.25))),0,1),1))</f>
        <v/>
      </c>
      <c r="O73" s="18" t="str">
        <f>IF(Data!$G63="","",IF(Data!$G63=Data_Val!$C$2,IF(Data!O63="",0,1),0))</f>
        <v/>
      </c>
      <c r="P73" s="18" t="str">
        <f>IF(Data!O63="","",IF(ISNUMBER(MATCH(Data!P63,Data_Val!$A$2:$A$3,0)),0,1))</f>
        <v/>
      </c>
      <c r="Q73" s="44" t="str">
        <f ca="1">IF(Data!O63="","",IF(ISNUMBER(Data!Q63),IF(AND(Data!Q63&gt;(TODAY()-(Data_Val!$L$3*365.25)),Data!Q63&lt;=(TODAY()-(Data_Val!$L$2*365.25))),0,1),1))</f>
        <v/>
      </c>
    </row>
    <row r="74" spans="1:17" ht="12" customHeight="1" x14ac:dyDescent="0.25">
      <c r="A74" s="36" t="str">
        <f>IF(Data!B64="","",IF(COUNTIFS(Data!A$1:'Data'!A64,Data!A64)&lt;=1,0,1))</f>
        <v/>
      </c>
      <c r="B74" s="36"/>
      <c r="C74" s="36" t="str">
        <f>IF(Data!C64="","",(IF(ISNUMBER(MATCH("*@*.?*",Data!C64,0)),0,1)+IF(COUNTIFS(Data!C$1:'Data'!C64,Data!C64)&gt;1,1,0)))</f>
        <v/>
      </c>
      <c r="D74" s="36" t="str">
        <f>IF(Data!B64="","",IF(ISNUMBER(Data!D64),IF(AND(Data!D64&gt;999999999,Data!D64&lt;=9999999999),IF(COUNTIFS(Data!D$1:'Data'!D64,Data!D64)&lt;=1,0,1),1),1))</f>
        <v/>
      </c>
      <c r="E74" s="36" t="str">
        <f>IF(Data!B64="","",IF(ISNUMBER(MATCH(Data!E64,Data_Val!$A$2:$A$3,0)),0,1))</f>
        <v/>
      </c>
      <c r="F74" s="36" t="str">
        <f ca="1">IF(Data!B64="","",IF(ISNUMBER(Data!F64),IF(AND(Data!F64&gt;(TODAY()-(Data_Val!$H$3*365.25)),Data!F64&lt;=(TODAY()-(Data_Val!$H$2*365.25))),0,1),1))</f>
        <v/>
      </c>
      <c r="G74" s="12" t="str">
        <f>IF(Data!B64="","",IF(AND(Data!G64="",Data!H64&lt;&gt;""),1,IF(ISNUMBER(MATCH(Data!G64,Data_Val!$C$2:$C$5,0)),0,1)))</f>
        <v/>
      </c>
      <c r="H74" s="12" t="str">
        <f>IF(Data!B64="","",IF(AND(Data!G64&lt;&gt;"",Data!H64=""),1,IF(Data!G64="",1,IF(ISNUMBER(MATCH(Data!H64,Data_Val!$D$2:$D$35,0)),0,1))))</f>
        <v/>
      </c>
      <c r="I74" s="38" t="str">
        <f>IF(Data!G64="","",IF(Data!G64=Data_Val!$C$2,IF(Data!I64="",0,1),0))</f>
        <v/>
      </c>
      <c r="J74" s="38" t="str">
        <f>IF(Data!I64="","",IF(ISNUMBER(MATCH(Data!J64,Data_Val!$A$2:$A$3,0)),0,1))</f>
        <v/>
      </c>
      <c r="K74" s="38" t="str">
        <f ca="1">IF(Data!I64="","",IF(ISNUMBER(Data!K64),IF(AND(Data!K64&gt;(TODAY()-(Data_Val!$K$3*365.25)),Data!K64&lt;=(TODAY()-(Data_Val!$K$2*365.25))),0,1),1))</f>
        <v/>
      </c>
      <c r="L74" s="16" t="str">
        <f>IF(Data!G64="","",IF(Data!G64=Data_Val!$C$2,IF(Data!L64="",0,1),0))</f>
        <v/>
      </c>
      <c r="M74" s="16" t="str">
        <f>IF(Data!L64="","",IF(ISNUMBER(MATCH(Data!M64,Data_Val!$A$2:$A$3,0)),0,1))</f>
        <v/>
      </c>
      <c r="N74" s="43" t="str">
        <f ca="1">IF(Data!L64="","",IF(ISNUMBER(Data!N64),IF(AND(Data!N64&gt;(TODAY()-(Data_Val!$L$3*365.25)),Data!N64&lt;=(TODAY()-(Data_Val!$L$2*365.25))),0,1),1))</f>
        <v/>
      </c>
      <c r="O74" s="18" t="str">
        <f>IF(Data!$G64="","",IF(Data!$G64=Data_Val!$C$2,IF(Data!O64="",0,1),0))</f>
        <v/>
      </c>
      <c r="P74" s="18" t="str">
        <f>IF(Data!O64="","",IF(ISNUMBER(MATCH(Data!P64,Data_Val!$A$2:$A$3,0)),0,1))</f>
        <v/>
      </c>
      <c r="Q74" s="44" t="str">
        <f ca="1">IF(Data!O64="","",IF(ISNUMBER(Data!Q64),IF(AND(Data!Q64&gt;(TODAY()-(Data_Val!$L$3*365.25)),Data!Q64&lt;=(TODAY()-(Data_Val!$L$2*365.25))),0,1),1))</f>
        <v/>
      </c>
    </row>
    <row r="75" spans="1:17" ht="12" customHeight="1" x14ac:dyDescent="0.25">
      <c r="A75" s="36" t="str">
        <f>IF(Data!B65="","",IF(COUNTIFS(Data!A$1:'Data'!A65,Data!A65)&lt;=1,0,1))</f>
        <v/>
      </c>
      <c r="B75" s="36"/>
      <c r="C75" s="36" t="str">
        <f>IF(Data!C65="","",(IF(ISNUMBER(MATCH("*@*.?*",Data!C65,0)),0,1)+IF(COUNTIFS(Data!C$1:'Data'!C65,Data!C65)&gt;1,1,0)))</f>
        <v/>
      </c>
      <c r="D75" s="36" t="str">
        <f>IF(Data!B65="","",IF(ISNUMBER(Data!D65),IF(AND(Data!D65&gt;999999999,Data!D65&lt;=9999999999),IF(COUNTIFS(Data!D$1:'Data'!D65,Data!D65)&lt;=1,0,1),1),1))</f>
        <v/>
      </c>
      <c r="E75" s="36" t="str">
        <f>IF(Data!B65="","",IF(ISNUMBER(MATCH(Data!E65,Data_Val!$A$2:$A$3,0)),0,1))</f>
        <v/>
      </c>
      <c r="F75" s="36" t="str">
        <f ca="1">IF(Data!B65="","",IF(ISNUMBER(Data!F65),IF(AND(Data!F65&gt;(TODAY()-(Data_Val!$H$3*365.25)),Data!F65&lt;=(TODAY()-(Data_Val!$H$2*365.25))),0,1),1))</f>
        <v/>
      </c>
      <c r="G75" s="12" t="str">
        <f>IF(Data!B65="","",IF(AND(Data!G65="",Data!H65&lt;&gt;""),1,IF(ISNUMBER(MATCH(Data!G65,Data_Val!$C$2:$C$5,0)),0,1)))</f>
        <v/>
      </c>
      <c r="H75" s="12" t="str">
        <f>IF(Data!B65="","",IF(AND(Data!G65&lt;&gt;"",Data!H65=""),1,IF(Data!G65="",1,IF(ISNUMBER(MATCH(Data!H65,Data_Val!$D$2:$D$35,0)),0,1))))</f>
        <v/>
      </c>
      <c r="I75" s="38" t="str">
        <f>IF(Data!G65="","",IF(Data!G65=Data_Val!$C$2,IF(Data!I65="",0,1),0))</f>
        <v/>
      </c>
      <c r="J75" s="38" t="str">
        <f>IF(Data!I65="","",IF(ISNUMBER(MATCH(Data!J65,Data_Val!$A$2:$A$3,0)),0,1))</f>
        <v/>
      </c>
      <c r="K75" s="38" t="str">
        <f ca="1">IF(Data!I65="","",IF(ISNUMBER(Data!K65),IF(AND(Data!K65&gt;(TODAY()-(Data_Val!$K$3*365.25)),Data!K65&lt;=(TODAY()-(Data_Val!$K$2*365.25))),0,1),1))</f>
        <v/>
      </c>
      <c r="L75" s="16" t="str">
        <f>IF(Data!G65="","",IF(Data!G65=Data_Val!$C$2,IF(Data!L65="",0,1),0))</f>
        <v/>
      </c>
      <c r="M75" s="16" t="str">
        <f>IF(Data!L65="","",IF(ISNUMBER(MATCH(Data!M65,Data_Val!$A$2:$A$3,0)),0,1))</f>
        <v/>
      </c>
      <c r="N75" s="43" t="str">
        <f ca="1">IF(Data!L65="","",IF(ISNUMBER(Data!N65),IF(AND(Data!N65&gt;(TODAY()-(Data_Val!$L$3*365.25)),Data!N65&lt;=(TODAY()-(Data_Val!$L$2*365.25))),0,1),1))</f>
        <v/>
      </c>
      <c r="O75" s="18" t="str">
        <f>IF(Data!$G65="","",IF(Data!$G65=Data_Val!$C$2,IF(Data!O65="",0,1),0))</f>
        <v/>
      </c>
      <c r="P75" s="18" t="str">
        <f>IF(Data!O65="","",IF(ISNUMBER(MATCH(Data!P65,Data_Val!$A$2:$A$3,0)),0,1))</f>
        <v/>
      </c>
      <c r="Q75" s="44" t="str">
        <f ca="1">IF(Data!O65="","",IF(ISNUMBER(Data!Q65),IF(AND(Data!Q65&gt;(TODAY()-(Data_Val!$L$3*365.25)),Data!Q65&lt;=(TODAY()-(Data_Val!$L$2*365.25))),0,1),1))</f>
        <v/>
      </c>
    </row>
    <row r="76" spans="1:17" ht="12" customHeight="1" x14ac:dyDescent="0.25">
      <c r="A76" s="36" t="str">
        <f>IF(Data!B66="","",IF(COUNTIFS(Data!A$1:'Data'!A66,Data!A66)&lt;=1,0,1))</f>
        <v/>
      </c>
      <c r="B76" s="36"/>
      <c r="C76" s="36" t="str">
        <f>IF(Data!C66="","",(IF(ISNUMBER(MATCH("*@*.?*",Data!C66,0)),0,1)+IF(COUNTIFS(Data!C$1:'Data'!C66,Data!C66)&gt;1,1,0)))</f>
        <v/>
      </c>
      <c r="D76" s="36" t="str">
        <f>IF(Data!B66="","",IF(ISNUMBER(Data!D66),IF(AND(Data!D66&gt;999999999,Data!D66&lt;=9999999999),IF(COUNTIFS(Data!D$1:'Data'!D66,Data!D66)&lt;=1,0,1),1),1))</f>
        <v/>
      </c>
      <c r="E76" s="36" t="str">
        <f>IF(Data!B66="","",IF(ISNUMBER(MATCH(Data!E66,Data_Val!$A$2:$A$3,0)),0,1))</f>
        <v/>
      </c>
      <c r="F76" s="36" t="str">
        <f ca="1">IF(Data!B66="","",IF(ISNUMBER(Data!F66),IF(AND(Data!F66&gt;(TODAY()-(Data_Val!$H$3*365.25)),Data!F66&lt;=(TODAY()-(Data_Val!$H$2*365.25))),0,1),1))</f>
        <v/>
      </c>
      <c r="G76" s="12" t="str">
        <f>IF(Data!B66="","",IF(AND(Data!G66="",Data!H66&lt;&gt;""),1,IF(ISNUMBER(MATCH(Data!G66,Data_Val!$C$2:$C$5,0)),0,1)))</f>
        <v/>
      </c>
      <c r="H76" s="12" t="str">
        <f>IF(Data!B66="","",IF(AND(Data!G66&lt;&gt;"",Data!H66=""),1,IF(Data!G66="",1,IF(ISNUMBER(MATCH(Data!H66,Data_Val!$D$2:$D$35,0)),0,1))))</f>
        <v/>
      </c>
      <c r="I76" s="38" t="str">
        <f>IF(Data!G66="","",IF(Data!G66=Data_Val!$C$2,IF(Data!I66="",0,1),0))</f>
        <v/>
      </c>
      <c r="J76" s="38" t="str">
        <f>IF(Data!I66="","",IF(ISNUMBER(MATCH(Data!J66,Data_Val!$A$2:$A$3,0)),0,1))</f>
        <v/>
      </c>
      <c r="K76" s="38" t="str">
        <f ca="1">IF(Data!I66="","",IF(ISNUMBER(Data!K66),IF(AND(Data!K66&gt;(TODAY()-(Data_Val!$K$3*365.25)),Data!K66&lt;=(TODAY()-(Data_Val!$K$2*365.25))),0,1),1))</f>
        <v/>
      </c>
      <c r="L76" s="16" t="str">
        <f>IF(Data!G66="","",IF(Data!G66=Data_Val!$C$2,IF(Data!L66="",0,1),0))</f>
        <v/>
      </c>
      <c r="M76" s="16" t="str">
        <f>IF(Data!L66="","",IF(ISNUMBER(MATCH(Data!M66,Data_Val!$A$2:$A$3,0)),0,1))</f>
        <v/>
      </c>
      <c r="N76" s="43" t="str">
        <f ca="1">IF(Data!L66="","",IF(ISNUMBER(Data!N66),IF(AND(Data!N66&gt;(TODAY()-(Data_Val!$L$3*365.25)),Data!N66&lt;=(TODAY()-(Data_Val!$L$2*365.25))),0,1),1))</f>
        <v/>
      </c>
      <c r="O76" s="18" t="str">
        <f>IF(Data!$G66="","",IF(Data!$G66=Data_Val!$C$2,IF(Data!O66="",0,1),0))</f>
        <v/>
      </c>
      <c r="P76" s="18" t="str">
        <f>IF(Data!O66="","",IF(ISNUMBER(MATCH(Data!P66,Data_Val!$A$2:$A$3,0)),0,1))</f>
        <v/>
      </c>
      <c r="Q76" s="44" t="str">
        <f ca="1">IF(Data!O66="","",IF(ISNUMBER(Data!Q66),IF(AND(Data!Q66&gt;(TODAY()-(Data_Val!$L$3*365.25)),Data!Q66&lt;=(TODAY()-(Data_Val!$L$2*365.25))),0,1),1))</f>
        <v/>
      </c>
    </row>
    <row r="77" spans="1:17" ht="12" customHeight="1" x14ac:dyDescent="0.25">
      <c r="A77" s="36" t="str">
        <f>IF(Data!B67="","",IF(COUNTIFS(Data!A$1:'Data'!A67,Data!A67)&lt;=1,0,1))</f>
        <v/>
      </c>
      <c r="B77" s="36"/>
      <c r="C77" s="36" t="str">
        <f>IF(Data!C67="","",(IF(ISNUMBER(MATCH("*@*.?*",Data!C67,0)),0,1)+IF(COUNTIFS(Data!C$1:'Data'!C67,Data!C67)&gt;1,1,0)))</f>
        <v/>
      </c>
      <c r="D77" s="36" t="str">
        <f>IF(Data!B67="","",IF(ISNUMBER(Data!D67),IF(AND(Data!D67&gt;999999999,Data!D67&lt;=9999999999),IF(COUNTIFS(Data!D$1:'Data'!D67,Data!D67)&lt;=1,0,1),1),1))</f>
        <v/>
      </c>
      <c r="E77" s="36" t="str">
        <f>IF(Data!B67="","",IF(ISNUMBER(MATCH(Data!E67,Data_Val!$A$2:$A$3,0)),0,1))</f>
        <v/>
      </c>
      <c r="F77" s="36" t="str">
        <f ca="1">IF(Data!B67="","",IF(ISNUMBER(Data!F67),IF(AND(Data!F67&gt;(TODAY()-(Data_Val!$H$3*365.25)),Data!F67&lt;=(TODAY()-(Data_Val!$H$2*365.25))),0,1),1))</f>
        <v/>
      </c>
      <c r="G77" s="12" t="str">
        <f>IF(Data!B67="","",IF(AND(Data!G67="",Data!H67&lt;&gt;""),1,IF(ISNUMBER(MATCH(Data!G67,Data_Val!$C$2:$C$5,0)),0,1)))</f>
        <v/>
      </c>
      <c r="H77" s="12" t="str">
        <f>IF(Data!B67="","",IF(AND(Data!G67&lt;&gt;"",Data!H67=""),1,IF(Data!G67="",1,IF(ISNUMBER(MATCH(Data!H67,Data_Val!$D$2:$D$35,0)),0,1))))</f>
        <v/>
      </c>
      <c r="I77" s="38" t="str">
        <f>IF(Data!G67="","",IF(Data!G67=Data_Val!$C$2,IF(Data!I67="",0,1),0))</f>
        <v/>
      </c>
      <c r="J77" s="38" t="str">
        <f>IF(Data!I67="","",IF(ISNUMBER(MATCH(Data!J67,Data_Val!$A$2:$A$3,0)),0,1))</f>
        <v/>
      </c>
      <c r="K77" s="38" t="str">
        <f ca="1">IF(Data!I67="","",IF(ISNUMBER(Data!K67),IF(AND(Data!K67&gt;(TODAY()-(Data_Val!$K$3*365.25)),Data!K67&lt;=(TODAY()-(Data_Val!$K$2*365.25))),0,1),1))</f>
        <v/>
      </c>
      <c r="L77" s="16" t="str">
        <f>IF(Data!G67="","",IF(Data!G67=Data_Val!$C$2,IF(Data!L67="",0,1),0))</f>
        <v/>
      </c>
      <c r="M77" s="16" t="str">
        <f>IF(Data!L67="","",IF(ISNUMBER(MATCH(Data!M67,Data_Val!$A$2:$A$3,0)),0,1))</f>
        <v/>
      </c>
      <c r="N77" s="43" t="str">
        <f ca="1">IF(Data!L67="","",IF(ISNUMBER(Data!N67),IF(AND(Data!N67&gt;(TODAY()-(Data_Val!$L$3*365.25)),Data!N67&lt;=(TODAY()-(Data_Val!$L$2*365.25))),0,1),1))</f>
        <v/>
      </c>
      <c r="O77" s="18" t="str">
        <f>IF(Data!$G67="","",IF(Data!$G67=Data_Val!$C$2,IF(Data!O67="",0,1),0))</f>
        <v/>
      </c>
      <c r="P77" s="18" t="str">
        <f>IF(Data!O67="","",IF(ISNUMBER(MATCH(Data!P67,Data_Val!$A$2:$A$3,0)),0,1))</f>
        <v/>
      </c>
      <c r="Q77" s="44" t="str">
        <f ca="1">IF(Data!O67="","",IF(ISNUMBER(Data!Q67),IF(AND(Data!Q67&gt;(TODAY()-(Data_Val!$L$3*365.25)),Data!Q67&lt;=(TODAY()-(Data_Val!$L$2*365.25))),0,1),1))</f>
        <v/>
      </c>
    </row>
    <row r="78" spans="1:17" ht="12" customHeight="1" x14ac:dyDescent="0.25">
      <c r="A78" s="36" t="str">
        <f>IF(Data!B68="","",IF(COUNTIFS(Data!A$1:'Data'!A68,Data!A68)&lt;=1,0,1))</f>
        <v/>
      </c>
      <c r="B78" s="36"/>
      <c r="C78" s="36" t="str">
        <f>IF(Data!C68="","",(IF(ISNUMBER(MATCH("*@*.?*",Data!C68,0)),0,1)+IF(COUNTIFS(Data!C$1:'Data'!C68,Data!C68)&gt;1,1,0)))</f>
        <v/>
      </c>
      <c r="D78" s="36" t="str">
        <f>IF(Data!B68="","",IF(ISNUMBER(Data!D68),IF(AND(Data!D68&gt;999999999,Data!D68&lt;=9999999999),IF(COUNTIFS(Data!D$1:'Data'!D68,Data!D68)&lt;=1,0,1),1),1))</f>
        <v/>
      </c>
      <c r="E78" s="36" t="str">
        <f>IF(Data!B68="","",IF(ISNUMBER(MATCH(Data!E68,Data_Val!$A$2:$A$3,0)),0,1))</f>
        <v/>
      </c>
      <c r="F78" s="36" t="str">
        <f ca="1">IF(Data!B68="","",IF(ISNUMBER(Data!F68),IF(AND(Data!F68&gt;(TODAY()-(Data_Val!$H$3*365.25)),Data!F68&lt;=(TODAY()-(Data_Val!$H$2*365.25))),0,1),1))</f>
        <v/>
      </c>
      <c r="G78" s="12" t="str">
        <f>IF(Data!B68="","",IF(AND(Data!G68="",Data!H68&lt;&gt;""),1,IF(ISNUMBER(MATCH(Data!G68,Data_Val!$C$2:$C$5,0)),0,1)))</f>
        <v/>
      </c>
      <c r="H78" s="12" t="str">
        <f>IF(Data!B68="","",IF(AND(Data!G68&lt;&gt;"",Data!H68=""),1,IF(Data!G68="",1,IF(ISNUMBER(MATCH(Data!H68,Data_Val!$D$2:$D$35,0)),0,1))))</f>
        <v/>
      </c>
      <c r="I78" s="38" t="str">
        <f>IF(Data!G68="","",IF(Data!G68=Data_Val!$C$2,IF(Data!I68="",0,1),0))</f>
        <v/>
      </c>
      <c r="J78" s="38" t="str">
        <f>IF(Data!I68="","",IF(ISNUMBER(MATCH(Data!J68,Data_Val!$A$2:$A$3,0)),0,1))</f>
        <v/>
      </c>
      <c r="K78" s="38" t="str">
        <f ca="1">IF(Data!I68="","",IF(ISNUMBER(Data!K68),IF(AND(Data!K68&gt;(TODAY()-(Data_Val!$K$3*365.25)),Data!K68&lt;=(TODAY()-(Data_Val!$K$2*365.25))),0,1),1))</f>
        <v/>
      </c>
      <c r="L78" s="16" t="str">
        <f>IF(Data!G68="","",IF(Data!G68=Data_Val!$C$2,IF(Data!L68="",0,1),0))</f>
        <v/>
      </c>
      <c r="M78" s="16" t="str">
        <f>IF(Data!L68="","",IF(ISNUMBER(MATCH(Data!M68,Data_Val!$A$2:$A$3,0)),0,1))</f>
        <v/>
      </c>
      <c r="N78" s="43" t="str">
        <f ca="1">IF(Data!L68="","",IF(ISNUMBER(Data!N68),IF(AND(Data!N68&gt;(TODAY()-(Data_Val!$L$3*365.25)),Data!N68&lt;=(TODAY()-(Data_Val!$L$2*365.25))),0,1),1))</f>
        <v/>
      </c>
      <c r="O78" s="18" t="str">
        <f>IF(Data!$G68="","",IF(Data!$G68=Data_Val!$C$2,IF(Data!O68="",0,1),0))</f>
        <v/>
      </c>
      <c r="P78" s="18" t="str">
        <f>IF(Data!O68="","",IF(ISNUMBER(MATCH(Data!P68,Data_Val!$A$2:$A$3,0)),0,1))</f>
        <v/>
      </c>
      <c r="Q78" s="44" t="str">
        <f ca="1">IF(Data!O68="","",IF(ISNUMBER(Data!Q68),IF(AND(Data!Q68&gt;(TODAY()-(Data_Val!$L$3*365.25)),Data!Q68&lt;=(TODAY()-(Data_Val!$L$2*365.25))),0,1),1))</f>
        <v/>
      </c>
    </row>
    <row r="79" spans="1:17" ht="12" customHeight="1" x14ac:dyDescent="0.25">
      <c r="A79" s="36" t="str">
        <f>IF(Data!B69="","",IF(COUNTIFS(Data!A$1:'Data'!A69,Data!A69)&lt;=1,0,1))</f>
        <v/>
      </c>
      <c r="B79" s="36"/>
      <c r="C79" s="36" t="str">
        <f>IF(Data!C69="","",(IF(ISNUMBER(MATCH("*@*.?*",Data!C69,0)),0,1)+IF(COUNTIFS(Data!C$1:'Data'!C69,Data!C69)&gt;1,1,0)))</f>
        <v/>
      </c>
      <c r="D79" s="36" t="str">
        <f>IF(Data!B69="","",IF(ISNUMBER(Data!D69),IF(AND(Data!D69&gt;999999999,Data!D69&lt;=9999999999),IF(COUNTIFS(Data!D$1:'Data'!D69,Data!D69)&lt;=1,0,1),1),1))</f>
        <v/>
      </c>
      <c r="E79" s="36" t="str">
        <f>IF(Data!B69="","",IF(ISNUMBER(MATCH(Data!E69,Data_Val!$A$2:$A$3,0)),0,1))</f>
        <v/>
      </c>
      <c r="F79" s="36" t="str">
        <f ca="1">IF(Data!B69="","",IF(ISNUMBER(Data!F69),IF(AND(Data!F69&gt;(TODAY()-(Data_Val!$H$3*365.25)),Data!F69&lt;=(TODAY()-(Data_Val!$H$2*365.25))),0,1),1))</f>
        <v/>
      </c>
      <c r="G79" s="12" t="str">
        <f>IF(Data!B69="","",IF(AND(Data!G69="",Data!H69&lt;&gt;""),1,IF(ISNUMBER(MATCH(Data!G69,Data_Val!$C$2:$C$5,0)),0,1)))</f>
        <v/>
      </c>
      <c r="H79" s="12" t="str">
        <f>IF(Data!B69="","",IF(AND(Data!G69&lt;&gt;"",Data!H69=""),1,IF(Data!G69="",1,IF(ISNUMBER(MATCH(Data!H69,Data_Val!$D$2:$D$35,0)),0,1))))</f>
        <v/>
      </c>
      <c r="I79" s="38" t="str">
        <f>IF(Data!G69="","",IF(Data!G69=Data_Val!$C$2,IF(Data!I69="",0,1),0))</f>
        <v/>
      </c>
      <c r="J79" s="38" t="str">
        <f>IF(Data!I69="","",IF(ISNUMBER(MATCH(Data!J69,Data_Val!$A$2:$A$3,0)),0,1))</f>
        <v/>
      </c>
      <c r="K79" s="38" t="str">
        <f ca="1">IF(Data!I69="","",IF(ISNUMBER(Data!K69),IF(AND(Data!K69&gt;(TODAY()-(Data_Val!$K$3*365.25)),Data!K69&lt;=(TODAY()-(Data_Val!$K$2*365.25))),0,1),1))</f>
        <v/>
      </c>
      <c r="L79" s="16" t="str">
        <f>IF(Data!G69="","",IF(Data!G69=Data_Val!$C$2,IF(Data!L69="",0,1),0))</f>
        <v/>
      </c>
      <c r="M79" s="16" t="str">
        <f>IF(Data!L69="","",IF(ISNUMBER(MATCH(Data!M69,Data_Val!$A$2:$A$3,0)),0,1))</f>
        <v/>
      </c>
      <c r="N79" s="43" t="str">
        <f ca="1">IF(Data!L69="","",IF(ISNUMBER(Data!N69),IF(AND(Data!N69&gt;(TODAY()-(Data_Val!$L$3*365.25)),Data!N69&lt;=(TODAY()-(Data_Val!$L$2*365.25))),0,1),1))</f>
        <v/>
      </c>
      <c r="O79" s="18" t="str">
        <f>IF(Data!$G69="","",IF(Data!$G69=Data_Val!$C$2,IF(Data!O69="",0,1),0))</f>
        <v/>
      </c>
      <c r="P79" s="18" t="str">
        <f>IF(Data!O69="","",IF(ISNUMBER(MATCH(Data!P69,Data_Val!$A$2:$A$3,0)),0,1))</f>
        <v/>
      </c>
      <c r="Q79" s="44" t="str">
        <f ca="1">IF(Data!O69="","",IF(ISNUMBER(Data!Q69),IF(AND(Data!Q69&gt;(TODAY()-(Data_Val!$L$3*365.25)),Data!Q69&lt;=(TODAY()-(Data_Val!$L$2*365.25))),0,1),1))</f>
        <v/>
      </c>
    </row>
    <row r="80" spans="1:17" ht="12" customHeight="1" x14ac:dyDescent="0.25">
      <c r="A80" s="36" t="str">
        <f>IF(Data!B70="","",IF(COUNTIFS(Data!A$1:'Data'!A70,Data!A70)&lt;=1,0,1))</f>
        <v/>
      </c>
      <c r="B80" s="36"/>
      <c r="C80" s="36" t="str">
        <f>IF(Data!C70="","",(IF(ISNUMBER(MATCH("*@*.?*",Data!C70,0)),0,1)+IF(COUNTIFS(Data!C$1:'Data'!C70,Data!C70)&gt;1,1,0)))</f>
        <v/>
      </c>
      <c r="D80" s="36" t="str">
        <f>IF(Data!B70="","",IF(ISNUMBER(Data!D70),IF(AND(Data!D70&gt;999999999,Data!D70&lt;=9999999999),IF(COUNTIFS(Data!D$1:'Data'!D70,Data!D70)&lt;=1,0,1),1),1))</f>
        <v/>
      </c>
      <c r="E80" s="36" t="str">
        <f>IF(Data!B70="","",IF(ISNUMBER(MATCH(Data!E70,Data_Val!$A$2:$A$3,0)),0,1))</f>
        <v/>
      </c>
      <c r="F80" s="36" t="str">
        <f ca="1">IF(Data!B70="","",IF(ISNUMBER(Data!F70),IF(AND(Data!F70&gt;(TODAY()-(Data_Val!$H$3*365.25)),Data!F70&lt;=(TODAY()-(Data_Val!$H$2*365.25))),0,1),1))</f>
        <v/>
      </c>
      <c r="G80" s="12" t="str">
        <f>IF(Data!B70="","",IF(AND(Data!G70="",Data!H70&lt;&gt;""),1,IF(ISNUMBER(MATCH(Data!G70,Data_Val!$C$2:$C$5,0)),0,1)))</f>
        <v/>
      </c>
      <c r="H80" s="12" t="str">
        <f>IF(Data!B70="","",IF(AND(Data!G70&lt;&gt;"",Data!H70=""),1,IF(Data!G70="",1,IF(ISNUMBER(MATCH(Data!H70,Data_Val!$D$2:$D$35,0)),0,1))))</f>
        <v/>
      </c>
      <c r="I80" s="38" t="str">
        <f>IF(Data!G70="","",IF(Data!G70=Data_Val!$C$2,IF(Data!I70="",0,1),0))</f>
        <v/>
      </c>
      <c r="J80" s="38" t="str">
        <f>IF(Data!I70="","",IF(ISNUMBER(MATCH(Data!J70,Data_Val!$A$2:$A$3,0)),0,1))</f>
        <v/>
      </c>
      <c r="K80" s="38" t="str">
        <f ca="1">IF(Data!I70="","",IF(ISNUMBER(Data!K70),IF(AND(Data!K70&gt;(TODAY()-(Data_Val!$K$3*365.25)),Data!K70&lt;=(TODAY()-(Data_Val!$K$2*365.25))),0,1),1))</f>
        <v/>
      </c>
      <c r="L80" s="16" t="str">
        <f>IF(Data!G70="","",IF(Data!G70=Data_Val!$C$2,IF(Data!L70="",0,1),0))</f>
        <v/>
      </c>
      <c r="M80" s="16" t="str">
        <f>IF(Data!L70="","",IF(ISNUMBER(MATCH(Data!M70,Data_Val!$A$2:$A$3,0)),0,1))</f>
        <v/>
      </c>
      <c r="N80" s="43" t="str">
        <f ca="1">IF(Data!L70="","",IF(ISNUMBER(Data!N70),IF(AND(Data!N70&gt;(TODAY()-(Data_Val!$L$3*365.25)),Data!N70&lt;=(TODAY()-(Data_Val!$L$2*365.25))),0,1),1))</f>
        <v/>
      </c>
      <c r="O80" s="18" t="str">
        <f>IF(Data!$G70="","",IF(Data!$G70=Data_Val!$C$2,IF(Data!O70="",0,1),0))</f>
        <v/>
      </c>
      <c r="P80" s="18" t="str">
        <f>IF(Data!O70="","",IF(ISNUMBER(MATCH(Data!P70,Data_Val!$A$2:$A$3,0)),0,1))</f>
        <v/>
      </c>
      <c r="Q80" s="44" t="str">
        <f ca="1">IF(Data!O70="","",IF(ISNUMBER(Data!Q70),IF(AND(Data!Q70&gt;(TODAY()-(Data_Val!$L$3*365.25)),Data!Q70&lt;=(TODAY()-(Data_Val!$L$2*365.25))),0,1),1))</f>
        <v/>
      </c>
    </row>
    <row r="81" spans="1:17" ht="12" customHeight="1" x14ac:dyDescent="0.25">
      <c r="A81" s="36" t="str">
        <f>IF(Data!B71="","",IF(COUNTIFS(Data!A$1:'Data'!A71,Data!A71)&lt;=1,0,1))</f>
        <v/>
      </c>
      <c r="B81" s="36"/>
      <c r="C81" s="36" t="str">
        <f>IF(Data!C71="","",(IF(ISNUMBER(MATCH("*@*.?*",Data!C71,0)),0,1)+IF(COUNTIFS(Data!C$1:'Data'!C71,Data!C71)&gt;1,1,0)))</f>
        <v/>
      </c>
      <c r="D81" s="36" t="str">
        <f>IF(Data!B71="","",IF(ISNUMBER(Data!D71),IF(AND(Data!D71&gt;999999999,Data!D71&lt;=9999999999),IF(COUNTIFS(Data!D$1:'Data'!D71,Data!D71)&lt;=1,0,1),1),1))</f>
        <v/>
      </c>
      <c r="E81" s="36" t="str">
        <f>IF(Data!B71="","",IF(ISNUMBER(MATCH(Data!E71,Data_Val!$A$2:$A$3,0)),0,1))</f>
        <v/>
      </c>
      <c r="F81" s="36" t="str">
        <f ca="1">IF(Data!B71="","",IF(ISNUMBER(Data!F71),IF(AND(Data!F71&gt;(TODAY()-(Data_Val!$H$3*365.25)),Data!F71&lt;=(TODAY()-(Data_Val!$H$2*365.25))),0,1),1))</f>
        <v/>
      </c>
      <c r="G81" s="12" t="str">
        <f>IF(Data!B71="","",IF(AND(Data!G71="",Data!H71&lt;&gt;""),1,IF(ISNUMBER(MATCH(Data!G71,Data_Val!$C$2:$C$5,0)),0,1)))</f>
        <v/>
      </c>
      <c r="H81" s="12" t="str">
        <f>IF(Data!B71="","",IF(AND(Data!G71&lt;&gt;"",Data!H71=""),1,IF(Data!G71="",1,IF(ISNUMBER(MATCH(Data!H71,Data_Val!$D$2:$D$35,0)),0,1))))</f>
        <v/>
      </c>
      <c r="I81" s="38" t="str">
        <f>IF(Data!G71="","",IF(Data!G71=Data_Val!$C$2,IF(Data!I71="",0,1),0))</f>
        <v/>
      </c>
      <c r="J81" s="38" t="str">
        <f>IF(Data!I71="","",IF(ISNUMBER(MATCH(Data!J71,Data_Val!$A$2:$A$3,0)),0,1))</f>
        <v/>
      </c>
      <c r="K81" s="38" t="str">
        <f ca="1">IF(Data!I71="","",IF(ISNUMBER(Data!K71),IF(AND(Data!K71&gt;(TODAY()-(Data_Val!$K$3*365.25)),Data!K71&lt;=(TODAY()-(Data_Val!$K$2*365.25))),0,1),1))</f>
        <v/>
      </c>
      <c r="L81" s="16" t="str">
        <f>IF(Data!G71="","",IF(Data!G71=Data_Val!$C$2,IF(Data!L71="",0,1),0))</f>
        <v/>
      </c>
      <c r="M81" s="16" t="str">
        <f>IF(Data!L71="","",IF(ISNUMBER(MATCH(Data!M71,Data_Val!$A$2:$A$3,0)),0,1))</f>
        <v/>
      </c>
      <c r="N81" s="43" t="str">
        <f ca="1">IF(Data!L71="","",IF(ISNUMBER(Data!N71),IF(AND(Data!N71&gt;(TODAY()-(Data_Val!$L$3*365.25)),Data!N71&lt;=(TODAY()-(Data_Val!$L$2*365.25))),0,1),1))</f>
        <v/>
      </c>
      <c r="O81" s="18" t="str">
        <f>IF(Data!$G71="","",IF(Data!$G71=Data_Val!$C$2,IF(Data!O71="",0,1),0))</f>
        <v/>
      </c>
      <c r="P81" s="18" t="str">
        <f>IF(Data!O71="","",IF(ISNUMBER(MATCH(Data!P71,Data_Val!$A$2:$A$3,0)),0,1))</f>
        <v/>
      </c>
      <c r="Q81" s="44" t="str">
        <f ca="1">IF(Data!O71="","",IF(ISNUMBER(Data!Q71),IF(AND(Data!Q71&gt;(TODAY()-(Data_Val!$L$3*365.25)),Data!Q71&lt;=(TODAY()-(Data_Val!$L$2*365.25))),0,1),1))</f>
        <v/>
      </c>
    </row>
    <row r="82" spans="1:17" ht="12" customHeight="1" x14ac:dyDescent="0.25">
      <c r="A82" s="36" t="str">
        <f>IF(Data!B72="","",IF(COUNTIFS(Data!A$1:'Data'!A72,Data!A72)&lt;=1,0,1))</f>
        <v/>
      </c>
      <c r="B82" s="36"/>
      <c r="C82" s="36" t="str">
        <f>IF(Data!C72="","",(IF(ISNUMBER(MATCH("*@*.?*",Data!C72,0)),0,1)+IF(COUNTIFS(Data!C$1:'Data'!C72,Data!C72)&gt;1,1,0)))</f>
        <v/>
      </c>
      <c r="D82" s="36" t="str">
        <f>IF(Data!B72="","",IF(ISNUMBER(Data!D72),IF(AND(Data!D72&gt;999999999,Data!D72&lt;=9999999999),IF(COUNTIFS(Data!D$1:'Data'!D72,Data!D72)&lt;=1,0,1),1),1))</f>
        <v/>
      </c>
      <c r="E82" s="36" t="str">
        <f>IF(Data!B72="","",IF(ISNUMBER(MATCH(Data!E72,Data_Val!$A$2:$A$3,0)),0,1))</f>
        <v/>
      </c>
      <c r="F82" s="36" t="str">
        <f ca="1">IF(Data!B72="","",IF(ISNUMBER(Data!F72),IF(AND(Data!F72&gt;(TODAY()-(Data_Val!$H$3*365.25)),Data!F72&lt;=(TODAY()-(Data_Val!$H$2*365.25))),0,1),1))</f>
        <v/>
      </c>
      <c r="G82" s="12" t="str">
        <f>IF(Data!B72="","",IF(AND(Data!G72="",Data!H72&lt;&gt;""),1,IF(ISNUMBER(MATCH(Data!G72,Data_Val!$C$2:$C$5,0)),0,1)))</f>
        <v/>
      </c>
      <c r="H82" s="12" t="str">
        <f>IF(Data!B72="","",IF(AND(Data!G72&lt;&gt;"",Data!H72=""),1,IF(Data!G72="",1,IF(ISNUMBER(MATCH(Data!H72,Data_Val!$D$2:$D$35,0)),0,1))))</f>
        <v/>
      </c>
      <c r="I82" s="38" t="str">
        <f>IF(Data!G72="","",IF(Data!G72=Data_Val!$C$2,IF(Data!I72="",0,1),0))</f>
        <v/>
      </c>
      <c r="J82" s="38" t="str">
        <f>IF(Data!I72="","",IF(ISNUMBER(MATCH(Data!J72,Data_Val!$A$2:$A$3,0)),0,1))</f>
        <v/>
      </c>
      <c r="K82" s="38" t="str">
        <f ca="1">IF(Data!I72="","",IF(ISNUMBER(Data!K72),IF(AND(Data!K72&gt;(TODAY()-(Data_Val!$K$3*365.25)),Data!K72&lt;=(TODAY()-(Data_Val!$K$2*365.25))),0,1),1))</f>
        <v/>
      </c>
      <c r="L82" s="16" t="str">
        <f>IF(Data!G72="","",IF(Data!G72=Data_Val!$C$2,IF(Data!L72="",0,1),0))</f>
        <v/>
      </c>
      <c r="M82" s="16" t="str">
        <f>IF(Data!L72="","",IF(ISNUMBER(MATCH(Data!M72,Data_Val!$A$2:$A$3,0)),0,1))</f>
        <v/>
      </c>
      <c r="N82" s="43" t="str">
        <f ca="1">IF(Data!L72="","",IF(ISNUMBER(Data!N72),IF(AND(Data!N72&gt;(TODAY()-(Data_Val!$L$3*365.25)),Data!N72&lt;=(TODAY()-(Data_Val!$L$2*365.25))),0,1),1))</f>
        <v/>
      </c>
      <c r="O82" s="18" t="str">
        <f>IF(Data!$G72="","",IF(Data!$G72=Data_Val!$C$2,IF(Data!O72="",0,1),0))</f>
        <v/>
      </c>
      <c r="P82" s="18" t="str">
        <f>IF(Data!O72="","",IF(ISNUMBER(MATCH(Data!P72,Data_Val!$A$2:$A$3,0)),0,1))</f>
        <v/>
      </c>
      <c r="Q82" s="44" t="str">
        <f ca="1">IF(Data!O72="","",IF(ISNUMBER(Data!Q72),IF(AND(Data!Q72&gt;(TODAY()-(Data_Val!$L$3*365.25)),Data!Q72&lt;=(TODAY()-(Data_Val!$L$2*365.25))),0,1),1))</f>
        <v/>
      </c>
    </row>
    <row r="83" spans="1:17" ht="12" customHeight="1" x14ac:dyDescent="0.25">
      <c r="A83" s="36" t="str">
        <f>IF(Data!B73="","",IF(COUNTIFS(Data!A$1:'Data'!A73,Data!A73)&lt;=1,0,1))</f>
        <v/>
      </c>
      <c r="B83" s="36"/>
      <c r="C83" s="36" t="str">
        <f>IF(Data!C73="","",(IF(ISNUMBER(MATCH("*@*.?*",Data!C73,0)),0,1)+IF(COUNTIFS(Data!C$1:'Data'!C73,Data!C73)&gt;1,1,0)))</f>
        <v/>
      </c>
      <c r="D83" s="36" t="str">
        <f>IF(Data!B73="","",IF(ISNUMBER(Data!D73),IF(AND(Data!D73&gt;999999999,Data!D73&lt;=9999999999),IF(COUNTIFS(Data!D$1:'Data'!D73,Data!D73)&lt;=1,0,1),1),1))</f>
        <v/>
      </c>
      <c r="E83" s="36" t="str">
        <f>IF(Data!B73="","",IF(ISNUMBER(MATCH(Data!E73,Data_Val!$A$2:$A$3,0)),0,1))</f>
        <v/>
      </c>
      <c r="F83" s="36" t="str">
        <f ca="1">IF(Data!B73="","",IF(ISNUMBER(Data!F73),IF(AND(Data!F73&gt;(TODAY()-(Data_Val!$H$3*365.25)),Data!F73&lt;=(TODAY()-(Data_Val!$H$2*365.25))),0,1),1))</f>
        <v/>
      </c>
      <c r="G83" s="12" t="str">
        <f>IF(Data!B73="","",IF(AND(Data!G73="",Data!H73&lt;&gt;""),1,IF(ISNUMBER(MATCH(Data!G73,Data_Val!$C$2:$C$5,0)),0,1)))</f>
        <v/>
      </c>
      <c r="H83" s="12" t="str">
        <f>IF(Data!B73="","",IF(AND(Data!G73&lt;&gt;"",Data!H73=""),1,IF(Data!G73="",1,IF(ISNUMBER(MATCH(Data!H73,Data_Val!$D$2:$D$35,0)),0,1))))</f>
        <v/>
      </c>
      <c r="I83" s="38" t="str">
        <f>IF(Data!G73="","",IF(Data!G73=Data_Val!$C$2,IF(Data!I73="",0,1),0))</f>
        <v/>
      </c>
      <c r="J83" s="38" t="str">
        <f>IF(Data!I73="","",IF(ISNUMBER(MATCH(Data!J73,Data_Val!$A$2:$A$3,0)),0,1))</f>
        <v/>
      </c>
      <c r="K83" s="38" t="str">
        <f ca="1">IF(Data!I73="","",IF(ISNUMBER(Data!K73),IF(AND(Data!K73&gt;(TODAY()-(Data_Val!$K$3*365.25)),Data!K73&lt;=(TODAY()-(Data_Val!$K$2*365.25))),0,1),1))</f>
        <v/>
      </c>
      <c r="L83" s="16" t="str">
        <f>IF(Data!G73="","",IF(Data!G73=Data_Val!$C$2,IF(Data!L73="",0,1),0))</f>
        <v/>
      </c>
      <c r="M83" s="16" t="str">
        <f>IF(Data!L73="","",IF(ISNUMBER(MATCH(Data!M73,Data_Val!$A$2:$A$3,0)),0,1))</f>
        <v/>
      </c>
      <c r="N83" s="43" t="str">
        <f ca="1">IF(Data!L73="","",IF(ISNUMBER(Data!N73),IF(AND(Data!N73&gt;(TODAY()-(Data_Val!$L$3*365.25)),Data!N73&lt;=(TODAY()-(Data_Val!$L$2*365.25))),0,1),1))</f>
        <v/>
      </c>
      <c r="O83" s="18" t="str">
        <f>IF(Data!$G73="","",IF(Data!$G73=Data_Val!$C$2,IF(Data!O73="",0,1),0))</f>
        <v/>
      </c>
      <c r="P83" s="18" t="str">
        <f>IF(Data!O73="","",IF(ISNUMBER(MATCH(Data!P73,Data_Val!$A$2:$A$3,0)),0,1))</f>
        <v/>
      </c>
      <c r="Q83" s="44" t="str">
        <f ca="1">IF(Data!O73="","",IF(ISNUMBER(Data!Q73),IF(AND(Data!Q73&gt;(TODAY()-(Data_Val!$L$3*365.25)),Data!Q73&lt;=(TODAY()-(Data_Val!$L$2*365.25))),0,1),1))</f>
        <v/>
      </c>
    </row>
    <row r="84" spans="1:17" ht="12" customHeight="1" x14ac:dyDescent="0.25">
      <c r="A84" s="36" t="str">
        <f>IF(Data!B74="","",IF(COUNTIFS(Data!A$1:'Data'!A74,Data!A74)&lt;=1,0,1))</f>
        <v/>
      </c>
      <c r="B84" s="36"/>
      <c r="C84" s="36" t="str">
        <f>IF(Data!C74="","",(IF(ISNUMBER(MATCH("*@*.?*",Data!C74,0)),0,1)+IF(COUNTIFS(Data!C$1:'Data'!C74,Data!C74)&gt;1,1,0)))</f>
        <v/>
      </c>
      <c r="D84" s="36" t="str">
        <f>IF(Data!B74="","",IF(ISNUMBER(Data!D74),IF(AND(Data!D74&gt;999999999,Data!D74&lt;=9999999999),IF(COUNTIFS(Data!D$1:'Data'!D74,Data!D74)&lt;=1,0,1),1),1))</f>
        <v/>
      </c>
      <c r="E84" s="36" t="str">
        <f>IF(Data!B74="","",IF(ISNUMBER(MATCH(Data!E74,Data_Val!$A$2:$A$3,0)),0,1))</f>
        <v/>
      </c>
      <c r="F84" s="36" t="str">
        <f ca="1">IF(Data!B74="","",IF(ISNUMBER(Data!F74),IF(AND(Data!F74&gt;(TODAY()-(Data_Val!$H$3*365.25)),Data!F74&lt;=(TODAY()-(Data_Val!$H$2*365.25))),0,1),1))</f>
        <v/>
      </c>
      <c r="G84" s="12" t="str">
        <f>IF(Data!B74="","",IF(AND(Data!G74="",Data!H74&lt;&gt;""),1,IF(ISNUMBER(MATCH(Data!G74,Data_Val!$C$2:$C$5,0)),0,1)))</f>
        <v/>
      </c>
      <c r="H84" s="12" t="str">
        <f>IF(Data!B74="","",IF(AND(Data!G74&lt;&gt;"",Data!H74=""),1,IF(Data!G74="",1,IF(ISNUMBER(MATCH(Data!H74,Data_Val!$D$2:$D$35,0)),0,1))))</f>
        <v/>
      </c>
      <c r="I84" s="38" t="str">
        <f>IF(Data!G74="","",IF(Data!G74=Data_Val!$C$2,IF(Data!I74="",0,1),0))</f>
        <v/>
      </c>
      <c r="J84" s="38" t="str">
        <f>IF(Data!I74="","",IF(ISNUMBER(MATCH(Data!J74,Data_Val!$A$2:$A$3,0)),0,1))</f>
        <v/>
      </c>
      <c r="K84" s="38" t="str">
        <f ca="1">IF(Data!I74="","",IF(ISNUMBER(Data!K74),IF(AND(Data!K74&gt;(TODAY()-(Data_Val!$K$3*365.25)),Data!K74&lt;=(TODAY()-(Data_Val!$K$2*365.25))),0,1),1))</f>
        <v/>
      </c>
      <c r="L84" s="16" t="str">
        <f>IF(Data!G74="","",IF(Data!G74=Data_Val!$C$2,IF(Data!L74="",0,1),0))</f>
        <v/>
      </c>
      <c r="M84" s="16" t="str">
        <f>IF(Data!L74="","",IF(ISNUMBER(MATCH(Data!M74,Data_Val!$A$2:$A$3,0)),0,1))</f>
        <v/>
      </c>
      <c r="N84" s="43" t="str">
        <f ca="1">IF(Data!L74="","",IF(ISNUMBER(Data!N74),IF(AND(Data!N74&gt;(TODAY()-(Data_Val!$L$3*365.25)),Data!N74&lt;=(TODAY()-(Data_Val!$L$2*365.25))),0,1),1))</f>
        <v/>
      </c>
      <c r="O84" s="18" t="str">
        <f>IF(Data!$G74="","",IF(Data!$G74=Data_Val!$C$2,IF(Data!O74="",0,1),0))</f>
        <v/>
      </c>
      <c r="P84" s="18" t="str">
        <f>IF(Data!O74="","",IF(ISNUMBER(MATCH(Data!P74,Data_Val!$A$2:$A$3,0)),0,1))</f>
        <v/>
      </c>
      <c r="Q84" s="44" t="str">
        <f ca="1">IF(Data!O74="","",IF(ISNUMBER(Data!Q74),IF(AND(Data!Q74&gt;(TODAY()-(Data_Val!$L$3*365.25)),Data!Q74&lt;=(TODAY()-(Data_Val!$L$2*365.25))),0,1),1))</f>
        <v/>
      </c>
    </row>
    <row r="85" spans="1:17" ht="12" customHeight="1" x14ac:dyDescent="0.25">
      <c r="A85" s="36" t="str">
        <f>IF(Data!B75="","",IF(COUNTIFS(Data!A$1:'Data'!A75,Data!A75)&lt;=1,0,1))</f>
        <v/>
      </c>
      <c r="B85" s="36"/>
      <c r="C85" s="36" t="str">
        <f>IF(Data!C75="","",(IF(ISNUMBER(MATCH("*@*.?*",Data!C75,0)),0,1)+IF(COUNTIFS(Data!C$1:'Data'!C75,Data!C75)&gt;1,1,0)))</f>
        <v/>
      </c>
      <c r="D85" s="36" t="str">
        <f>IF(Data!B75="","",IF(ISNUMBER(Data!D75),IF(AND(Data!D75&gt;999999999,Data!D75&lt;=9999999999),IF(COUNTIFS(Data!D$1:'Data'!D75,Data!D75)&lt;=1,0,1),1),1))</f>
        <v/>
      </c>
      <c r="E85" s="36" t="str">
        <f>IF(Data!B75="","",IF(ISNUMBER(MATCH(Data!E75,Data_Val!$A$2:$A$3,0)),0,1))</f>
        <v/>
      </c>
      <c r="F85" s="36" t="str">
        <f ca="1">IF(Data!B75="","",IF(ISNUMBER(Data!F75),IF(AND(Data!F75&gt;(TODAY()-(Data_Val!$H$3*365.25)),Data!F75&lt;=(TODAY()-(Data_Val!$H$2*365.25))),0,1),1))</f>
        <v/>
      </c>
      <c r="G85" s="12" t="str">
        <f>IF(Data!B75="","",IF(AND(Data!G75="",Data!H75&lt;&gt;""),1,IF(ISNUMBER(MATCH(Data!G75,Data_Val!$C$2:$C$5,0)),0,1)))</f>
        <v/>
      </c>
      <c r="H85" s="12" t="str">
        <f>IF(Data!B75="","",IF(AND(Data!G75&lt;&gt;"",Data!H75=""),1,IF(Data!G75="",1,IF(ISNUMBER(MATCH(Data!H75,Data_Val!$D$2:$D$35,0)),0,1))))</f>
        <v/>
      </c>
      <c r="I85" s="38" t="str">
        <f>IF(Data!G75="","",IF(Data!G75=Data_Val!$C$2,IF(Data!I75="",0,1),0))</f>
        <v/>
      </c>
      <c r="J85" s="38" t="str">
        <f>IF(Data!I75="","",IF(ISNUMBER(MATCH(Data!J75,Data_Val!$A$2:$A$3,0)),0,1))</f>
        <v/>
      </c>
      <c r="K85" s="38" t="str">
        <f ca="1">IF(Data!I75="","",IF(ISNUMBER(Data!K75),IF(AND(Data!K75&gt;(TODAY()-(Data_Val!$K$3*365.25)),Data!K75&lt;=(TODAY()-(Data_Val!$K$2*365.25))),0,1),1))</f>
        <v/>
      </c>
      <c r="L85" s="16" t="str">
        <f>IF(Data!G75="","",IF(Data!G75=Data_Val!$C$2,IF(Data!L75="",0,1),0))</f>
        <v/>
      </c>
      <c r="M85" s="16" t="str">
        <f>IF(Data!L75="","",IF(ISNUMBER(MATCH(Data!M75,Data_Val!$A$2:$A$3,0)),0,1))</f>
        <v/>
      </c>
      <c r="N85" s="43" t="str">
        <f ca="1">IF(Data!L75="","",IF(ISNUMBER(Data!N75),IF(AND(Data!N75&gt;(TODAY()-(Data_Val!$L$3*365.25)),Data!N75&lt;=(TODAY()-(Data_Val!$L$2*365.25))),0,1),1))</f>
        <v/>
      </c>
      <c r="O85" s="18" t="str">
        <f>IF(Data!$G75="","",IF(Data!$G75=Data_Val!$C$2,IF(Data!O75="",0,1),0))</f>
        <v/>
      </c>
      <c r="P85" s="18" t="str">
        <f>IF(Data!O75="","",IF(ISNUMBER(MATCH(Data!P75,Data_Val!$A$2:$A$3,0)),0,1))</f>
        <v/>
      </c>
      <c r="Q85" s="44" t="str">
        <f ca="1">IF(Data!O75="","",IF(ISNUMBER(Data!Q75),IF(AND(Data!Q75&gt;(TODAY()-(Data_Val!$L$3*365.25)),Data!Q75&lt;=(TODAY()-(Data_Val!$L$2*365.25))),0,1),1))</f>
        <v/>
      </c>
    </row>
    <row r="86" spans="1:17" ht="12" customHeight="1" x14ac:dyDescent="0.25">
      <c r="A86" s="36" t="str">
        <f>IF(Data!B76="","",IF(COUNTIFS(Data!A$1:'Data'!A76,Data!A76)&lt;=1,0,1))</f>
        <v/>
      </c>
      <c r="B86" s="36"/>
      <c r="C86" s="36" t="str">
        <f>IF(Data!C76="","",(IF(ISNUMBER(MATCH("*@*.?*",Data!C76,0)),0,1)+IF(COUNTIFS(Data!C$1:'Data'!C76,Data!C76)&gt;1,1,0)))</f>
        <v/>
      </c>
      <c r="D86" s="36" t="str">
        <f>IF(Data!B76="","",IF(ISNUMBER(Data!D76),IF(AND(Data!D76&gt;999999999,Data!D76&lt;=9999999999),IF(COUNTIFS(Data!D$1:'Data'!D76,Data!D76)&lt;=1,0,1),1),1))</f>
        <v/>
      </c>
      <c r="E86" s="36" t="str">
        <f>IF(Data!B76="","",IF(ISNUMBER(MATCH(Data!E76,Data_Val!$A$2:$A$3,0)),0,1))</f>
        <v/>
      </c>
      <c r="F86" s="36" t="str">
        <f ca="1">IF(Data!B76="","",IF(ISNUMBER(Data!F76),IF(AND(Data!F76&gt;(TODAY()-(Data_Val!$H$3*365.25)),Data!F76&lt;=(TODAY()-(Data_Val!$H$2*365.25))),0,1),1))</f>
        <v/>
      </c>
      <c r="G86" s="12" t="str">
        <f>IF(Data!B76="","",IF(AND(Data!G76="",Data!H76&lt;&gt;""),1,IF(ISNUMBER(MATCH(Data!G76,Data_Val!$C$2:$C$5,0)),0,1)))</f>
        <v/>
      </c>
      <c r="H86" s="12" t="str">
        <f>IF(Data!B76="","",IF(AND(Data!G76&lt;&gt;"",Data!H76=""),1,IF(Data!G76="",1,IF(ISNUMBER(MATCH(Data!H76,Data_Val!$D$2:$D$35,0)),0,1))))</f>
        <v/>
      </c>
      <c r="I86" s="38" t="str">
        <f>IF(Data!G76="","",IF(Data!G76=Data_Val!$C$2,IF(Data!I76="",0,1),0))</f>
        <v/>
      </c>
      <c r="J86" s="38" t="str">
        <f>IF(Data!I76="","",IF(ISNUMBER(MATCH(Data!J76,Data_Val!$A$2:$A$3,0)),0,1))</f>
        <v/>
      </c>
      <c r="K86" s="38" t="str">
        <f ca="1">IF(Data!I76="","",IF(ISNUMBER(Data!K76),IF(AND(Data!K76&gt;(TODAY()-(Data_Val!$K$3*365.25)),Data!K76&lt;=(TODAY()-(Data_Val!$K$2*365.25))),0,1),1))</f>
        <v/>
      </c>
      <c r="L86" s="16" t="str">
        <f>IF(Data!G76="","",IF(Data!G76=Data_Val!$C$2,IF(Data!L76="",0,1),0))</f>
        <v/>
      </c>
      <c r="M86" s="16" t="str">
        <f>IF(Data!L76="","",IF(ISNUMBER(MATCH(Data!M76,Data_Val!$A$2:$A$3,0)),0,1))</f>
        <v/>
      </c>
      <c r="N86" s="43" t="str">
        <f ca="1">IF(Data!L76="","",IF(ISNUMBER(Data!N76),IF(AND(Data!N76&gt;(TODAY()-(Data_Val!$L$3*365.25)),Data!N76&lt;=(TODAY()-(Data_Val!$L$2*365.25))),0,1),1))</f>
        <v/>
      </c>
      <c r="O86" s="18" t="str">
        <f>IF(Data!$G76="","",IF(Data!$G76=Data_Val!$C$2,IF(Data!O76="",0,1),0))</f>
        <v/>
      </c>
      <c r="P86" s="18" t="str">
        <f>IF(Data!O76="","",IF(ISNUMBER(MATCH(Data!P76,Data_Val!$A$2:$A$3,0)),0,1))</f>
        <v/>
      </c>
      <c r="Q86" s="44" t="str">
        <f ca="1">IF(Data!O76="","",IF(ISNUMBER(Data!Q76),IF(AND(Data!Q76&gt;(TODAY()-(Data_Val!$L$3*365.25)),Data!Q76&lt;=(TODAY()-(Data_Val!$L$2*365.25))),0,1),1))</f>
        <v/>
      </c>
    </row>
    <row r="87" spans="1:17" ht="12" customHeight="1" x14ac:dyDescent="0.25">
      <c r="A87" s="36" t="str">
        <f>IF(Data!B77="","",IF(COUNTIFS(Data!A$1:'Data'!A77,Data!A77)&lt;=1,0,1))</f>
        <v/>
      </c>
      <c r="B87" s="36"/>
      <c r="C87" s="36" t="str">
        <f>IF(Data!C77="","",(IF(ISNUMBER(MATCH("*@*.?*",Data!C77,0)),0,1)+IF(COUNTIFS(Data!C$1:'Data'!C77,Data!C77)&gt;1,1,0)))</f>
        <v/>
      </c>
      <c r="D87" s="36" t="str">
        <f>IF(Data!B77="","",IF(ISNUMBER(Data!D77),IF(AND(Data!D77&gt;999999999,Data!D77&lt;=9999999999),IF(COUNTIFS(Data!D$1:'Data'!D77,Data!D77)&lt;=1,0,1),1),1))</f>
        <v/>
      </c>
      <c r="E87" s="36" t="str">
        <f>IF(Data!B77="","",IF(ISNUMBER(MATCH(Data!E77,Data_Val!$A$2:$A$3,0)),0,1))</f>
        <v/>
      </c>
      <c r="F87" s="36" t="str">
        <f ca="1">IF(Data!B77="","",IF(ISNUMBER(Data!F77),IF(AND(Data!F77&gt;(TODAY()-(Data_Val!$H$3*365.25)),Data!F77&lt;=(TODAY()-(Data_Val!$H$2*365.25))),0,1),1))</f>
        <v/>
      </c>
      <c r="G87" s="12" t="str">
        <f>IF(Data!B77="","",IF(AND(Data!G77="",Data!H77&lt;&gt;""),1,IF(ISNUMBER(MATCH(Data!G77,Data_Val!$C$2:$C$5,0)),0,1)))</f>
        <v/>
      </c>
      <c r="H87" s="12" t="str">
        <f>IF(Data!B77="","",IF(AND(Data!G77&lt;&gt;"",Data!H77=""),1,IF(Data!G77="",1,IF(ISNUMBER(MATCH(Data!H77,Data_Val!$D$2:$D$35,0)),0,1))))</f>
        <v/>
      </c>
      <c r="I87" s="38" t="str">
        <f>IF(Data!G77="","",IF(Data!G77=Data_Val!$C$2,IF(Data!I77="",0,1),0))</f>
        <v/>
      </c>
      <c r="J87" s="38" t="str">
        <f>IF(Data!I77="","",IF(ISNUMBER(MATCH(Data!J77,Data_Val!$A$2:$A$3,0)),0,1))</f>
        <v/>
      </c>
      <c r="K87" s="38" t="str">
        <f ca="1">IF(Data!I77="","",IF(ISNUMBER(Data!K77),IF(AND(Data!K77&gt;(TODAY()-(Data_Val!$K$3*365.25)),Data!K77&lt;=(TODAY()-(Data_Val!$K$2*365.25))),0,1),1))</f>
        <v/>
      </c>
      <c r="L87" s="16" t="str">
        <f>IF(Data!G77="","",IF(Data!G77=Data_Val!$C$2,IF(Data!L77="",0,1),0))</f>
        <v/>
      </c>
      <c r="M87" s="16" t="str">
        <f>IF(Data!L77="","",IF(ISNUMBER(MATCH(Data!M77,Data_Val!$A$2:$A$3,0)),0,1))</f>
        <v/>
      </c>
      <c r="N87" s="43" t="str">
        <f ca="1">IF(Data!L77="","",IF(ISNUMBER(Data!N77),IF(AND(Data!N77&gt;(TODAY()-(Data_Val!$L$3*365.25)),Data!N77&lt;=(TODAY()-(Data_Val!$L$2*365.25))),0,1),1))</f>
        <v/>
      </c>
      <c r="O87" s="18" t="str">
        <f>IF(Data!$G77="","",IF(Data!$G77=Data_Val!$C$2,IF(Data!O77="",0,1),0))</f>
        <v/>
      </c>
      <c r="P87" s="18" t="str">
        <f>IF(Data!O77="","",IF(ISNUMBER(MATCH(Data!P77,Data_Val!$A$2:$A$3,0)),0,1))</f>
        <v/>
      </c>
      <c r="Q87" s="44" t="str">
        <f ca="1">IF(Data!O77="","",IF(ISNUMBER(Data!Q77),IF(AND(Data!Q77&gt;(TODAY()-(Data_Val!$L$3*365.25)),Data!Q77&lt;=(TODAY()-(Data_Val!$L$2*365.25))),0,1),1))</f>
        <v/>
      </c>
    </row>
    <row r="88" spans="1:17" ht="12" customHeight="1" x14ac:dyDescent="0.25">
      <c r="A88" s="36" t="str">
        <f>IF(Data!B78="","",IF(COUNTIFS(Data!A$1:'Data'!A78,Data!A78)&lt;=1,0,1))</f>
        <v/>
      </c>
      <c r="B88" s="36"/>
      <c r="C88" s="36" t="str">
        <f>IF(Data!C78="","",(IF(ISNUMBER(MATCH("*@*.?*",Data!C78,0)),0,1)+IF(COUNTIFS(Data!C$1:'Data'!C78,Data!C78)&gt;1,1,0)))</f>
        <v/>
      </c>
      <c r="D88" s="36" t="str">
        <f>IF(Data!B78="","",IF(ISNUMBER(Data!D78),IF(AND(Data!D78&gt;999999999,Data!D78&lt;=9999999999),IF(COUNTIFS(Data!D$1:'Data'!D78,Data!D78)&lt;=1,0,1),1),1))</f>
        <v/>
      </c>
      <c r="E88" s="36" t="str">
        <f>IF(Data!B78="","",IF(ISNUMBER(MATCH(Data!E78,Data_Val!$A$2:$A$3,0)),0,1))</f>
        <v/>
      </c>
      <c r="F88" s="36" t="str">
        <f ca="1">IF(Data!B78="","",IF(ISNUMBER(Data!F78),IF(AND(Data!F78&gt;(TODAY()-(Data_Val!$H$3*365.25)),Data!F78&lt;=(TODAY()-(Data_Val!$H$2*365.25))),0,1),1))</f>
        <v/>
      </c>
      <c r="G88" s="12" t="str">
        <f>IF(Data!B78="","",IF(AND(Data!G78="",Data!H78&lt;&gt;""),1,IF(ISNUMBER(MATCH(Data!G78,Data_Val!$C$2:$C$5,0)),0,1)))</f>
        <v/>
      </c>
      <c r="H88" s="12" t="str">
        <f>IF(Data!B78="","",IF(AND(Data!G78&lt;&gt;"",Data!H78=""),1,IF(Data!G78="",1,IF(ISNUMBER(MATCH(Data!H78,Data_Val!$D$2:$D$35,0)),0,1))))</f>
        <v/>
      </c>
      <c r="I88" s="38" t="str">
        <f>IF(Data!G78="","",IF(Data!G78=Data_Val!$C$2,IF(Data!I78="",0,1),0))</f>
        <v/>
      </c>
      <c r="J88" s="38" t="str">
        <f>IF(Data!I78="","",IF(ISNUMBER(MATCH(Data!J78,Data_Val!$A$2:$A$3,0)),0,1))</f>
        <v/>
      </c>
      <c r="K88" s="38" t="str">
        <f ca="1">IF(Data!I78="","",IF(ISNUMBER(Data!K78),IF(AND(Data!K78&gt;(TODAY()-(Data_Val!$K$3*365.25)),Data!K78&lt;=(TODAY()-(Data_Val!$K$2*365.25))),0,1),1))</f>
        <v/>
      </c>
      <c r="L88" s="16" t="str">
        <f>IF(Data!G78="","",IF(Data!G78=Data_Val!$C$2,IF(Data!L78="",0,1),0))</f>
        <v/>
      </c>
      <c r="M88" s="16" t="str">
        <f>IF(Data!L78="","",IF(ISNUMBER(MATCH(Data!M78,Data_Val!$A$2:$A$3,0)),0,1))</f>
        <v/>
      </c>
      <c r="N88" s="43" t="str">
        <f ca="1">IF(Data!L78="","",IF(ISNUMBER(Data!N78),IF(AND(Data!N78&gt;(TODAY()-(Data_Val!$L$3*365.25)),Data!N78&lt;=(TODAY()-(Data_Val!$L$2*365.25))),0,1),1))</f>
        <v/>
      </c>
      <c r="O88" s="18" t="str">
        <f>IF(Data!$G78="","",IF(Data!$G78=Data_Val!$C$2,IF(Data!O78="",0,1),0))</f>
        <v/>
      </c>
      <c r="P88" s="18" t="str">
        <f>IF(Data!O78="","",IF(ISNUMBER(MATCH(Data!P78,Data_Val!$A$2:$A$3,0)),0,1))</f>
        <v/>
      </c>
      <c r="Q88" s="44" t="str">
        <f ca="1">IF(Data!O78="","",IF(ISNUMBER(Data!Q78),IF(AND(Data!Q78&gt;(TODAY()-(Data_Val!$L$3*365.25)),Data!Q78&lt;=(TODAY()-(Data_Val!$L$2*365.25))),0,1),1))</f>
        <v/>
      </c>
    </row>
    <row r="89" spans="1:17" ht="12" customHeight="1" x14ac:dyDescent="0.25">
      <c r="A89" s="36" t="str">
        <f>IF(Data!B79="","",IF(COUNTIFS(Data!A$1:'Data'!A79,Data!A79)&lt;=1,0,1))</f>
        <v/>
      </c>
      <c r="B89" s="36"/>
      <c r="C89" s="36" t="str">
        <f>IF(Data!C79="","",(IF(ISNUMBER(MATCH("*@*.?*",Data!C79,0)),0,1)+IF(COUNTIFS(Data!C$1:'Data'!C79,Data!C79)&gt;1,1,0)))</f>
        <v/>
      </c>
      <c r="D89" s="36" t="str">
        <f>IF(Data!B79="","",IF(ISNUMBER(Data!D79),IF(AND(Data!D79&gt;999999999,Data!D79&lt;=9999999999),IF(COUNTIFS(Data!D$1:'Data'!D79,Data!D79)&lt;=1,0,1),1),1))</f>
        <v/>
      </c>
      <c r="E89" s="36" t="str">
        <f>IF(Data!B79="","",IF(ISNUMBER(MATCH(Data!E79,Data_Val!$A$2:$A$3,0)),0,1))</f>
        <v/>
      </c>
      <c r="F89" s="36" t="str">
        <f ca="1">IF(Data!B79="","",IF(ISNUMBER(Data!F79),IF(AND(Data!F79&gt;(TODAY()-(Data_Val!$H$3*365.25)),Data!F79&lt;=(TODAY()-(Data_Val!$H$2*365.25))),0,1),1))</f>
        <v/>
      </c>
      <c r="G89" s="12" t="str">
        <f>IF(Data!B79="","",IF(AND(Data!G79="",Data!H79&lt;&gt;""),1,IF(ISNUMBER(MATCH(Data!G79,Data_Val!$C$2:$C$5,0)),0,1)))</f>
        <v/>
      </c>
      <c r="H89" s="12" t="str">
        <f>IF(Data!B79="","",IF(AND(Data!G79&lt;&gt;"",Data!H79=""),1,IF(Data!G79="",1,IF(ISNUMBER(MATCH(Data!H79,Data_Val!$D$2:$D$35,0)),0,1))))</f>
        <v/>
      </c>
      <c r="I89" s="38" t="str">
        <f>IF(Data!G79="","",IF(Data!G79=Data_Val!$C$2,IF(Data!I79="",0,1),0))</f>
        <v/>
      </c>
      <c r="J89" s="38" t="str">
        <f>IF(Data!I79="","",IF(ISNUMBER(MATCH(Data!J79,Data_Val!$A$2:$A$3,0)),0,1))</f>
        <v/>
      </c>
      <c r="K89" s="38" t="str">
        <f ca="1">IF(Data!I79="","",IF(ISNUMBER(Data!K79),IF(AND(Data!K79&gt;(TODAY()-(Data_Val!$K$3*365.25)),Data!K79&lt;=(TODAY()-(Data_Val!$K$2*365.25))),0,1),1))</f>
        <v/>
      </c>
      <c r="L89" s="16" t="str">
        <f>IF(Data!G79="","",IF(Data!G79=Data_Val!$C$2,IF(Data!L79="",0,1),0))</f>
        <v/>
      </c>
      <c r="M89" s="16" t="str">
        <f>IF(Data!L79="","",IF(ISNUMBER(MATCH(Data!M79,Data_Val!$A$2:$A$3,0)),0,1))</f>
        <v/>
      </c>
      <c r="N89" s="43" t="str">
        <f ca="1">IF(Data!L79="","",IF(ISNUMBER(Data!N79),IF(AND(Data!N79&gt;(TODAY()-(Data_Val!$L$3*365.25)),Data!N79&lt;=(TODAY()-(Data_Val!$L$2*365.25))),0,1),1))</f>
        <v/>
      </c>
      <c r="O89" s="18" t="str">
        <f>IF(Data!$G79="","",IF(Data!$G79=Data_Val!$C$2,IF(Data!O79="",0,1),0))</f>
        <v/>
      </c>
      <c r="P89" s="18" t="str">
        <f>IF(Data!O79="","",IF(ISNUMBER(MATCH(Data!P79,Data_Val!$A$2:$A$3,0)),0,1))</f>
        <v/>
      </c>
      <c r="Q89" s="44" t="str">
        <f ca="1">IF(Data!O79="","",IF(ISNUMBER(Data!Q79),IF(AND(Data!Q79&gt;(TODAY()-(Data_Val!$L$3*365.25)),Data!Q79&lt;=(TODAY()-(Data_Val!$L$2*365.25))),0,1),1))</f>
        <v/>
      </c>
    </row>
    <row r="90" spans="1:17" ht="12" customHeight="1" x14ac:dyDescent="0.25">
      <c r="A90" s="36" t="str">
        <f>IF(Data!B80="","",IF(COUNTIFS(Data!A$1:'Data'!A80,Data!A80)&lt;=1,0,1))</f>
        <v/>
      </c>
      <c r="B90" s="36"/>
      <c r="C90" s="36" t="str">
        <f>IF(Data!C80="","",(IF(ISNUMBER(MATCH("*@*.?*",Data!C80,0)),0,1)+IF(COUNTIFS(Data!C$1:'Data'!C80,Data!C80)&gt;1,1,0)))</f>
        <v/>
      </c>
      <c r="D90" s="36" t="str">
        <f>IF(Data!B80="","",IF(ISNUMBER(Data!D80),IF(AND(Data!D80&gt;999999999,Data!D80&lt;=9999999999),IF(COUNTIFS(Data!D$1:'Data'!D80,Data!D80)&lt;=1,0,1),1),1))</f>
        <v/>
      </c>
      <c r="E90" s="36" t="str">
        <f>IF(Data!B80="","",IF(ISNUMBER(MATCH(Data!E80,Data_Val!$A$2:$A$3,0)),0,1))</f>
        <v/>
      </c>
      <c r="F90" s="36" t="str">
        <f ca="1">IF(Data!B80="","",IF(ISNUMBER(Data!F80),IF(AND(Data!F80&gt;(TODAY()-(Data_Val!$H$3*365.25)),Data!F80&lt;=(TODAY()-(Data_Val!$H$2*365.25))),0,1),1))</f>
        <v/>
      </c>
      <c r="G90" s="12" t="str">
        <f>IF(Data!B80="","",IF(AND(Data!G80="",Data!H80&lt;&gt;""),1,IF(ISNUMBER(MATCH(Data!G80,Data_Val!$C$2:$C$5,0)),0,1)))</f>
        <v/>
      </c>
      <c r="H90" s="12" t="str">
        <f>IF(Data!B80="","",IF(AND(Data!G80&lt;&gt;"",Data!H80=""),1,IF(Data!G80="",1,IF(ISNUMBER(MATCH(Data!H80,Data_Val!$D$2:$D$35,0)),0,1))))</f>
        <v/>
      </c>
      <c r="I90" s="38" t="str">
        <f>IF(Data!G80="","",IF(Data!G80=Data_Val!$C$2,IF(Data!I80="",0,1),0))</f>
        <v/>
      </c>
      <c r="J90" s="38" t="str">
        <f>IF(Data!I80="","",IF(ISNUMBER(MATCH(Data!J80,Data_Val!$A$2:$A$3,0)),0,1))</f>
        <v/>
      </c>
      <c r="K90" s="38" t="str">
        <f ca="1">IF(Data!I80="","",IF(ISNUMBER(Data!K80),IF(AND(Data!K80&gt;(TODAY()-(Data_Val!$K$3*365.25)),Data!K80&lt;=(TODAY()-(Data_Val!$K$2*365.25))),0,1),1))</f>
        <v/>
      </c>
      <c r="L90" s="16" t="str">
        <f>IF(Data!G80="","",IF(Data!G80=Data_Val!$C$2,IF(Data!L80="",0,1),0))</f>
        <v/>
      </c>
      <c r="M90" s="16" t="str">
        <f>IF(Data!L80="","",IF(ISNUMBER(MATCH(Data!M80,Data_Val!$A$2:$A$3,0)),0,1))</f>
        <v/>
      </c>
      <c r="N90" s="43" t="str">
        <f ca="1">IF(Data!L80="","",IF(ISNUMBER(Data!N80),IF(AND(Data!N80&gt;(TODAY()-(Data_Val!$L$3*365.25)),Data!N80&lt;=(TODAY()-(Data_Val!$L$2*365.25))),0,1),1))</f>
        <v/>
      </c>
      <c r="O90" s="18" t="str">
        <f>IF(Data!$G80="","",IF(Data!$G80=Data_Val!$C$2,IF(Data!O80="",0,1),0))</f>
        <v/>
      </c>
      <c r="P90" s="18" t="str">
        <f>IF(Data!O80="","",IF(ISNUMBER(MATCH(Data!P80,Data_Val!$A$2:$A$3,0)),0,1))</f>
        <v/>
      </c>
      <c r="Q90" s="44" t="str">
        <f ca="1">IF(Data!O80="","",IF(ISNUMBER(Data!Q80),IF(AND(Data!Q80&gt;(TODAY()-(Data_Val!$L$3*365.25)),Data!Q80&lt;=(TODAY()-(Data_Val!$L$2*365.25))),0,1),1))</f>
        <v/>
      </c>
    </row>
    <row r="91" spans="1:17" ht="12" customHeight="1" x14ac:dyDescent="0.25">
      <c r="A91" s="36" t="str">
        <f>IF(Data!B81="","",IF(COUNTIFS(Data!A$1:'Data'!A81,Data!A81)&lt;=1,0,1))</f>
        <v/>
      </c>
      <c r="B91" s="36"/>
      <c r="C91" s="36" t="str">
        <f>IF(Data!C81="","",(IF(ISNUMBER(MATCH("*@*.?*",Data!C81,0)),0,1)+IF(COUNTIFS(Data!C$1:'Data'!C81,Data!C81)&gt;1,1,0)))</f>
        <v/>
      </c>
      <c r="D91" s="36" t="str">
        <f>IF(Data!B81="","",IF(ISNUMBER(Data!D81),IF(AND(Data!D81&gt;999999999,Data!D81&lt;=9999999999),IF(COUNTIFS(Data!D$1:'Data'!D81,Data!D81)&lt;=1,0,1),1),1))</f>
        <v/>
      </c>
      <c r="E91" s="36" t="str">
        <f>IF(Data!B81="","",IF(ISNUMBER(MATCH(Data!E81,Data_Val!$A$2:$A$3,0)),0,1))</f>
        <v/>
      </c>
      <c r="F91" s="36" t="str">
        <f ca="1">IF(Data!B81="","",IF(ISNUMBER(Data!F81),IF(AND(Data!F81&gt;(TODAY()-(Data_Val!$H$3*365.25)),Data!F81&lt;=(TODAY()-(Data_Val!$H$2*365.25))),0,1),1))</f>
        <v/>
      </c>
      <c r="G91" s="12" t="str">
        <f>IF(Data!B81="","",IF(AND(Data!G81="",Data!H81&lt;&gt;""),1,IF(ISNUMBER(MATCH(Data!G81,Data_Val!$C$2:$C$5,0)),0,1)))</f>
        <v/>
      </c>
      <c r="H91" s="12" t="str">
        <f>IF(Data!B81="","",IF(AND(Data!G81&lt;&gt;"",Data!H81=""),1,IF(Data!G81="",1,IF(ISNUMBER(MATCH(Data!H81,Data_Val!$D$2:$D$35,0)),0,1))))</f>
        <v/>
      </c>
      <c r="I91" s="38" t="str">
        <f>IF(Data!G81="","",IF(Data!G81=Data_Val!$C$2,IF(Data!I81="",0,1),0))</f>
        <v/>
      </c>
      <c r="J91" s="38" t="str">
        <f>IF(Data!I81="","",IF(ISNUMBER(MATCH(Data!J81,Data_Val!$A$2:$A$3,0)),0,1))</f>
        <v/>
      </c>
      <c r="K91" s="38" t="str">
        <f ca="1">IF(Data!I81="","",IF(ISNUMBER(Data!K81),IF(AND(Data!K81&gt;(TODAY()-(Data_Val!$K$3*365.25)),Data!K81&lt;=(TODAY()-(Data_Val!$K$2*365.25))),0,1),1))</f>
        <v/>
      </c>
      <c r="L91" s="16" t="str">
        <f>IF(Data!G81="","",IF(Data!G81=Data_Val!$C$2,IF(Data!L81="",0,1),0))</f>
        <v/>
      </c>
      <c r="M91" s="16" t="str">
        <f>IF(Data!L81="","",IF(ISNUMBER(MATCH(Data!M81,Data_Val!$A$2:$A$3,0)),0,1))</f>
        <v/>
      </c>
      <c r="N91" s="43" t="str">
        <f ca="1">IF(Data!L81="","",IF(ISNUMBER(Data!N81),IF(AND(Data!N81&gt;(TODAY()-(Data_Val!$L$3*365.25)),Data!N81&lt;=(TODAY()-(Data_Val!$L$2*365.25))),0,1),1))</f>
        <v/>
      </c>
      <c r="O91" s="18" t="str">
        <f>IF(Data!$G81="","",IF(Data!$G81=Data_Val!$C$2,IF(Data!O81="",0,1),0))</f>
        <v/>
      </c>
      <c r="P91" s="18" t="str">
        <f>IF(Data!O81="","",IF(ISNUMBER(MATCH(Data!P81,Data_Val!$A$2:$A$3,0)),0,1))</f>
        <v/>
      </c>
      <c r="Q91" s="44" t="str">
        <f ca="1">IF(Data!O81="","",IF(ISNUMBER(Data!Q81),IF(AND(Data!Q81&gt;(TODAY()-(Data_Val!$L$3*365.25)),Data!Q81&lt;=(TODAY()-(Data_Val!$L$2*365.25))),0,1),1))</f>
        <v/>
      </c>
    </row>
    <row r="92" spans="1:17" ht="12" customHeight="1" x14ac:dyDescent="0.25">
      <c r="A92" s="36" t="str">
        <f>IF(Data!B82="","",IF(COUNTIFS(Data!A$1:'Data'!A82,Data!A82)&lt;=1,0,1))</f>
        <v/>
      </c>
      <c r="B92" s="36"/>
      <c r="C92" s="36" t="str">
        <f>IF(Data!C82="","",(IF(ISNUMBER(MATCH("*@*.?*",Data!C82,0)),0,1)+IF(COUNTIFS(Data!C$1:'Data'!C82,Data!C82)&gt;1,1,0)))</f>
        <v/>
      </c>
      <c r="D92" s="36" t="str">
        <f>IF(Data!B82="","",IF(ISNUMBER(Data!D82),IF(AND(Data!D82&gt;999999999,Data!D82&lt;=9999999999),IF(COUNTIFS(Data!D$1:'Data'!D82,Data!D82)&lt;=1,0,1),1),1))</f>
        <v/>
      </c>
      <c r="E92" s="36" t="str">
        <f>IF(Data!B82="","",IF(ISNUMBER(MATCH(Data!E82,Data_Val!$A$2:$A$3,0)),0,1))</f>
        <v/>
      </c>
      <c r="F92" s="36" t="str">
        <f ca="1">IF(Data!B82="","",IF(ISNUMBER(Data!F82),IF(AND(Data!F82&gt;(TODAY()-(Data_Val!$H$3*365.25)),Data!F82&lt;=(TODAY()-(Data_Val!$H$2*365.25))),0,1),1))</f>
        <v/>
      </c>
      <c r="G92" s="12" t="str">
        <f>IF(Data!B82="","",IF(AND(Data!G82="",Data!H82&lt;&gt;""),1,IF(ISNUMBER(MATCH(Data!G82,Data_Val!$C$2:$C$5,0)),0,1)))</f>
        <v/>
      </c>
      <c r="H92" s="12" t="str">
        <f>IF(Data!B82="","",IF(AND(Data!G82&lt;&gt;"",Data!H82=""),1,IF(Data!G82="",1,IF(ISNUMBER(MATCH(Data!H82,Data_Val!$D$2:$D$35,0)),0,1))))</f>
        <v/>
      </c>
      <c r="I92" s="38" t="str">
        <f>IF(Data!G82="","",IF(Data!G82=Data_Val!$C$2,IF(Data!I82="",0,1),0))</f>
        <v/>
      </c>
      <c r="J92" s="38" t="str">
        <f>IF(Data!I82="","",IF(ISNUMBER(MATCH(Data!J82,Data_Val!$A$2:$A$3,0)),0,1))</f>
        <v/>
      </c>
      <c r="K92" s="38" t="str">
        <f ca="1">IF(Data!I82="","",IF(ISNUMBER(Data!K82),IF(AND(Data!K82&gt;(TODAY()-(Data_Val!$K$3*365.25)),Data!K82&lt;=(TODAY()-(Data_Val!$K$2*365.25))),0,1),1))</f>
        <v/>
      </c>
      <c r="L92" s="16" t="str">
        <f>IF(Data!G82="","",IF(Data!G82=Data_Val!$C$2,IF(Data!L82="",0,1),0))</f>
        <v/>
      </c>
      <c r="M92" s="16" t="str">
        <f>IF(Data!L82="","",IF(ISNUMBER(MATCH(Data!M82,Data_Val!$A$2:$A$3,0)),0,1))</f>
        <v/>
      </c>
      <c r="N92" s="43" t="str">
        <f ca="1">IF(Data!L82="","",IF(ISNUMBER(Data!N82),IF(AND(Data!N82&gt;(TODAY()-(Data_Val!$L$3*365.25)),Data!N82&lt;=(TODAY()-(Data_Val!$L$2*365.25))),0,1),1))</f>
        <v/>
      </c>
      <c r="O92" s="18" t="str">
        <f>IF(Data!$G82="","",IF(Data!$G82=Data_Val!$C$2,IF(Data!O82="",0,1),0))</f>
        <v/>
      </c>
      <c r="P92" s="18" t="str">
        <f>IF(Data!O82="","",IF(ISNUMBER(MATCH(Data!P82,Data_Val!$A$2:$A$3,0)),0,1))</f>
        <v/>
      </c>
      <c r="Q92" s="44" t="str">
        <f ca="1">IF(Data!O82="","",IF(ISNUMBER(Data!Q82),IF(AND(Data!Q82&gt;(TODAY()-(Data_Val!$L$3*365.25)),Data!Q82&lt;=(TODAY()-(Data_Val!$L$2*365.25))),0,1),1))</f>
        <v/>
      </c>
    </row>
    <row r="93" spans="1:17" ht="12" customHeight="1" x14ac:dyDescent="0.25">
      <c r="A93" s="36" t="str">
        <f>IF(Data!B83="","",IF(COUNTIFS(Data!A$1:'Data'!A83,Data!A83)&lt;=1,0,1))</f>
        <v/>
      </c>
      <c r="B93" s="36"/>
      <c r="C93" s="36" t="str">
        <f>IF(Data!C83="","",(IF(ISNUMBER(MATCH("*@*.?*",Data!C83,0)),0,1)+IF(COUNTIFS(Data!C$1:'Data'!C83,Data!C83)&gt;1,1,0)))</f>
        <v/>
      </c>
      <c r="D93" s="36" t="str">
        <f>IF(Data!B83="","",IF(ISNUMBER(Data!D83),IF(AND(Data!D83&gt;999999999,Data!D83&lt;=9999999999),IF(COUNTIFS(Data!D$1:'Data'!D83,Data!D83)&lt;=1,0,1),1),1))</f>
        <v/>
      </c>
      <c r="E93" s="36" t="str">
        <f>IF(Data!B83="","",IF(ISNUMBER(MATCH(Data!E83,Data_Val!$A$2:$A$3,0)),0,1))</f>
        <v/>
      </c>
      <c r="F93" s="36" t="str">
        <f ca="1">IF(Data!B83="","",IF(ISNUMBER(Data!F83),IF(AND(Data!F83&gt;(TODAY()-(Data_Val!$H$3*365.25)),Data!F83&lt;=(TODAY()-(Data_Val!$H$2*365.25))),0,1),1))</f>
        <v/>
      </c>
      <c r="G93" s="12" t="str">
        <f>IF(Data!B83="","",IF(AND(Data!G83="",Data!H83&lt;&gt;""),1,IF(ISNUMBER(MATCH(Data!G83,Data_Val!$C$2:$C$5,0)),0,1)))</f>
        <v/>
      </c>
      <c r="H93" s="12" t="str">
        <f>IF(Data!B83="","",IF(AND(Data!G83&lt;&gt;"",Data!H83=""),1,IF(Data!G83="",1,IF(ISNUMBER(MATCH(Data!H83,Data_Val!$D$2:$D$35,0)),0,1))))</f>
        <v/>
      </c>
      <c r="I93" s="38" t="str">
        <f>IF(Data!G83="","",IF(Data!G83=Data_Val!$C$2,IF(Data!I83="",0,1),0))</f>
        <v/>
      </c>
      <c r="J93" s="38" t="str">
        <f>IF(Data!I83="","",IF(ISNUMBER(MATCH(Data!J83,Data_Val!$A$2:$A$3,0)),0,1))</f>
        <v/>
      </c>
      <c r="K93" s="38" t="str">
        <f ca="1">IF(Data!I83="","",IF(ISNUMBER(Data!K83),IF(AND(Data!K83&gt;(TODAY()-(Data_Val!$K$3*365.25)),Data!K83&lt;=(TODAY()-(Data_Val!$K$2*365.25))),0,1),1))</f>
        <v/>
      </c>
      <c r="L93" s="16" t="str">
        <f>IF(Data!G83="","",IF(Data!G83=Data_Val!$C$2,IF(Data!L83="",0,1),0))</f>
        <v/>
      </c>
      <c r="M93" s="16" t="str">
        <f>IF(Data!L83="","",IF(ISNUMBER(MATCH(Data!M83,Data_Val!$A$2:$A$3,0)),0,1))</f>
        <v/>
      </c>
      <c r="N93" s="43" t="str">
        <f ca="1">IF(Data!L83="","",IF(ISNUMBER(Data!N83),IF(AND(Data!N83&gt;(TODAY()-(Data_Val!$L$3*365.25)),Data!N83&lt;=(TODAY()-(Data_Val!$L$2*365.25))),0,1),1))</f>
        <v/>
      </c>
      <c r="O93" s="18" t="str">
        <f>IF(Data!$G83="","",IF(Data!$G83=Data_Val!$C$2,IF(Data!O83="",0,1),0))</f>
        <v/>
      </c>
      <c r="P93" s="18" t="str">
        <f>IF(Data!O83="","",IF(ISNUMBER(MATCH(Data!P83,Data_Val!$A$2:$A$3,0)),0,1))</f>
        <v/>
      </c>
      <c r="Q93" s="44" t="str">
        <f ca="1">IF(Data!O83="","",IF(ISNUMBER(Data!Q83),IF(AND(Data!Q83&gt;(TODAY()-(Data_Val!$L$3*365.25)),Data!Q83&lt;=(TODAY()-(Data_Val!$L$2*365.25))),0,1),1))</f>
        <v/>
      </c>
    </row>
    <row r="94" spans="1:17" ht="12" customHeight="1" x14ac:dyDescent="0.25">
      <c r="A94" s="36" t="str">
        <f>IF(Data!B84="","",IF(COUNTIFS(Data!A$1:'Data'!A84,Data!A84)&lt;=1,0,1))</f>
        <v/>
      </c>
      <c r="B94" s="36"/>
      <c r="C94" s="36" t="str">
        <f>IF(Data!C84="","",(IF(ISNUMBER(MATCH("*@*.?*",Data!C84,0)),0,1)+IF(COUNTIFS(Data!C$1:'Data'!C84,Data!C84)&gt;1,1,0)))</f>
        <v/>
      </c>
      <c r="D94" s="36" t="str">
        <f>IF(Data!B84="","",IF(ISNUMBER(Data!D84),IF(AND(Data!D84&gt;999999999,Data!D84&lt;=9999999999),IF(COUNTIFS(Data!D$1:'Data'!D84,Data!D84)&lt;=1,0,1),1),1))</f>
        <v/>
      </c>
      <c r="E94" s="36" t="str">
        <f>IF(Data!B84="","",IF(ISNUMBER(MATCH(Data!E84,Data_Val!$A$2:$A$3,0)),0,1))</f>
        <v/>
      </c>
      <c r="F94" s="36" t="str">
        <f ca="1">IF(Data!B84="","",IF(ISNUMBER(Data!F84),IF(AND(Data!F84&gt;(TODAY()-(Data_Val!$H$3*365.25)),Data!F84&lt;=(TODAY()-(Data_Val!$H$2*365.25))),0,1),1))</f>
        <v/>
      </c>
      <c r="G94" s="12" t="str">
        <f>IF(Data!B84="","",IF(AND(Data!G84="",Data!H84&lt;&gt;""),1,IF(ISNUMBER(MATCH(Data!G84,Data_Val!$C$2:$C$5,0)),0,1)))</f>
        <v/>
      </c>
      <c r="H94" s="12" t="str">
        <f>IF(Data!B84="","",IF(AND(Data!G84&lt;&gt;"",Data!H84=""),1,IF(Data!G84="",1,IF(ISNUMBER(MATCH(Data!H84,Data_Val!$D$2:$D$35,0)),0,1))))</f>
        <v/>
      </c>
      <c r="I94" s="38" t="str">
        <f>IF(Data!G84="","",IF(Data!G84=Data_Val!$C$2,IF(Data!I84="",0,1),0))</f>
        <v/>
      </c>
      <c r="J94" s="38" t="str">
        <f>IF(Data!I84="","",IF(ISNUMBER(MATCH(Data!J84,Data_Val!$A$2:$A$3,0)),0,1))</f>
        <v/>
      </c>
      <c r="K94" s="38" t="str">
        <f ca="1">IF(Data!I84="","",IF(ISNUMBER(Data!K84),IF(AND(Data!K84&gt;(TODAY()-(Data_Val!$K$3*365.25)),Data!K84&lt;=(TODAY()-(Data_Val!$K$2*365.25))),0,1),1))</f>
        <v/>
      </c>
      <c r="L94" s="16" t="str">
        <f>IF(Data!G84="","",IF(Data!G84=Data_Val!$C$2,IF(Data!L84="",0,1),0))</f>
        <v/>
      </c>
      <c r="M94" s="16" t="str">
        <f>IF(Data!L84="","",IF(ISNUMBER(MATCH(Data!M84,Data_Val!$A$2:$A$3,0)),0,1))</f>
        <v/>
      </c>
      <c r="N94" s="43" t="str">
        <f ca="1">IF(Data!L84="","",IF(ISNUMBER(Data!N84),IF(AND(Data!N84&gt;(TODAY()-(Data_Val!$L$3*365.25)),Data!N84&lt;=(TODAY()-(Data_Val!$L$2*365.25))),0,1),1))</f>
        <v/>
      </c>
      <c r="O94" s="18" t="str">
        <f>IF(Data!$G84="","",IF(Data!$G84=Data_Val!$C$2,IF(Data!O84="",0,1),0))</f>
        <v/>
      </c>
      <c r="P94" s="18" t="str">
        <f>IF(Data!O84="","",IF(ISNUMBER(MATCH(Data!P84,Data_Val!$A$2:$A$3,0)),0,1))</f>
        <v/>
      </c>
      <c r="Q94" s="44" t="str">
        <f ca="1">IF(Data!O84="","",IF(ISNUMBER(Data!Q84),IF(AND(Data!Q84&gt;(TODAY()-(Data_Val!$L$3*365.25)),Data!Q84&lt;=(TODAY()-(Data_Val!$L$2*365.25))),0,1),1))</f>
        <v/>
      </c>
    </row>
    <row r="95" spans="1:17" ht="12" customHeight="1" x14ac:dyDescent="0.25">
      <c r="A95" s="36" t="str">
        <f>IF(Data!B85="","",IF(COUNTIFS(Data!A$1:'Data'!A85,Data!A85)&lt;=1,0,1))</f>
        <v/>
      </c>
      <c r="B95" s="36"/>
      <c r="C95" s="36" t="str">
        <f>IF(Data!C85="","",(IF(ISNUMBER(MATCH("*@*.?*",Data!C85,0)),0,1)+IF(COUNTIFS(Data!C$1:'Data'!C85,Data!C85)&gt;1,1,0)))</f>
        <v/>
      </c>
      <c r="D95" s="36" t="str">
        <f>IF(Data!B85="","",IF(ISNUMBER(Data!D85),IF(AND(Data!D85&gt;999999999,Data!D85&lt;=9999999999),IF(COUNTIFS(Data!D$1:'Data'!D85,Data!D85)&lt;=1,0,1),1),1))</f>
        <v/>
      </c>
      <c r="E95" s="36" t="str">
        <f>IF(Data!B85="","",IF(ISNUMBER(MATCH(Data!E85,Data_Val!$A$2:$A$3,0)),0,1))</f>
        <v/>
      </c>
      <c r="F95" s="36" t="str">
        <f ca="1">IF(Data!B85="","",IF(ISNUMBER(Data!F85),IF(AND(Data!F85&gt;(TODAY()-(Data_Val!$H$3*365.25)),Data!F85&lt;=(TODAY()-(Data_Val!$H$2*365.25))),0,1),1))</f>
        <v/>
      </c>
      <c r="G95" s="12" t="str">
        <f>IF(Data!B85="","",IF(AND(Data!G85="",Data!H85&lt;&gt;""),1,IF(ISNUMBER(MATCH(Data!G85,Data_Val!$C$2:$C$5,0)),0,1)))</f>
        <v/>
      </c>
      <c r="H95" s="12" t="str">
        <f>IF(Data!B85="","",IF(AND(Data!G85&lt;&gt;"",Data!H85=""),1,IF(Data!G85="",1,IF(ISNUMBER(MATCH(Data!H85,Data_Val!$D$2:$D$35,0)),0,1))))</f>
        <v/>
      </c>
      <c r="I95" s="38" t="str">
        <f>IF(Data!G85="","",IF(Data!G85=Data_Val!$C$2,IF(Data!I85="",0,1),0))</f>
        <v/>
      </c>
      <c r="J95" s="38" t="str">
        <f>IF(Data!I85="","",IF(ISNUMBER(MATCH(Data!J85,Data_Val!$A$2:$A$3,0)),0,1))</f>
        <v/>
      </c>
      <c r="K95" s="38" t="str">
        <f ca="1">IF(Data!I85="","",IF(ISNUMBER(Data!K85),IF(AND(Data!K85&gt;(TODAY()-(Data_Val!$K$3*365.25)),Data!K85&lt;=(TODAY()-(Data_Val!$K$2*365.25))),0,1),1))</f>
        <v/>
      </c>
      <c r="L95" s="16" t="str">
        <f>IF(Data!G85="","",IF(Data!G85=Data_Val!$C$2,IF(Data!L85="",0,1),0))</f>
        <v/>
      </c>
      <c r="M95" s="16" t="str">
        <f>IF(Data!L85="","",IF(ISNUMBER(MATCH(Data!M85,Data_Val!$A$2:$A$3,0)),0,1))</f>
        <v/>
      </c>
      <c r="N95" s="43" t="str">
        <f ca="1">IF(Data!L85="","",IF(ISNUMBER(Data!N85),IF(AND(Data!N85&gt;(TODAY()-(Data_Val!$L$3*365.25)),Data!N85&lt;=(TODAY()-(Data_Val!$L$2*365.25))),0,1),1))</f>
        <v/>
      </c>
      <c r="O95" s="18" t="str">
        <f>IF(Data!$G85="","",IF(Data!$G85=Data_Val!$C$2,IF(Data!O85="",0,1),0))</f>
        <v/>
      </c>
      <c r="P95" s="18" t="str">
        <f>IF(Data!O85="","",IF(ISNUMBER(MATCH(Data!P85,Data_Val!$A$2:$A$3,0)),0,1))</f>
        <v/>
      </c>
      <c r="Q95" s="44" t="str">
        <f ca="1">IF(Data!O85="","",IF(ISNUMBER(Data!Q85),IF(AND(Data!Q85&gt;(TODAY()-(Data_Val!$L$3*365.25)),Data!Q85&lt;=(TODAY()-(Data_Val!$L$2*365.25))),0,1),1))</f>
        <v/>
      </c>
    </row>
    <row r="96" spans="1:17" ht="12" customHeight="1" x14ac:dyDescent="0.25">
      <c r="A96" s="36" t="str">
        <f>IF(Data!B86="","",IF(COUNTIFS(Data!A$1:'Data'!A86,Data!A86)&lt;=1,0,1))</f>
        <v/>
      </c>
      <c r="B96" s="36"/>
      <c r="C96" s="36" t="str">
        <f>IF(Data!C86="","",(IF(ISNUMBER(MATCH("*@*.?*",Data!C86,0)),0,1)+IF(COUNTIFS(Data!C$1:'Data'!C86,Data!C86)&gt;1,1,0)))</f>
        <v/>
      </c>
      <c r="D96" s="36" t="str">
        <f>IF(Data!B86="","",IF(ISNUMBER(Data!D86),IF(AND(Data!D86&gt;999999999,Data!D86&lt;=9999999999),IF(COUNTIFS(Data!D$1:'Data'!D86,Data!D86)&lt;=1,0,1),1),1))</f>
        <v/>
      </c>
      <c r="E96" s="36" t="str">
        <f>IF(Data!B86="","",IF(ISNUMBER(MATCH(Data!E86,Data_Val!$A$2:$A$3,0)),0,1))</f>
        <v/>
      </c>
      <c r="F96" s="36" t="str">
        <f ca="1">IF(Data!B86="","",IF(ISNUMBER(Data!F86),IF(AND(Data!F86&gt;(TODAY()-(Data_Val!$H$3*365.25)),Data!F86&lt;=(TODAY()-(Data_Val!$H$2*365.25))),0,1),1))</f>
        <v/>
      </c>
      <c r="G96" s="12" t="str">
        <f>IF(Data!B86="","",IF(AND(Data!G86="",Data!H86&lt;&gt;""),1,IF(ISNUMBER(MATCH(Data!G86,Data_Val!$C$2:$C$5,0)),0,1)))</f>
        <v/>
      </c>
      <c r="H96" s="12" t="str">
        <f>IF(Data!B86="","",IF(AND(Data!G86&lt;&gt;"",Data!H86=""),1,IF(Data!G86="",1,IF(ISNUMBER(MATCH(Data!H86,Data_Val!$D$2:$D$35,0)),0,1))))</f>
        <v/>
      </c>
      <c r="I96" s="38" t="str">
        <f>IF(Data!G86="","",IF(Data!G86=Data_Val!$C$2,IF(Data!I86="",0,1),0))</f>
        <v/>
      </c>
      <c r="J96" s="38" t="str">
        <f>IF(Data!I86="","",IF(ISNUMBER(MATCH(Data!J86,Data_Val!$A$2:$A$3,0)),0,1))</f>
        <v/>
      </c>
      <c r="K96" s="38" t="str">
        <f ca="1">IF(Data!I86="","",IF(ISNUMBER(Data!K86),IF(AND(Data!K86&gt;(TODAY()-(Data_Val!$K$3*365.25)),Data!K86&lt;=(TODAY()-(Data_Val!$K$2*365.25))),0,1),1))</f>
        <v/>
      </c>
      <c r="L96" s="16" t="str">
        <f>IF(Data!G86="","",IF(Data!G86=Data_Val!$C$2,IF(Data!L86="",0,1),0))</f>
        <v/>
      </c>
      <c r="M96" s="16" t="str">
        <f>IF(Data!L86="","",IF(ISNUMBER(MATCH(Data!M86,Data_Val!$A$2:$A$3,0)),0,1))</f>
        <v/>
      </c>
      <c r="N96" s="43" t="str">
        <f ca="1">IF(Data!L86="","",IF(ISNUMBER(Data!N86),IF(AND(Data!N86&gt;(TODAY()-(Data_Val!$L$3*365.25)),Data!N86&lt;=(TODAY()-(Data_Val!$L$2*365.25))),0,1),1))</f>
        <v/>
      </c>
      <c r="O96" s="18" t="str">
        <f>IF(Data!$G86="","",IF(Data!$G86=Data_Val!$C$2,IF(Data!O86="",0,1),0))</f>
        <v/>
      </c>
      <c r="P96" s="18" t="str">
        <f>IF(Data!O86="","",IF(ISNUMBER(MATCH(Data!P86,Data_Val!$A$2:$A$3,0)),0,1))</f>
        <v/>
      </c>
      <c r="Q96" s="44" t="str">
        <f ca="1">IF(Data!O86="","",IF(ISNUMBER(Data!Q86),IF(AND(Data!Q86&gt;(TODAY()-(Data_Val!$L$3*365.25)),Data!Q86&lt;=(TODAY()-(Data_Val!$L$2*365.25))),0,1),1))</f>
        <v/>
      </c>
    </row>
    <row r="97" spans="1:17" ht="12" customHeight="1" x14ac:dyDescent="0.25">
      <c r="A97" s="36" t="str">
        <f>IF(Data!B87="","",IF(COUNTIFS(Data!A$1:'Data'!A87,Data!A87)&lt;=1,0,1))</f>
        <v/>
      </c>
      <c r="B97" s="36"/>
      <c r="C97" s="36" t="str">
        <f>IF(Data!C87="","",(IF(ISNUMBER(MATCH("*@*.?*",Data!C87,0)),0,1)+IF(COUNTIFS(Data!C$1:'Data'!C87,Data!C87)&gt;1,1,0)))</f>
        <v/>
      </c>
      <c r="D97" s="36" t="str">
        <f>IF(Data!B87="","",IF(ISNUMBER(Data!D87),IF(AND(Data!D87&gt;999999999,Data!D87&lt;=9999999999),IF(COUNTIFS(Data!D$1:'Data'!D87,Data!D87)&lt;=1,0,1),1),1))</f>
        <v/>
      </c>
      <c r="E97" s="36" t="str">
        <f>IF(Data!B87="","",IF(ISNUMBER(MATCH(Data!E87,Data_Val!$A$2:$A$3,0)),0,1))</f>
        <v/>
      </c>
      <c r="F97" s="36" t="str">
        <f ca="1">IF(Data!B87="","",IF(ISNUMBER(Data!F87),IF(AND(Data!F87&gt;(TODAY()-(Data_Val!$H$3*365.25)),Data!F87&lt;=(TODAY()-(Data_Val!$H$2*365.25))),0,1),1))</f>
        <v/>
      </c>
      <c r="G97" s="12" t="str">
        <f>IF(Data!B87="","",IF(AND(Data!G87="",Data!H87&lt;&gt;""),1,IF(ISNUMBER(MATCH(Data!G87,Data_Val!$C$2:$C$5,0)),0,1)))</f>
        <v/>
      </c>
      <c r="H97" s="12" t="str">
        <f>IF(Data!B87="","",IF(AND(Data!G87&lt;&gt;"",Data!H87=""),1,IF(Data!G87="",1,IF(ISNUMBER(MATCH(Data!H87,Data_Val!$D$2:$D$35,0)),0,1))))</f>
        <v/>
      </c>
      <c r="I97" s="38" t="str">
        <f>IF(Data!G87="","",IF(Data!G87=Data_Val!$C$2,IF(Data!I87="",0,1),0))</f>
        <v/>
      </c>
      <c r="J97" s="38" t="str">
        <f>IF(Data!I87="","",IF(ISNUMBER(MATCH(Data!J87,Data_Val!$A$2:$A$3,0)),0,1))</f>
        <v/>
      </c>
      <c r="K97" s="38" t="str">
        <f ca="1">IF(Data!I87="","",IF(ISNUMBER(Data!K87),IF(AND(Data!K87&gt;(TODAY()-(Data_Val!$K$3*365.25)),Data!K87&lt;=(TODAY()-(Data_Val!$K$2*365.25))),0,1),1))</f>
        <v/>
      </c>
      <c r="L97" s="16" t="str">
        <f>IF(Data!G87="","",IF(Data!G87=Data_Val!$C$2,IF(Data!L87="",0,1),0))</f>
        <v/>
      </c>
      <c r="M97" s="16" t="str">
        <f>IF(Data!L87="","",IF(ISNUMBER(MATCH(Data!M87,Data_Val!$A$2:$A$3,0)),0,1))</f>
        <v/>
      </c>
      <c r="N97" s="43" t="str">
        <f ca="1">IF(Data!L87="","",IF(ISNUMBER(Data!N87),IF(AND(Data!N87&gt;(TODAY()-(Data_Val!$L$3*365.25)),Data!N87&lt;=(TODAY()-(Data_Val!$L$2*365.25))),0,1),1))</f>
        <v/>
      </c>
      <c r="O97" s="18" t="str">
        <f>IF(Data!$G87="","",IF(Data!$G87=Data_Val!$C$2,IF(Data!O87="",0,1),0))</f>
        <v/>
      </c>
      <c r="P97" s="18" t="str">
        <f>IF(Data!O87="","",IF(ISNUMBER(MATCH(Data!P87,Data_Val!$A$2:$A$3,0)),0,1))</f>
        <v/>
      </c>
      <c r="Q97" s="44" t="str">
        <f ca="1">IF(Data!O87="","",IF(ISNUMBER(Data!Q87),IF(AND(Data!Q87&gt;(TODAY()-(Data_Val!$L$3*365.25)),Data!Q87&lt;=(TODAY()-(Data_Val!$L$2*365.25))),0,1),1))</f>
        <v/>
      </c>
    </row>
    <row r="98" spans="1:17" ht="12" customHeight="1" x14ac:dyDescent="0.25">
      <c r="A98" s="36" t="str">
        <f>IF(Data!B88="","",IF(COUNTIFS(Data!A$1:'Data'!A88,Data!A88)&lt;=1,0,1))</f>
        <v/>
      </c>
      <c r="B98" s="36"/>
      <c r="C98" s="36" t="str">
        <f>IF(Data!C88="","",(IF(ISNUMBER(MATCH("*@*.?*",Data!C88,0)),0,1)+IF(COUNTIFS(Data!C$1:'Data'!C88,Data!C88)&gt;1,1,0)))</f>
        <v/>
      </c>
      <c r="D98" s="36" t="str">
        <f>IF(Data!B88="","",IF(ISNUMBER(Data!D88),IF(AND(Data!D88&gt;999999999,Data!D88&lt;=9999999999),IF(COUNTIFS(Data!D$1:'Data'!D88,Data!D88)&lt;=1,0,1),1),1))</f>
        <v/>
      </c>
      <c r="E98" s="36" t="str">
        <f>IF(Data!B88="","",IF(ISNUMBER(MATCH(Data!E88,Data_Val!$A$2:$A$3,0)),0,1))</f>
        <v/>
      </c>
      <c r="F98" s="36" t="str">
        <f ca="1">IF(Data!B88="","",IF(ISNUMBER(Data!F88),IF(AND(Data!F88&gt;(TODAY()-(Data_Val!$H$3*365.25)),Data!F88&lt;=(TODAY()-(Data_Val!$H$2*365.25))),0,1),1))</f>
        <v/>
      </c>
      <c r="G98" s="12" t="str">
        <f>IF(Data!B88="","",IF(AND(Data!G88="",Data!H88&lt;&gt;""),1,IF(ISNUMBER(MATCH(Data!G88,Data_Val!$C$2:$C$5,0)),0,1)))</f>
        <v/>
      </c>
      <c r="H98" s="12" t="str">
        <f>IF(Data!B88="","",IF(AND(Data!G88&lt;&gt;"",Data!H88=""),1,IF(Data!G88="",1,IF(ISNUMBER(MATCH(Data!H88,Data_Val!$D$2:$D$35,0)),0,1))))</f>
        <v/>
      </c>
      <c r="I98" s="38" t="str">
        <f>IF(Data!G88="","",IF(Data!G88=Data_Val!$C$2,IF(Data!I88="",0,1),0))</f>
        <v/>
      </c>
      <c r="J98" s="38" t="str">
        <f>IF(Data!I88="","",IF(ISNUMBER(MATCH(Data!J88,Data_Val!$A$2:$A$3,0)),0,1))</f>
        <v/>
      </c>
      <c r="K98" s="38" t="str">
        <f ca="1">IF(Data!I88="","",IF(ISNUMBER(Data!K88),IF(AND(Data!K88&gt;(TODAY()-(Data_Val!$K$3*365.25)),Data!K88&lt;=(TODAY()-(Data_Val!$K$2*365.25))),0,1),1))</f>
        <v/>
      </c>
      <c r="L98" s="16" t="str">
        <f>IF(Data!G88="","",IF(Data!G88=Data_Val!$C$2,IF(Data!L88="",0,1),0))</f>
        <v/>
      </c>
      <c r="M98" s="16" t="str">
        <f>IF(Data!L88="","",IF(ISNUMBER(MATCH(Data!M88,Data_Val!$A$2:$A$3,0)),0,1))</f>
        <v/>
      </c>
      <c r="N98" s="43" t="str">
        <f ca="1">IF(Data!L88="","",IF(ISNUMBER(Data!N88),IF(AND(Data!N88&gt;(TODAY()-(Data_Val!$L$3*365.25)),Data!N88&lt;=(TODAY()-(Data_Val!$L$2*365.25))),0,1),1))</f>
        <v/>
      </c>
      <c r="O98" s="18" t="str">
        <f>IF(Data!$G88="","",IF(Data!$G88=Data_Val!$C$2,IF(Data!O88="",0,1),0))</f>
        <v/>
      </c>
      <c r="P98" s="18" t="str">
        <f>IF(Data!O88="","",IF(ISNUMBER(MATCH(Data!P88,Data_Val!$A$2:$A$3,0)),0,1))</f>
        <v/>
      </c>
      <c r="Q98" s="44" t="str">
        <f ca="1">IF(Data!O88="","",IF(ISNUMBER(Data!Q88),IF(AND(Data!Q88&gt;(TODAY()-(Data_Val!$L$3*365.25)),Data!Q88&lt;=(TODAY()-(Data_Val!$L$2*365.25))),0,1),1))</f>
        <v/>
      </c>
    </row>
    <row r="99" spans="1:17" ht="12" customHeight="1" x14ac:dyDescent="0.25">
      <c r="A99" s="36" t="str">
        <f>IF(Data!B89="","",IF(COUNTIFS(Data!A$1:'Data'!A89,Data!A89)&lt;=1,0,1))</f>
        <v/>
      </c>
      <c r="B99" s="36"/>
      <c r="C99" s="36" t="str">
        <f>IF(Data!C89="","",(IF(ISNUMBER(MATCH("*@*.?*",Data!C89,0)),0,1)+IF(COUNTIFS(Data!C$1:'Data'!C89,Data!C89)&gt;1,1,0)))</f>
        <v/>
      </c>
      <c r="D99" s="36" t="str">
        <f>IF(Data!B89="","",IF(ISNUMBER(Data!D89),IF(AND(Data!D89&gt;999999999,Data!D89&lt;=9999999999),IF(COUNTIFS(Data!D$1:'Data'!D89,Data!D89)&lt;=1,0,1),1),1))</f>
        <v/>
      </c>
      <c r="E99" s="36" t="str">
        <f>IF(Data!B89="","",IF(ISNUMBER(MATCH(Data!E89,Data_Val!$A$2:$A$3,0)),0,1))</f>
        <v/>
      </c>
      <c r="F99" s="36" t="str">
        <f ca="1">IF(Data!B89="","",IF(ISNUMBER(Data!F89),IF(AND(Data!F89&gt;(TODAY()-(Data_Val!$H$3*365.25)),Data!F89&lt;=(TODAY()-(Data_Val!$H$2*365.25))),0,1),1))</f>
        <v/>
      </c>
      <c r="G99" s="12" t="str">
        <f>IF(Data!B89="","",IF(AND(Data!G89="",Data!H89&lt;&gt;""),1,IF(ISNUMBER(MATCH(Data!G89,Data_Val!$C$2:$C$5,0)),0,1)))</f>
        <v/>
      </c>
      <c r="H99" s="12" t="str">
        <f>IF(Data!B89="","",IF(AND(Data!G89&lt;&gt;"",Data!H89=""),1,IF(Data!G89="",1,IF(ISNUMBER(MATCH(Data!H89,Data_Val!$D$2:$D$35,0)),0,1))))</f>
        <v/>
      </c>
      <c r="I99" s="38" t="str">
        <f>IF(Data!G89="","",IF(Data!G89=Data_Val!$C$2,IF(Data!I89="",0,1),0))</f>
        <v/>
      </c>
      <c r="J99" s="38" t="str">
        <f>IF(Data!I89="","",IF(ISNUMBER(MATCH(Data!J89,Data_Val!$A$2:$A$3,0)),0,1))</f>
        <v/>
      </c>
      <c r="K99" s="38" t="str">
        <f ca="1">IF(Data!I89="","",IF(ISNUMBER(Data!K89),IF(AND(Data!K89&gt;(TODAY()-(Data_Val!$K$3*365.25)),Data!K89&lt;=(TODAY()-(Data_Val!$K$2*365.25))),0,1),1))</f>
        <v/>
      </c>
      <c r="L99" s="16" t="str">
        <f>IF(Data!G89="","",IF(Data!G89=Data_Val!$C$2,IF(Data!L89="",0,1),0))</f>
        <v/>
      </c>
      <c r="M99" s="16" t="str">
        <f>IF(Data!L89="","",IF(ISNUMBER(MATCH(Data!M89,Data_Val!$A$2:$A$3,0)),0,1))</f>
        <v/>
      </c>
      <c r="N99" s="43" t="str">
        <f ca="1">IF(Data!L89="","",IF(ISNUMBER(Data!N89),IF(AND(Data!N89&gt;(TODAY()-(Data_Val!$L$3*365.25)),Data!N89&lt;=(TODAY()-(Data_Val!$L$2*365.25))),0,1),1))</f>
        <v/>
      </c>
      <c r="O99" s="18" t="str">
        <f>IF(Data!$G89="","",IF(Data!$G89=Data_Val!$C$2,IF(Data!O89="",0,1),0))</f>
        <v/>
      </c>
      <c r="P99" s="18" t="str">
        <f>IF(Data!O89="","",IF(ISNUMBER(MATCH(Data!P89,Data_Val!$A$2:$A$3,0)),0,1))</f>
        <v/>
      </c>
      <c r="Q99" s="44" t="str">
        <f ca="1">IF(Data!O89="","",IF(ISNUMBER(Data!Q89),IF(AND(Data!Q89&gt;(TODAY()-(Data_Val!$L$3*365.25)),Data!Q89&lt;=(TODAY()-(Data_Val!$L$2*365.25))),0,1),1))</f>
        <v/>
      </c>
    </row>
    <row r="100" spans="1:17" ht="12" customHeight="1" x14ac:dyDescent="0.25">
      <c r="A100" s="36" t="str">
        <f>IF(Data!B90="","",IF(COUNTIFS(Data!A$1:'Data'!A90,Data!A90)&lt;=1,0,1))</f>
        <v/>
      </c>
      <c r="B100" s="36"/>
      <c r="C100" s="36" t="str">
        <f>IF(Data!C90="","",(IF(ISNUMBER(MATCH("*@*.?*",Data!C90,0)),0,1)+IF(COUNTIFS(Data!C$1:'Data'!C90,Data!C90)&gt;1,1,0)))</f>
        <v/>
      </c>
      <c r="D100" s="36" t="str">
        <f>IF(Data!B90="","",IF(ISNUMBER(Data!D90),IF(AND(Data!D90&gt;999999999,Data!D90&lt;=9999999999),IF(COUNTIFS(Data!D$1:'Data'!D90,Data!D90)&lt;=1,0,1),1),1))</f>
        <v/>
      </c>
      <c r="E100" s="36" t="str">
        <f>IF(Data!B90="","",IF(ISNUMBER(MATCH(Data!E90,Data_Val!$A$2:$A$3,0)),0,1))</f>
        <v/>
      </c>
      <c r="F100" s="36" t="str">
        <f ca="1">IF(Data!B90="","",IF(ISNUMBER(Data!F90),IF(AND(Data!F90&gt;(TODAY()-(Data_Val!$H$3*365.25)),Data!F90&lt;=(TODAY()-(Data_Val!$H$2*365.25))),0,1),1))</f>
        <v/>
      </c>
      <c r="G100" s="12" t="str">
        <f>IF(Data!B90="","",IF(AND(Data!G90="",Data!H90&lt;&gt;""),1,IF(ISNUMBER(MATCH(Data!G90,Data_Val!$C$2:$C$5,0)),0,1)))</f>
        <v/>
      </c>
      <c r="H100" s="12" t="str">
        <f>IF(Data!B90="","",IF(AND(Data!G90&lt;&gt;"",Data!H90=""),1,IF(Data!G90="",1,IF(ISNUMBER(MATCH(Data!H90,Data_Val!$D$2:$D$35,0)),0,1))))</f>
        <v/>
      </c>
      <c r="I100" s="38" t="str">
        <f>IF(Data!G90="","",IF(Data!G90=Data_Val!$C$2,IF(Data!I90="",0,1),0))</f>
        <v/>
      </c>
      <c r="J100" s="38" t="str">
        <f>IF(Data!I90="","",IF(ISNUMBER(MATCH(Data!J90,Data_Val!$A$2:$A$3,0)),0,1))</f>
        <v/>
      </c>
      <c r="K100" s="38" t="str">
        <f ca="1">IF(Data!I90="","",IF(ISNUMBER(Data!K90),IF(AND(Data!K90&gt;(TODAY()-(Data_Val!$K$3*365.25)),Data!K90&lt;=(TODAY()-(Data_Val!$K$2*365.25))),0,1),1))</f>
        <v/>
      </c>
      <c r="L100" s="16" t="str">
        <f>IF(Data!G90="","",IF(Data!G90=Data_Val!$C$2,IF(Data!L90="",0,1),0))</f>
        <v/>
      </c>
      <c r="M100" s="16" t="str">
        <f>IF(Data!L90="","",IF(ISNUMBER(MATCH(Data!M90,Data_Val!$A$2:$A$3,0)),0,1))</f>
        <v/>
      </c>
      <c r="N100" s="43" t="str">
        <f ca="1">IF(Data!L90="","",IF(ISNUMBER(Data!N90),IF(AND(Data!N90&gt;(TODAY()-(Data_Val!$L$3*365.25)),Data!N90&lt;=(TODAY()-(Data_Val!$L$2*365.25))),0,1),1))</f>
        <v/>
      </c>
      <c r="O100" s="18" t="str">
        <f>IF(Data!$G90="","",IF(Data!$G90=Data_Val!$C$2,IF(Data!O90="",0,1),0))</f>
        <v/>
      </c>
      <c r="P100" s="18" t="str">
        <f>IF(Data!O90="","",IF(ISNUMBER(MATCH(Data!P90,Data_Val!$A$2:$A$3,0)),0,1))</f>
        <v/>
      </c>
      <c r="Q100" s="44" t="str">
        <f ca="1">IF(Data!O90="","",IF(ISNUMBER(Data!Q90),IF(AND(Data!Q90&gt;(TODAY()-(Data_Val!$L$3*365.25)),Data!Q90&lt;=(TODAY()-(Data_Val!$L$2*365.25))),0,1),1))</f>
        <v/>
      </c>
    </row>
    <row r="101" spans="1:17" ht="12" customHeight="1" x14ac:dyDescent="0.25">
      <c r="A101" s="36" t="str">
        <f>IF(Data!B91="","",IF(COUNTIFS(Data!A$1:'Data'!A91,Data!A91)&lt;=1,0,1))</f>
        <v/>
      </c>
      <c r="B101" s="36"/>
      <c r="C101" s="36" t="str">
        <f>IF(Data!C91="","",(IF(ISNUMBER(MATCH("*@*.?*",Data!C91,0)),0,1)+IF(COUNTIFS(Data!C$1:'Data'!C91,Data!C91)&gt;1,1,0)))</f>
        <v/>
      </c>
      <c r="D101" s="36" t="str">
        <f>IF(Data!B91="","",IF(ISNUMBER(Data!D91),IF(AND(Data!D91&gt;999999999,Data!D91&lt;=9999999999),IF(COUNTIFS(Data!D$1:'Data'!D91,Data!D91)&lt;=1,0,1),1),1))</f>
        <v/>
      </c>
      <c r="E101" s="36" t="str">
        <f>IF(Data!B91="","",IF(ISNUMBER(MATCH(Data!E91,Data_Val!$A$2:$A$3,0)),0,1))</f>
        <v/>
      </c>
      <c r="F101" s="36" t="str">
        <f ca="1">IF(Data!B91="","",IF(ISNUMBER(Data!F91),IF(AND(Data!F91&gt;(TODAY()-(Data_Val!$H$3*365.25)),Data!F91&lt;=(TODAY()-(Data_Val!$H$2*365.25))),0,1),1))</f>
        <v/>
      </c>
      <c r="G101" s="12" t="str">
        <f>IF(Data!B91="","",IF(AND(Data!G91="",Data!H91&lt;&gt;""),1,IF(ISNUMBER(MATCH(Data!G91,Data_Val!$C$2:$C$5,0)),0,1)))</f>
        <v/>
      </c>
      <c r="H101" s="12" t="str">
        <f>IF(Data!B91="","",IF(AND(Data!G91&lt;&gt;"",Data!H91=""),1,IF(Data!G91="",1,IF(ISNUMBER(MATCH(Data!H91,Data_Val!$D$2:$D$35,0)),0,1))))</f>
        <v/>
      </c>
      <c r="I101" s="38" t="str">
        <f>IF(Data!G91="","",IF(Data!G91=Data_Val!$C$2,IF(Data!I91="",0,1),0))</f>
        <v/>
      </c>
      <c r="J101" s="38" t="str">
        <f>IF(Data!I91="","",IF(ISNUMBER(MATCH(Data!J91,Data_Val!$A$2:$A$3,0)),0,1))</f>
        <v/>
      </c>
      <c r="K101" s="38" t="str">
        <f ca="1">IF(Data!I91="","",IF(ISNUMBER(Data!K91),IF(AND(Data!K91&gt;(TODAY()-(Data_Val!$K$3*365.25)),Data!K91&lt;=(TODAY()-(Data_Val!$K$2*365.25))),0,1),1))</f>
        <v/>
      </c>
      <c r="L101" s="16" t="str">
        <f>IF(Data!G91="","",IF(Data!G91=Data_Val!$C$2,IF(Data!L91="",0,1),0))</f>
        <v/>
      </c>
      <c r="M101" s="16" t="str">
        <f>IF(Data!L91="","",IF(ISNUMBER(MATCH(Data!M91,Data_Val!$A$2:$A$3,0)),0,1))</f>
        <v/>
      </c>
      <c r="N101" s="43" t="str">
        <f ca="1">IF(Data!L91="","",IF(ISNUMBER(Data!N91),IF(AND(Data!N91&gt;(TODAY()-(Data_Val!$L$3*365.25)),Data!N91&lt;=(TODAY()-(Data_Val!$L$2*365.25))),0,1),1))</f>
        <v/>
      </c>
      <c r="O101" s="18" t="str">
        <f>IF(Data!$G91="","",IF(Data!$G91=Data_Val!$C$2,IF(Data!O91="",0,1),0))</f>
        <v/>
      </c>
      <c r="P101" s="18" t="str">
        <f>IF(Data!O91="","",IF(ISNUMBER(MATCH(Data!P91,Data_Val!$A$2:$A$3,0)),0,1))</f>
        <v/>
      </c>
      <c r="Q101" s="44" t="str">
        <f ca="1">IF(Data!O91="","",IF(ISNUMBER(Data!Q91),IF(AND(Data!Q91&gt;(TODAY()-(Data_Val!$L$3*365.25)),Data!Q91&lt;=(TODAY()-(Data_Val!$L$2*365.25))),0,1),1))</f>
        <v/>
      </c>
    </row>
    <row r="102" spans="1:17" ht="12" customHeight="1" x14ac:dyDescent="0.25">
      <c r="A102" s="36" t="str">
        <f>IF(Data!B92="","",IF(COUNTIFS(Data!A$1:'Data'!A92,Data!A92)&lt;=1,0,1))</f>
        <v/>
      </c>
      <c r="B102" s="36"/>
      <c r="C102" s="36" t="str">
        <f>IF(Data!C92="","",(IF(ISNUMBER(MATCH("*@*.?*",Data!C92,0)),0,1)+IF(COUNTIFS(Data!C$1:'Data'!C92,Data!C92)&gt;1,1,0)))</f>
        <v/>
      </c>
      <c r="D102" s="36" t="str">
        <f>IF(Data!B92="","",IF(ISNUMBER(Data!D92),IF(AND(Data!D92&gt;999999999,Data!D92&lt;=9999999999),IF(COUNTIFS(Data!D$1:'Data'!D92,Data!D92)&lt;=1,0,1),1),1))</f>
        <v/>
      </c>
      <c r="E102" s="36" t="str">
        <f>IF(Data!B92="","",IF(ISNUMBER(MATCH(Data!E92,Data_Val!$A$2:$A$3,0)),0,1))</f>
        <v/>
      </c>
      <c r="F102" s="36" t="str">
        <f ca="1">IF(Data!B92="","",IF(ISNUMBER(Data!F92),IF(AND(Data!F92&gt;(TODAY()-(Data_Val!$H$3*365.25)),Data!F92&lt;=(TODAY()-(Data_Val!$H$2*365.25))),0,1),1))</f>
        <v/>
      </c>
      <c r="G102" s="12" t="str">
        <f>IF(Data!B92="","",IF(AND(Data!G92="",Data!H92&lt;&gt;""),1,IF(ISNUMBER(MATCH(Data!G92,Data_Val!$C$2:$C$5,0)),0,1)))</f>
        <v/>
      </c>
      <c r="H102" s="12" t="str">
        <f>IF(Data!B92="","",IF(AND(Data!G92&lt;&gt;"",Data!H92=""),1,IF(Data!G92="",1,IF(ISNUMBER(MATCH(Data!H92,Data_Val!$D$2:$D$35,0)),0,1))))</f>
        <v/>
      </c>
      <c r="I102" s="38" t="str">
        <f>IF(Data!G92="","",IF(Data!G92=Data_Val!$C$2,IF(Data!I92="",0,1),0))</f>
        <v/>
      </c>
      <c r="J102" s="38" t="str">
        <f>IF(Data!I92="","",IF(ISNUMBER(MATCH(Data!J92,Data_Val!$A$2:$A$3,0)),0,1))</f>
        <v/>
      </c>
      <c r="K102" s="38" t="str">
        <f ca="1">IF(Data!I92="","",IF(ISNUMBER(Data!K92),IF(AND(Data!K92&gt;(TODAY()-(Data_Val!$K$3*365.25)),Data!K92&lt;=(TODAY()-(Data_Val!$K$2*365.25))),0,1),1))</f>
        <v/>
      </c>
      <c r="L102" s="16" t="str">
        <f>IF(Data!G92="","",IF(Data!G92=Data_Val!$C$2,IF(Data!L92="",0,1),0))</f>
        <v/>
      </c>
      <c r="M102" s="16" t="str">
        <f>IF(Data!L92="","",IF(ISNUMBER(MATCH(Data!M92,Data_Val!$A$2:$A$3,0)),0,1))</f>
        <v/>
      </c>
      <c r="N102" s="43" t="str">
        <f ca="1">IF(Data!L92="","",IF(ISNUMBER(Data!N92),IF(AND(Data!N92&gt;(TODAY()-(Data_Val!$L$3*365.25)),Data!N92&lt;=(TODAY()-(Data_Val!$L$2*365.25))),0,1),1))</f>
        <v/>
      </c>
      <c r="O102" s="18" t="str">
        <f>IF(Data!$G92="","",IF(Data!$G92=Data_Val!$C$2,IF(Data!O92="",0,1),0))</f>
        <v/>
      </c>
      <c r="P102" s="18" t="str">
        <f>IF(Data!O92="","",IF(ISNUMBER(MATCH(Data!P92,Data_Val!$A$2:$A$3,0)),0,1))</f>
        <v/>
      </c>
      <c r="Q102" s="44" t="str">
        <f ca="1">IF(Data!O92="","",IF(ISNUMBER(Data!Q92),IF(AND(Data!Q92&gt;(TODAY()-(Data_Val!$L$3*365.25)),Data!Q92&lt;=(TODAY()-(Data_Val!$L$2*365.25))),0,1),1))</f>
        <v/>
      </c>
    </row>
    <row r="103" spans="1:17" ht="12" customHeight="1" x14ac:dyDescent="0.25">
      <c r="A103" s="36" t="str">
        <f>IF(Data!B93="","",IF(COUNTIFS(Data!A$1:'Data'!A93,Data!A93)&lt;=1,0,1))</f>
        <v/>
      </c>
      <c r="B103" s="36"/>
      <c r="C103" s="36" t="str">
        <f>IF(Data!C93="","",(IF(ISNUMBER(MATCH("*@*.?*",Data!C93,0)),0,1)+IF(COUNTIFS(Data!C$1:'Data'!C93,Data!C93)&gt;1,1,0)))</f>
        <v/>
      </c>
      <c r="D103" s="36" t="str">
        <f>IF(Data!B93="","",IF(ISNUMBER(Data!D93),IF(AND(Data!D93&gt;999999999,Data!D93&lt;=9999999999),IF(COUNTIFS(Data!D$1:'Data'!D93,Data!D93)&lt;=1,0,1),1),1))</f>
        <v/>
      </c>
      <c r="E103" s="36" t="str">
        <f>IF(Data!B93="","",IF(ISNUMBER(MATCH(Data!E93,Data_Val!$A$2:$A$3,0)),0,1))</f>
        <v/>
      </c>
      <c r="F103" s="36" t="str">
        <f ca="1">IF(Data!B93="","",IF(ISNUMBER(Data!F93),IF(AND(Data!F93&gt;(TODAY()-(Data_Val!$H$3*365.25)),Data!F93&lt;=(TODAY()-(Data_Val!$H$2*365.25))),0,1),1))</f>
        <v/>
      </c>
      <c r="G103" s="12" t="str">
        <f>IF(Data!B93="","",IF(AND(Data!G93="",Data!H93&lt;&gt;""),1,IF(ISNUMBER(MATCH(Data!G93,Data_Val!$C$2:$C$5,0)),0,1)))</f>
        <v/>
      </c>
      <c r="H103" s="12" t="str">
        <f>IF(Data!B93="","",IF(AND(Data!G93&lt;&gt;"",Data!H93=""),1,IF(Data!G93="",1,IF(ISNUMBER(MATCH(Data!H93,Data_Val!$D$2:$D$35,0)),0,1))))</f>
        <v/>
      </c>
      <c r="I103" s="38" t="str">
        <f>IF(Data!G93="","",IF(Data!G93=Data_Val!$C$2,IF(Data!I93="",0,1),0))</f>
        <v/>
      </c>
      <c r="J103" s="38" t="str">
        <f>IF(Data!I93="","",IF(ISNUMBER(MATCH(Data!J93,Data_Val!$A$2:$A$3,0)),0,1))</f>
        <v/>
      </c>
      <c r="K103" s="38" t="str">
        <f ca="1">IF(Data!I93="","",IF(ISNUMBER(Data!K93),IF(AND(Data!K93&gt;(TODAY()-(Data_Val!$K$3*365.25)),Data!K93&lt;=(TODAY()-(Data_Val!$K$2*365.25))),0,1),1))</f>
        <v/>
      </c>
      <c r="L103" s="16" t="str">
        <f>IF(Data!G93="","",IF(Data!G93=Data_Val!$C$2,IF(Data!L93="",0,1),0))</f>
        <v/>
      </c>
      <c r="M103" s="16" t="str">
        <f>IF(Data!L93="","",IF(ISNUMBER(MATCH(Data!M93,Data_Val!$A$2:$A$3,0)),0,1))</f>
        <v/>
      </c>
      <c r="N103" s="43" t="str">
        <f ca="1">IF(Data!L93="","",IF(ISNUMBER(Data!N93),IF(AND(Data!N93&gt;(TODAY()-(Data_Val!$L$3*365.25)),Data!N93&lt;=(TODAY()-(Data_Val!$L$2*365.25))),0,1),1))</f>
        <v/>
      </c>
      <c r="O103" s="18" t="str">
        <f>IF(Data!$G93="","",IF(Data!$G93=Data_Val!$C$2,IF(Data!O93="",0,1),0))</f>
        <v/>
      </c>
      <c r="P103" s="18" t="str">
        <f>IF(Data!O93="","",IF(ISNUMBER(MATCH(Data!P93,Data_Val!$A$2:$A$3,0)),0,1))</f>
        <v/>
      </c>
      <c r="Q103" s="44" t="str">
        <f ca="1">IF(Data!O93="","",IF(ISNUMBER(Data!Q93),IF(AND(Data!Q93&gt;(TODAY()-(Data_Val!$L$3*365.25)),Data!Q93&lt;=(TODAY()-(Data_Val!$L$2*365.25))),0,1),1))</f>
        <v/>
      </c>
    </row>
    <row r="104" spans="1:17" ht="12" customHeight="1" x14ac:dyDescent="0.25">
      <c r="A104" s="36" t="str">
        <f>IF(Data!B94="","",IF(COUNTIFS(Data!A$1:'Data'!A94,Data!A94)&lt;=1,0,1))</f>
        <v/>
      </c>
      <c r="B104" s="36"/>
      <c r="C104" s="36" t="str">
        <f>IF(Data!C94="","",(IF(ISNUMBER(MATCH("*@*.?*",Data!C94,0)),0,1)+IF(COUNTIFS(Data!C$1:'Data'!C94,Data!C94)&gt;1,1,0)))</f>
        <v/>
      </c>
      <c r="D104" s="36" t="str">
        <f>IF(Data!B94="","",IF(ISNUMBER(Data!D94),IF(AND(Data!D94&gt;999999999,Data!D94&lt;=9999999999),IF(COUNTIFS(Data!D$1:'Data'!D94,Data!D94)&lt;=1,0,1),1),1))</f>
        <v/>
      </c>
      <c r="E104" s="36" t="str">
        <f>IF(Data!B94="","",IF(ISNUMBER(MATCH(Data!E94,Data_Val!$A$2:$A$3,0)),0,1))</f>
        <v/>
      </c>
      <c r="F104" s="36" t="str">
        <f ca="1">IF(Data!B94="","",IF(ISNUMBER(Data!F94),IF(AND(Data!F94&gt;(TODAY()-(Data_Val!$H$3*365.25)),Data!F94&lt;=(TODAY()-(Data_Val!$H$2*365.25))),0,1),1))</f>
        <v/>
      </c>
      <c r="G104" s="12" t="str">
        <f>IF(Data!B94="","",IF(AND(Data!G94="",Data!H94&lt;&gt;""),1,IF(ISNUMBER(MATCH(Data!G94,Data_Val!$C$2:$C$5,0)),0,1)))</f>
        <v/>
      </c>
      <c r="H104" s="12" t="str">
        <f>IF(Data!B94="","",IF(AND(Data!G94&lt;&gt;"",Data!H94=""),1,IF(Data!G94="",1,IF(ISNUMBER(MATCH(Data!H94,Data_Val!$D$2:$D$35,0)),0,1))))</f>
        <v/>
      </c>
      <c r="I104" s="38" t="str">
        <f>IF(Data!G94="","",IF(Data!G94=Data_Val!$C$2,IF(Data!I94="",0,1),0))</f>
        <v/>
      </c>
      <c r="J104" s="38" t="str">
        <f>IF(Data!I94="","",IF(ISNUMBER(MATCH(Data!J94,Data_Val!$A$2:$A$3,0)),0,1))</f>
        <v/>
      </c>
      <c r="K104" s="38" t="str">
        <f ca="1">IF(Data!I94="","",IF(ISNUMBER(Data!K94),IF(AND(Data!K94&gt;(TODAY()-(Data_Val!$K$3*365.25)),Data!K94&lt;=(TODAY()-(Data_Val!$K$2*365.25))),0,1),1))</f>
        <v/>
      </c>
      <c r="L104" s="16" t="str">
        <f>IF(Data!G94="","",IF(Data!G94=Data_Val!$C$2,IF(Data!L94="",0,1),0))</f>
        <v/>
      </c>
      <c r="M104" s="16" t="str">
        <f>IF(Data!L94="","",IF(ISNUMBER(MATCH(Data!M94,Data_Val!$A$2:$A$3,0)),0,1))</f>
        <v/>
      </c>
      <c r="N104" s="43" t="str">
        <f ca="1">IF(Data!L94="","",IF(ISNUMBER(Data!N94),IF(AND(Data!N94&gt;(TODAY()-(Data_Val!$L$3*365.25)),Data!N94&lt;=(TODAY()-(Data_Val!$L$2*365.25))),0,1),1))</f>
        <v/>
      </c>
      <c r="O104" s="18" t="str">
        <f>IF(Data!$G94="","",IF(Data!$G94=Data_Val!$C$2,IF(Data!O94="",0,1),0))</f>
        <v/>
      </c>
      <c r="P104" s="18" t="str">
        <f>IF(Data!O94="","",IF(ISNUMBER(MATCH(Data!P94,Data_Val!$A$2:$A$3,0)),0,1))</f>
        <v/>
      </c>
      <c r="Q104" s="44" t="str">
        <f ca="1">IF(Data!O94="","",IF(ISNUMBER(Data!Q94),IF(AND(Data!Q94&gt;(TODAY()-(Data_Val!$L$3*365.25)),Data!Q94&lt;=(TODAY()-(Data_Val!$L$2*365.25))),0,1),1))</f>
        <v/>
      </c>
    </row>
    <row r="105" spans="1:17" ht="12" customHeight="1" x14ac:dyDescent="0.25">
      <c r="A105" s="36" t="str">
        <f>IF(Data!B95="","",IF(COUNTIFS(Data!A$1:'Data'!A95,Data!A95)&lt;=1,0,1))</f>
        <v/>
      </c>
      <c r="B105" s="36"/>
      <c r="C105" s="36" t="str">
        <f>IF(Data!C95="","",(IF(ISNUMBER(MATCH("*@*.?*",Data!C95,0)),0,1)+IF(COUNTIFS(Data!C$1:'Data'!C95,Data!C95)&gt;1,1,0)))</f>
        <v/>
      </c>
      <c r="D105" s="36" t="str">
        <f>IF(Data!B95="","",IF(ISNUMBER(Data!D95),IF(AND(Data!D95&gt;999999999,Data!D95&lt;=9999999999),IF(COUNTIFS(Data!D$1:'Data'!D95,Data!D95)&lt;=1,0,1),1),1))</f>
        <v/>
      </c>
      <c r="E105" s="36" t="str">
        <f>IF(Data!B95="","",IF(ISNUMBER(MATCH(Data!E95,Data_Val!$A$2:$A$3,0)),0,1))</f>
        <v/>
      </c>
      <c r="F105" s="36" t="str">
        <f ca="1">IF(Data!B95="","",IF(ISNUMBER(Data!F95),IF(AND(Data!F95&gt;(TODAY()-(Data_Val!$H$3*365.25)),Data!F95&lt;=(TODAY()-(Data_Val!$H$2*365.25))),0,1),1))</f>
        <v/>
      </c>
      <c r="G105" s="12" t="str">
        <f>IF(Data!B95="","",IF(AND(Data!G95="",Data!H95&lt;&gt;""),1,IF(ISNUMBER(MATCH(Data!G95,Data_Val!$C$2:$C$5,0)),0,1)))</f>
        <v/>
      </c>
      <c r="H105" s="12" t="str">
        <f>IF(Data!B95="","",IF(AND(Data!G95&lt;&gt;"",Data!H95=""),1,IF(Data!G95="",1,IF(ISNUMBER(MATCH(Data!H95,Data_Val!$D$2:$D$35,0)),0,1))))</f>
        <v/>
      </c>
      <c r="I105" s="38" t="str">
        <f>IF(Data!G95="","",IF(Data!G95=Data_Val!$C$2,IF(Data!I95="",0,1),0))</f>
        <v/>
      </c>
      <c r="J105" s="38" t="str">
        <f>IF(Data!I95="","",IF(ISNUMBER(MATCH(Data!J95,Data_Val!$A$2:$A$3,0)),0,1))</f>
        <v/>
      </c>
      <c r="K105" s="38" t="str">
        <f ca="1">IF(Data!I95="","",IF(ISNUMBER(Data!K95),IF(AND(Data!K95&gt;(TODAY()-(Data_Val!$K$3*365.25)),Data!K95&lt;=(TODAY()-(Data_Val!$K$2*365.25))),0,1),1))</f>
        <v/>
      </c>
      <c r="L105" s="16" t="str">
        <f>IF(Data!G95="","",IF(Data!G95=Data_Val!$C$2,IF(Data!L95="",0,1),0))</f>
        <v/>
      </c>
      <c r="M105" s="16" t="str">
        <f>IF(Data!L95="","",IF(ISNUMBER(MATCH(Data!M95,Data_Val!$A$2:$A$3,0)),0,1))</f>
        <v/>
      </c>
      <c r="N105" s="43" t="str">
        <f ca="1">IF(Data!L95="","",IF(ISNUMBER(Data!N95),IF(AND(Data!N95&gt;(TODAY()-(Data_Val!$L$3*365.25)),Data!N95&lt;=(TODAY()-(Data_Val!$L$2*365.25))),0,1),1))</f>
        <v/>
      </c>
      <c r="O105" s="18" t="str">
        <f>IF(Data!$G95="","",IF(Data!$G95=Data_Val!$C$2,IF(Data!O95="",0,1),0))</f>
        <v/>
      </c>
      <c r="P105" s="18" t="str">
        <f>IF(Data!O95="","",IF(ISNUMBER(MATCH(Data!P95,Data_Val!$A$2:$A$3,0)),0,1))</f>
        <v/>
      </c>
      <c r="Q105" s="44" t="str">
        <f ca="1">IF(Data!O95="","",IF(ISNUMBER(Data!Q95),IF(AND(Data!Q95&gt;(TODAY()-(Data_Val!$L$3*365.25)),Data!Q95&lt;=(TODAY()-(Data_Val!$L$2*365.25))),0,1),1))</f>
        <v/>
      </c>
    </row>
    <row r="106" spans="1:17" ht="12" customHeight="1" x14ac:dyDescent="0.25">
      <c r="A106" s="36" t="str">
        <f>IF(Data!B96="","",IF(COUNTIFS(Data!A$1:'Data'!A96,Data!A96)&lt;=1,0,1))</f>
        <v/>
      </c>
      <c r="B106" s="36"/>
      <c r="C106" s="36" t="str">
        <f>IF(Data!C96="","",(IF(ISNUMBER(MATCH("*@*.?*",Data!C96,0)),0,1)+IF(COUNTIFS(Data!C$1:'Data'!C96,Data!C96)&gt;1,1,0)))</f>
        <v/>
      </c>
      <c r="D106" s="36" t="str">
        <f>IF(Data!B96="","",IF(ISNUMBER(Data!D96),IF(AND(Data!D96&gt;999999999,Data!D96&lt;=9999999999),IF(COUNTIFS(Data!D$1:'Data'!D96,Data!D96)&lt;=1,0,1),1),1))</f>
        <v/>
      </c>
      <c r="E106" s="36" t="str">
        <f>IF(Data!B96="","",IF(ISNUMBER(MATCH(Data!E96,Data_Val!$A$2:$A$3,0)),0,1))</f>
        <v/>
      </c>
      <c r="F106" s="36" t="str">
        <f ca="1">IF(Data!B96="","",IF(ISNUMBER(Data!F96),IF(AND(Data!F96&gt;(TODAY()-(Data_Val!$H$3*365.25)),Data!F96&lt;=(TODAY()-(Data_Val!$H$2*365.25))),0,1),1))</f>
        <v/>
      </c>
      <c r="G106" s="12" t="str">
        <f>IF(Data!B96="","",IF(AND(Data!G96="",Data!H96&lt;&gt;""),1,IF(ISNUMBER(MATCH(Data!G96,Data_Val!$C$2:$C$5,0)),0,1)))</f>
        <v/>
      </c>
      <c r="H106" s="12" t="str">
        <f>IF(Data!B96="","",IF(AND(Data!G96&lt;&gt;"",Data!H96=""),1,IF(Data!G96="",1,IF(ISNUMBER(MATCH(Data!H96,Data_Val!$D$2:$D$35,0)),0,1))))</f>
        <v/>
      </c>
      <c r="I106" s="38" t="str">
        <f>IF(Data!G96="","",IF(Data!G96=Data_Val!$C$2,IF(Data!I96="",0,1),0))</f>
        <v/>
      </c>
      <c r="J106" s="38" t="str">
        <f>IF(Data!I96="","",IF(ISNUMBER(MATCH(Data!J96,Data_Val!$A$2:$A$3,0)),0,1))</f>
        <v/>
      </c>
      <c r="K106" s="38" t="str">
        <f ca="1">IF(Data!I96="","",IF(ISNUMBER(Data!K96),IF(AND(Data!K96&gt;(TODAY()-(Data_Val!$K$3*365.25)),Data!K96&lt;=(TODAY()-(Data_Val!$K$2*365.25))),0,1),1))</f>
        <v/>
      </c>
      <c r="L106" s="16" t="str">
        <f>IF(Data!G96="","",IF(Data!G96=Data_Val!$C$2,IF(Data!L96="",0,1),0))</f>
        <v/>
      </c>
      <c r="M106" s="16" t="str">
        <f>IF(Data!L96="","",IF(ISNUMBER(MATCH(Data!M96,Data_Val!$A$2:$A$3,0)),0,1))</f>
        <v/>
      </c>
      <c r="N106" s="43" t="str">
        <f ca="1">IF(Data!L96="","",IF(ISNUMBER(Data!N96),IF(AND(Data!N96&gt;(TODAY()-(Data_Val!$L$3*365.25)),Data!N96&lt;=(TODAY()-(Data_Val!$L$2*365.25))),0,1),1))</f>
        <v/>
      </c>
      <c r="O106" s="18" t="str">
        <f>IF(Data!$G96="","",IF(Data!$G96=Data_Val!$C$2,IF(Data!O96="",0,1),0))</f>
        <v/>
      </c>
      <c r="P106" s="18" t="str">
        <f>IF(Data!O96="","",IF(ISNUMBER(MATCH(Data!P96,Data_Val!$A$2:$A$3,0)),0,1))</f>
        <v/>
      </c>
      <c r="Q106" s="44" t="str">
        <f ca="1">IF(Data!O96="","",IF(ISNUMBER(Data!Q96),IF(AND(Data!Q96&gt;(TODAY()-(Data_Val!$L$3*365.25)),Data!Q96&lt;=(TODAY()-(Data_Val!$L$2*365.25))),0,1),1))</f>
        <v/>
      </c>
    </row>
    <row r="107" spans="1:17" ht="12" customHeight="1" x14ac:dyDescent="0.25">
      <c r="A107" s="36" t="str">
        <f>IF(Data!B97="","",IF(COUNTIFS(Data!A$1:'Data'!A97,Data!A97)&lt;=1,0,1))</f>
        <v/>
      </c>
      <c r="B107" s="36"/>
      <c r="C107" s="36" t="str">
        <f>IF(Data!C97="","",(IF(ISNUMBER(MATCH("*@*.?*",Data!C97,0)),0,1)+IF(COUNTIFS(Data!C$1:'Data'!C97,Data!C97)&gt;1,1,0)))</f>
        <v/>
      </c>
      <c r="D107" s="36" t="str">
        <f>IF(Data!B97="","",IF(ISNUMBER(Data!D97),IF(AND(Data!D97&gt;999999999,Data!D97&lt;=9999999999),IF(COUNTIFS(Data!D$1:'Data'!D97,Data!D97)&lt;=1,0,1),1),1))</f>
        <v/>
      </c>
      <c r="E107" s="36" t="str">
        <f>IF(Data!B97="","",IF(ISNUMBER(MATCH(Data!E97,Data_Val!$A$2:$A$3,0)),0,1))</f>
        <v/>
      </c>
      <c r="F107" s="36" t="str">
        <f ca="1">IF(Data!B97="","",IF(ISNUMBER(Data!F97),IF(AND(Data!F97&gt;(TODAY()-(Data_Val!$H$3*365.25)),Data!F97&lt;=(TODAY()-(Data_Val!$H$2*365.25))),0,1),1))</f>
        <v/>
      </c>
      <c r="G107" s="12" t="str">
        <f>IF(Data!B97="","",IF(AND(Data!G97="",Data!H97&lt;&gt;""),1,IF(ISNUMBER(MATCH(Data!G97,Data_Val!$C$2:$C$5,0)),0,1)))</f>
        <v/>
      </c>
      <c r="H107" s="12" t="str">
        <f>IF(Data!B97="","",IF(AND(Data!G97&lt;&gt;"",Data!H97=""),1,IF(Data!G97="",1,IF(ISNUMBER(MATCH(Data!H97,Data_Val!$D$2:$D$35,0)),0,1))))</f>
        <v/>
      </c>
      <c r="I107" s="38" t="str">
        <f>IF(Data!G97="","",IF(Data!G97=Data_Val!$C$2,IF(Data!I97="",0,1),0))</f>
        <v/>
      </c>
      <c r="J107" s="38" t="str">
        <f>IF(Data!I97="","",IF(ISNUMBER(MATCH(Data!J97,Data_Val!$A$2:$A$3,0)),0,1))</f>
        <v/>
      </c>
      <c r="K107" s="38" t="str">
        <f ca="1">IF(Data!I97="","",IF(ISNUMBER(Data!K97),IF(AND(Data!K97&gt;(TODAY()-(Data_Val!$K$3*365.25)),Data!K97&lt;=(TODAY()-(Data_Val!$K$2*365.25))),0,1),1))</f>
        <v/>
      </c>
      <c r="L107" s="16" t="str">
        <f>IF(Data!G97="","",IF(Data!G97=Data_Val!$C$2,IF(Data!L97="",0,1),0))</f>
        <v/>
      </c>
      <c r="M107" s="16" t="str">
        <f>IF(Data!L97="","",IF(ISNUMBER(MATCH(Data!M97,Data_Val!$A$2:$A$3,0)),0,1))</f>
        <v/>
      </c>
      <c r="N107" s="43" t="str">
        <f ca="1">IF(Data!L97="","",IF(ISNUMBER(Data!N97),IF(AND(Data!N97&gt;(TODAY()-(Data_Val!$L$3*365.25)),Data!N97&lt;=(TODAY()-(Data_Val!$L$2*365.25))),0,1),1))</f>
        <v/>
      </c>
      <c r="O107" s="18" t="str">
        <f>IF(Data!$G97="","",IF(Data!$G97=Data_Val!$C$2,IF(Data!O97="",0,1),0))</f>
        <v/>
      </c>
      <c r="P107" s="18" t="str">
        <f>IF(Data!O97="","",IF(ISNUMBER(MATCH(Data!P97,Data_Val!$A$2:$A$3,0)),0,1))</f>
        <v/>
      </c>
      <c r="Q107" s="44" t="str">
        <f ca="1">IF(Data!O97="","",IF(ISNUMBER(Data!Q97),IF(AND(Data!Q97&gt;(TODAY()-(Data_Val!$L$3*365.25)),Data!Q97&lt;=(TODAY()-(Data_Val!$L$2*365.25))),0,1),1))</f>
        <v/>
      </c>
    </row>
    <row r="108" spans="1:17" ht="12" customHeight="1" x14ac:dyDescent="0.25">
      <c r="A108" s="36" t="str">
        <f>IF(Data!B98="","",IF(COUNTIFS(Data!A$1:'Data'!A98,Data!A98)&lt;=1,0,1))</f>
        <v/>
      </c>
      <c r="B108" s="36"/>
      <c r="C108" s="36" t="str">
        <f>IF(Data!C98="","",(IF(ISNUMBER(MATCH("*@*.?*",Data!C98,0)),0,1)+IF(COUNTIFS(Data!C$1:'Data'!C98,Data!C98)&gt;1,1,0)))</f>
        <v/>
      </c>
      <c r="D108" s="36" t="str">
        <f>IF(Data!B98="","",IF(ISNUMBER(Data!D98),IF(AND(Data!D98&gt;999999999,Data!D98&lt;=9999999999),IF(COUNTIFS(Data!D$1:'Data'!D98,Data!D98)&lt;=1,0,1),1),1))</f>
        <v/>
      </c>
      <c r="E108" s="36" t="str">
        <f>IF(Data!B98="","",IF(ISNUMBER(MATCH(Data!E98,Data_Val!$A$2:$A$3,0)),0,1))</f>
        <v/>
      </c>
      <c r="F108" s="36" t="str">
        <f ca="1">IF(Data!B98="","",IF(ISNUMBER(Data!F98),IF(AND(Data!F98&gt;(TODAY()-(Data_Val!$H$3*365.25)),Data!F98&lt;=(TODAY()-(Data_Val!$H$2*365.25))),0,1),1))</f>
        <v/>
      </c>
      <c r="G108" s="12" t="str">
        <f>IF(Data!B98="","",IF(AND(Data!G98="",Data!H98&lt;&gt;""),1,IF(ISNUMBER(MATCH(Data!G98,Data_Val!$C$2:$C$5,0)),0,1)))</f>
        <v/>
      </c>
      <c r="H108" s="12" t="str">
        <f>IF(Data!B98="","",IF(AND(Data!G98&lt;&gt;"",Data!H98=""),1,IF(Data!G98="",1,IF(ISNUMBER(MATCH(Data!H98,Data_Val!$D$2:$D$35,0)),0,1))))</f>
        <v/>
      </c>
      <c r="I108" s="38" t="str">
        <f>IF(Data!G98="","",IF(Data!G98=Data_Val!$C$2,IF(Data!I98="",0,1),0))</f>
        <v/>
      </c>
      <c r="J108" s="38" t="str">
        <f>IF(Data!I98="","",IF(ISNUMBER(MATCH(Data!J98,Data_Val!$A$2:$A$3,0)),0,1))</f>
        <v/>
      </c>
      <c r="K108" s="38" t="str">
        <f ca="1">IF(Data!I98="","",IF(ISNUMBER(Data!K98),IF(AND(Data!K98&gt;(TODAY()-(Data_Val!$K$3*365.25)),Data!K98&lt;=(TODAY()-(Data_Val!$K$2*365.25))),0,1),1))</f>
        <v/>
      </c>
      <c r="L108" s="16" t="str">
        <f>IF(Data!G98="","",IF(Data!G98=Data_Val!$C$2,IF(Data!L98="",0,1),0))</f>
        <v/>
      </c>
      <c r="M108" s="16" t="str">
        <f>IF(Data!L98="","",IF(ISNUMBER(MATCH(Data!M98,Data_Val!$A$2:$A$3,0)),0,1))</f>
        <v/>
      </c>
      <c r="N108" s="43" t="str">
        <f ca="1">IF(Data!L98="","",IF(ISNUMBER(Data!N98),IF(AND(Data!N98&gt;(TODAY()-(Data_Val!$L$3*365.25)),Data!N98&lt;=(TODAY()-(Data_Val!$L$2*365.25))),0,1),1))</f>
        <v/>
      </c>
      <c r="O108" s="18" t="str">
        <f>IF(Data!$G98="","",IF(Data!$G98=Data_Val!$C$2,IF(Data!O98="",0,1),0))</f>
        <v/>
      </c>
      <c r="P108" s="18" t="str">
        <f>IF(Data!O98="","",IF(ISNUMBER(MATCH(Data!P98,Data_Val!$A$2:$A$3,0)),0,1))</f>
        <v/>
      </c>
      <c r="Q108" s="44" t="str">
        <f ca="1">IF(Data!O98="","",IF(ISNUMBER(Data!Q98),IF(AND(Data!Q98&gt;(TODAY()-(Data_Val!$L$3*365.25)),Data!Q98&lt;=(TODAY()-(Data_Val!$L$2*365.25))),0,1),1))</f>
        <v/>
      </c>
    </row>
    <row r="109" spans="1:17" ht="12" customHeight="1" x14ac:dyDescent="0.25">
      <c r="A109" s="36" t="str">
        <f>IF(Data!B99="","",IF(COUNTIFS(Data!A$1:'Data'!A99,Data!A99)&lt;=1,0,1))</f>
        <v/>
      </c>
      <c r="B109" s="36"/>
      <c r="C109" s="36" t="str">
        <f>IF(Data!C99="","",(IF(ISNUMBER(MATCH("*@*.?*",Data!C99,0)),0,1)+IF(COUNTIFS(Data!C$1:'Data'!C99,Data!C99)&gt;1,1,0)))</f>
        <v/>
      </c>
      <c r="D109" s="36" t="str">
        <f>IF(Data!B99="","",IF(ISNUMBER(Data!D99),IF(AND(Data!D99&gt;999999999,Data!D99&lt;=9999999999),IF(COUNTIFS(Data!D$1:'Data'!D99,Data!D99)&lt;=1,0,1),1),1))</f>
        <v/>
      </c>
      <c r="E109" s="36" t="str">
        <f>IF(Data!B99="","",IF(ISNUMBER(MATCH(Data!E99,Data_Val!$A$2:$A$3,0)),0,1))</f>
        <v/>
      </c>
      <c r="F109" s="36" t="str">
        <f ca="1">IF(Data!B99="","",IF(ISNUMBER(Data!F99),IF(AND(Data!F99&gt;(TODAY()-(Data_Val!$H$3*365.25)),Data!F99&lt;=(TODAY()-(Data_Val!$H$2*365.25))),0,1),1))</f>
        <v/>
      </c>
      <c r="G109" s="12" t="str">
        <f>IF(Data!B99="","",IF(AND(Data!G99="",Data!H99&lt;&gt;""),1,IF(ISNUMBER(MATCH(Data!G99,Data_Val!$C$2:$C$5,0)),0,1)))</f>
        <v/>
      </c>
      <c r="H109" s="12" t="str">
        <f>IF(Data!B99="","",IF(AND(Data!G99&lt;&gt;"",Data!H99=""),1,IF(Data!G99="",1,IF(ISNUMBER(MATCH(Data!H99,Data_Val!$D$2:$D$35,0)),0,1))))</f>
        <v/>
      </c>
      <c r="I109" s="38" t="str">
        <f>IF(Data!G99="","",IF(Data!G99=Data_Val!$C$2,IF(Data!I99="",0,1),0))</f>
        <v/>
      </c>
      <c r="J109" s="38" t="str">
        <f>IF(Data!I99="","",IF(ISNUMBER(MATCH(Data!J99,Data_Val!$A$2:$A$3,0)),0,1))</f>
        <v/>
      </c>
      <c r="K109" s="38" t="str">
        <f ca="1">IF(Data!I99="","",IF(ISNUMBER(Data!K99),IF(AND(Data!K99&gt;(TODAY()-(Data_Val!$K$3*365.25)),Data!K99&lt;=(TODAY()-(Data_Val!$K$2*365.25))),0,1),1))</f>
        <v/>
      </c>
      <c r="L109" s="16" t="str">
        <f>IF(Data!G99="","",IF(Data!G99=Data_Val!$C$2,IF(Data!L99="",0,1),0))</f>
        <v/>
      </c>
      <c r="M109" s="16" t="str">
        <f>IF(Data!L99="","",IF(ISNUMBER(MATCH(Data!M99,Data_Val!$A$2:$A$3,0)),0,1))</f>
        <v/>
      </c>
      <c r="N109" s="43" t="str">
        <f ca="1">IF(Data!L99="","",IF(ISNUMBER(Data!N99),IF(AND(Data!N99&gt;(TODAY()-(Data_Val!$L$3*365.25)),Data!N99&lt;=(TODAY()-(Data_Val!$L$2*365.25))),0,1),1))</f>
        <v/>
      </c>
      <c r="O109" s="18" t="str">
        <f>IF(Data!$G99="","",IF(Data!$G99=Data_Val!$C$2,IF(Data!O99="",0,1),0))</f>
        <v/>
      </c>
      <c r="P109" s="18" t="str">
        <f>IF(Data!O99="","",IF(ISNUMBER(MATCH(Data!P99,Data_Val!$A$2:$A$3,0)),0,1))</f>
        <v/>
      </c>
      <c r="Q109" s="44" t="str">
        <f ca="1">IF(Data!O99="","",IF(ISNUMBER(Data!Q99),IF(AND(Data!Q99&gt;(TODAY()-(Data_Val!$L$3*365.25)),Data!Q99&lt;=(TODAY()-(Data_Val!$L$2*365.25))),0,1),1))</f>
        <v/>
      </c>
    </row>
    <row r="110" spans="1:17" ht="12" customHeight="1" x14ac:dyDescent="0.25">
      <c r="A110" s="36" t="str">
        <f>IF(Data!B100="","",IF(COUNTIFS(Data!A$1:'Data'!A100,Data!A100)&lt;=1,0,1))</f>
        <v/>
      </c>
      <c r="B110" s="36"/>
      <c r="C110" s="36" t="str">
        <f>IF(Data!C100="","",(IF(ISNUMBER(MATCH("*@*.?*",Data!C100,0)),0,1)+IF(COUNTIFS(Data!C$1:'Data'!C100,Data!C100)&gt;1,1,0)))</f>
        <v/>
      </c>
      <c r="D110" s="36" t="str">
        <f>IF(Data!B100="","",IF(ISNUMBER(Data!D100),IF(AND(Data!D100&gt;999999999,Data!D100&lt;=9999999999),IF(COUNTIFS(Data!D$1:'Data'!D100,Data!D100)&lt;=1,0,1),1),1))</f>
        <v/>
      </c>
      <c r="E110" s="36" t="str">
        <f>IF(Data!B100="","",IF(ISNUMBER(MATCH(Data!E100,Data_Val!$A$2:$A$3,0)),0,1))</f>
        <v/>
      </c>
      <c r="F110" s="36" t="str">
        <f ca="1">IF(Data!B100="","",IF(ISNUMBER(Data!F100),IF(AND(Data!F100&gt;(TODAY()-(Data_Val!$H$3*365.25)),Data!F100&lt;=(TODAY()-(Data_Val!$H$2*365.25))),0,1),1))</f>
        <v/>
      </c>
      <c r="G110" s="12" t="str">
        <f>IF(Data!B100="","",IF(AND(Data!G100="",Data!H100&lt;&gt;""),1,IF(ISNUMBER(MATCH(Data!G100,Data_Val!$C$2:$C$5,0)),0,1)))</f>
        <v/>
      </c>
      <c r="H110" s="12" t="str">
        <f>IF(Data!B100="","",IF(AND(Data!G100&lt;&gt;"",Data!H100=""),1,IF(Data!G100="",1,IF(ISNUMBER(MATCH(Data!H100,Data_Val!$D$2:$D$35,0)),0,1))))</f>
        <v/>
      </c>
      <c r="I110" s="38" t="str">
        <f>IF(Data!G100="","",IF(Data!G100=Data_Val!$C$2,IF(Data!I100="",0,1),0))</f>
        <v/>
      </c>
      <c r="J110" s="38" t="str">
        <f>IF(Data!I100="","",IF(ISNUMBER(MATCH(Data!J100,Data_Val!$A$2:$A$3,0)),0,1))</f>
        <v/>
      </c>
      <c r="K110" s="38" t="str">
        <f ca="1">IF(Data!I100="","",IF(ISNUMBER(Data!K100),IF(AND(Data!K100&gt;(TODAY()-(Data_Val!$K$3*365.25)),Data!K100&lt;=(TODAY()-(Data_Val!$K$2*365.25))),0,1),1))</f>
        <v/>
      </c>
      <c r="L110" s="16" t="str">
        <f>IF(Data!G100="","",IF(Data!G100=Data_Val!$C$2,IF(Data!L100="",0,1),0))</f>
        <v/>
      </c>
      <c r="M110" s="16" t="str">
        <f>IF(Data!L100="","",IF(ISNUMBER(MATCH(Data!M100,Data_Val!$A$2:$A$3,0)),0,1))</f>
        <v/>
      </c>
      <c r="N110" s="43" t="str">
        <f ca="1">IF(Data!L100="","",IF(ISNUMBER(Data!N100),IF(AND(Data!N100&gt;(TODAY()-(Data_Val!$L$3*365.25)),Data!N100&lt;=(TODAY()-(Data_Val!$L$2*365.25))),0,1),1))</f>
        <v/>
      </c>
      <c r="O110" s="18" t="str">
        <f>IF(Data!$G100="","",IF(Data!$G100=Data_Val!$C$2,IF(Data!O100="",0,1),0))</f>
        <v/>
      </c>
      <c r="P110" s="18" t="str">
        <f>IF(Data!O100="","",IF(ISNUMBER(MATCH(Data!P100,Data_Val!$A$2:$A$3,0)),0,1))</f>
        <v/>
      </c>
      <c r="Q110" s="44" t="str">
        <f ca="1">IF(Data!O100="","",IF(ISNUMBER(Data!Q100),IF(AND(Data!Q100&gt;(TODAY()-(Data_Val!$L$3*365.25)),Data!Q100&lt;=(TODAY()-(Data_Val!$L$2*365.25))),0,1),1))</f>
        <v/>
      </c>
    </row>
    <row r="111" spans="1:17" ht="12" customHeight="1" x14ac:dyDescent="0.25">
      <c r="A111" s="36" t="str">
        <f>IF(Data!B101="","",IF(COUNTIFS(Data!A$1:'Data'!A101,Data!A101)&lt;=1,0,1))</f>
        <v/>
      </c>
      <c r="B111" s="36"/>
      <c r="C111" s="36" t="str">
        <f>IF(Data!C101="","",(IF(ISNUMBER(MATCH("*@*.?*",Data!C101,0)),0,1)+IF(COUNTIFS(Data!C$1:'Data'!C101,Data!C101)&gt;1,1,0)))</f>
        <v/>
      </c>
      <c r="D111" s="36" t="str">
        <f>IF(Data!B101="","",IF(ISNUMBER(Data!D101),IF(AND(Data!D101&gt;999999999,Data!D101&lt;=9999999999),IF(COUNTIFS(Data!D$1:'Data'!D101,Data!D101)&lt;=1,0,1),1),1))</f>
        <v/>
      </c>
      <c r="E111" s="36" t="str">
        <f>IF(Data!B101="","",IF(ISNUMBER(MATCH(Data!E101,Data_Val!$A$2:$A$3,0)),0,1))</f>
        <v/>
      </c>
      <c r="F111" s="36" t="str">
        <f ca="1">IF(Data!B101="","",IF(ISNUMBER(Data!F101),IF(AND(Data!F101&gt;(TODAY()-(Data_Val!$H$3*365.25)),Data!F101&lt;=(TODAY()-(Data_Val!$H$2*365.25))),0,1),1))</f>
        <v/>
      </c>
      <c r="G111" s="12" t="str">
        <f>IF(Data!B101="","",IF(AND(Data!G101="",Data!H101&lt;&gt;""),1,IF(ISNUMBER(MATCH(Data!G101,Data_Val!$C$2:$C$5,0)),0,1)))</f>
        <v/>
      </c>
      <c r="H111" s="12" t="str">
        <f>IF(Data!B101="","",IF(AND(Data!G101&lt;&gt;"",Data!H101=""),1,IF(Data!G101="",1,IF(ISNUMBER(MATCH(Data!H101,Data_Val!$D$2:$D$35,0)),0,1))))</f>
        <v/>
      </c>
      <c r="I111" s="38" t="str">
        <f>IF(Data!G101="","",IF(Data!G101=Data_Val!$C$2,IF(Data!I101="",0,1),0))</f>
        <v/>
      </c>
      <c r="J111" s="38" t="str">
        <f>IF(Data!I101="","",IF(ISNUMBER(MATCH(Data!J101,Data_Val!$A$2:$A$3,0)),0,1))</f>
        <v/>
      </c>
      <c r="K111" s="38" t="str">
        <f ca="1">IF(Data!I101="","",IF(ISNUMBER(Data!K101),IF(AND(Data!K101&gt;(TODAY()-(Data_Val!$K$3*365.25)),Data!K101&lt;=(TODAY()-(Data_Val!$K$2*365.25))),0,1),1))</f>
        <v/>
      </c>
      <c r="L111" s="16" t="str">
        <f>IF(Data!G101="","",IF(Data!G101=Data_Val!$C$2,IF(Data!L101="",0,1),0))</f>
        <v/>
      </c>
      <c r="M111" s="16" t="str">
        <f>IF(Data!L101="","",IF(ISNUMBER(MATCH(Data!M101,Data_Val!$A$2:$A$3,0)),0,1))</f>
        <v/>
      </c>
      <c r="N111" s="43" t="str">
        <f ca="1">IF(Data!L101="","",IF(ISNUMBER(Data!N101),IF(AND(Data!N101&gt;(TODAY()-(Data_Val!$L$3*365.25)),Data!N101&lt;=(TODAY()-(Data_Val!$L$2*365.25))),0,1),1))</f>
        <v/>
      </c>
      <c r="O111" s="18" t="str">
        <f>IF(Data!$G101="","",IF(Data!$G101=Data_Val!$C$2,IF(Data!O101="",0,1),0))</f>
        <v/>
      </c>
      <c r="P111" s="18" t="str">
        <f>IF(Data!O101="","",IF(ISNUMBER(MATCH(Data!P101,Data_Val!$A$2:$A$3,0)),0,1))</f>
        <v/>
      </c>
      <c r="Q111" s="44" t="str">
        <f ca="1">IF(Data!O101="","",IF(ISNUMBER(Data!Q101),IF(AND(Data!Q101&gt;(TODAY()-(Data_Val!$L$3*365.25)),Data!Q101&lt;=(TODAY()-(Data_Val!$L$2*365.25))),0,1),1))</f>
        <v/>
      </c>
    </row>
    <row r="112" spans="1:17" ht="12" customHeight="1" x14ac:dyDescent="0.25">
      <c r="A112" s="36" t="str">
        <f>IF(Data!B102="","",IF(COUNTIFS(Data!A$1:'Data'!A102,Data!A102)&lt;=1,0,1))</f>
        <v/>
      </c>
      <c r="B112" s="36"/>
      <c r="C112" s="36" t="str">
        <f>IF(Data!C102="","",(IF(ISNUMBER(MATCH("*@*.?*",Data!C102,0)),0,1)+IF(COUNTIFS(Data!C$1:'Data'!C102,Data!C102)&gt;1,1,0)))</f>
        <v/>
      </c>
      <c r="D112" s="36" t="str">
        <f>IF(Data!B102="","",IF(ISNUMBER(Data!D102),IF(AND(Data!D102&gt;999999999,Data!D102&lt;=9999999999),IF(COUNTIFS(Data!D$1:'Data'!D102,Data!D102)&lt;=1,0,1),1),1))</f>
        <v/>
      </c>
      <c r="E112" s="36" t="str">
        <f>IF(Data!B102="","",IF(ISNUMBER(MATCH(Data!E102,Data_Val!$A$2:$A$3,0)),0,1))</f>
        <v/>
      </c>
      <c r="F112" s="36" t="str">
        <f ca="1">IF(Data!B102="","",IF(ISNUMBER(Data!F102),IF(AND(Data!F102&gt;(TODAY()-(Data_Val!$H$3*365.25)),Data!F102&lt;=(TODAY()-(Data_Val!$H$2*365.25))),0,1),1))</f>
        <v/>
      </c>
      <c r="G112" s="12" t="str">
        <f>IF(Data!B102="","",IF(AND(Data!G102="",Data!H102&lt;&gt;""),1,IF(ISNUMBER(MATCH(Data!G102,Data_Val!$C$2:$C$5,0)),0,1)))</f>
        <v/>
      </c>
      <c r="H112" s="12" t="str">
        <f>IF(Data!B102="","",IF(AND(Data!G102&lt;&gt;"",Data!H102=""),1,IF(Data!G102="",1,IF(ISNUMBER(MATCH(Data!H102,Data_Val!$D$2:$D$35,0)),0,1))))</f>
        <v/>
      </c>
      <c r="I112" s="38" t="str">
        <f>IF(Data!G102="","",IF(Data!G102=Data_Val!$C$2,IF(Data!I102="",0,1),0))</f>
        <v/>
      </c>
      <c r="J112" s="38" t="str">
        <f>IF(Data!I102="","",IF(ISNUMBER(MATCH(Data!J102,Data_Val!$A$2:$A$3,0)),0,1))</f>
        <v/>
      </c>
      <c r="K112" s="38" t="str">
        <f ca="1">IF(Data!I102="","",IF(ISNUMBER(Data!K102),IF(AND(Data!K102&gt;(TODAY()-(Data_Val!$K$3*365.25)),Data!K102&lt;=(TODAY()-(Data_Val!$K$2*365.25))),0,1),1))</f>
        <v/>
      </c>
      <c r="L112" s="16" t="str">
        <f>IF(Data!G102="","",IF(Data!G102=Data_Val!$C$2,IF(Data!L102="",0,1),0))</f>
        <v/>
      </c>
      <c r="M112" s="16" t="str">
        <f>IF(Data!L102="","",IF(ISNUMBER(MATCH(Data!M102,Data_Val!$A$2:$A$3,0)),0,1))</f>
        <v/>
      </c>
      <c r="N112" s="43" t="str">
        <f ca="1">IF(Data!L102="","",IF(ISNUMBER(Data!N102),IF(AND(Data!N102&gt;(TODAY()-(Data_Val!$L$3*365.25)),Data!N102&lt;=(TODAY()-(Data_Val!$L$2*365.25))),0,1),1))</f>
        <v/>
      </c>
      <c r="O112" s="18" t="str">
        <f>IF(Data!$G102="","",IF(Data!$G102=Data_Val!$C$2,IF(Data!O102="",0,1),0))</f>
        <v/>
      </c>
      <c r="P112" s="18" t="str">
        <f>IF(Data!O102="","",IF(ISNUMBER(MATCH(Data!P102,Data_Val!$A$2:$A$3,0)),0,1))</f>
        <v/>
      </c>
      <c r="Q112" s="44" t="str">
        <f ca="1">IF(Data!O102="","",IF(ISNUMBER(Data!Q102),IF(AND(Data!Q102&gt;(TODAY()-(Data_Val!$L$3*365.25)),Data!Q102&lt;=(TODAY()-(Data_Val!$L$2*365.25))),0,1),1))</f>
        <v/>
      </c>
    </row>
    <row r="113" spans="1:17" ht="12" customHeight="1" x14ac:dyDescent="0.25">
      <c r="A113" s="36" t="str">
        <f>IF(Data!B103="","",IF(COUNTIFS(Data!A$1:'Data'!A103,Data!A103)&lt;=1,0,1))</f>
        <v/>
      </c>
      <c r="B113" s="36"/>
      <c r="C113" s="36" t="str">
        <f>IF(Data!C103="","",(IF(ISNUMBER(MATCH("*@*.?*",Data!C103,0)),0,1)+IF(COUNTIFS(Data!C$1:'Data'!C103,Data!C103)&gt;1,1,0)))</f>
        <v/>
      </c>
      <c r="D113" s="36" t="str">
        <f>IF(Data!B103="","",IF(ISNUMBER(Data!D103),IF(AND(Data!D103&gt;999999999,Data!D103&lt;=9999999999),IF(COUNTIFS(Data!D$1:'Data'!D103,Data!D103)&lt;=1,0,1),1),1))</f>
        <v/>
      </c>
      <c r="E113" s="36" t="str">
        <f>IF(Data!B103="","",IF(ISNUMBER(MATCH(Data!E103,Data_Val!$A$2:$A$3,0)),0,1))</f>
        <v/>
      </c>
      <c r="F113" s="36" t="str">
        <f ca="1">IF(Data!B103="","",IF(ISNUMBER(Data!F103),IF(AND(Data!F103&gt;(TODAY()-(Data_Val!$H$3*365.25)),Data!F103&lt;=(TODAY()-(Data_Val!$H$2*365.25))),0,1),1))</f>
        <v/>
      </c>
      <c r="G113" s="12" t="str">
        <f>IF(Data!B103="","",IF(AND(Data!G103="",Data!H103&lt;&gt;""),1,IF(ISNUMBER(MATCH(Data!G103,Data_Val!$C$2:$C$5,0)),0,1)))</f>
        <v/>
      </c>
      <c r="H113" s="12" t="str">
        <f>IF(Data!B103="","",IF(AND(Data!G103&lt;&gt;"",Data!H103=""),1,IF(Data!G103="",1,IF(ISNUMBER(MATCH(Data!H103,Data_Val!$D$2:$D$35,0)),0,1))))</f>
        <v/>
      </c>
      <c r="I113" s="38" t="str">
        <f>IF(Data!G103="","",IF(Data!G103=Data_Val!$C$2,IF(Data!I103="",0,1),0))</f>
        <v/>
      </c>
      <c r="J113" s="38" t="str">
        <f>IF(Data!I103="","",IF(ISNUMBER(MATCH(Data!J103,Data_Val!$A$2:$A$3,0)),0,1))</f>
        <v/>
      </c>
      <c r="K113" s="38" t="str">
        <f ca="1">IF(Data!I103="","",IF(ISNUMBER(Data!K103),IF(AND(Data!K103&gt;(TODAY()-(Data_Val!$K$3*365.25)),Data!K103&lt;=(TODAY()-(Data_Val!$K$2*365.25))),0,1),1))</f>
        <v/>
      </c>
      <c r="L113" s="16" t="str">
        <f>IF(Data!G103="","",IF(Data!G103=Data_Val!$C$2,IF(Data!L103="",0,1),0))</f>
        <v/>
      </c>
      <c r="M113" s="16" t="str">
        <f>IF(Data!L103="","",IF(ISNUMBER(MATCH(Data!M103,Data_Val!$A$2:$A$3,0)),0,1))</f>
        <v/>
      </c>
      <c r="N113" s="43" t="str">
        <f ca="1">IF(Data!L103="","",IF(ISNUMBER(Data!N103),IF(AND(Data!N103&gt;(TODAY()-(Data_Val!$L$3*365.25)),Data!N103&lt;=(TODAY()-(Data_Val!$L$2*365.25))),0,1),1))</f>
        <v/>
      </c>
      <c r="O113" s="18" t="str">
        <f>IF(Data!$G103="","",IF(Data!$G103=Data_Val!$C$2,IF(Data!O103="",0,1),0))</f>
        <v/>
      </c>
      <c r="P113" s="18" t="str">
        <f>IF(Data!O103="","",IF(ISNUMBER(MATCH(Data!P103,Data_Val!$A$2:$A$3,0)),0,1))</f>
        <v/>
      </c>
      <c r="Q113" s="44" t="str">
        <f ca="1">IF(Data!O103="","",IF(ISNUMBER(Data!Q103),IF(AND(Data!Q103&gt;(TODAY()-(Data_Val!$L$3*365.25)),Data!Q103&lt;=(TODAY()-(Data_Val!$L$2*365.25))),0,1),1))</f>
        <v/>
      </c>
    </row>
    <row r="114" spans="1:17" ht="12" customHeight="1" x14ac:dyDescent="0.25">
      <c r="A114" s="36" t="str">
        <f>IF(Data!B104="","",IF(COUNTIFS(Data!A$1:'Data'!A104,Data!A104)&lt;=1,0,1))</f>
        <v/>
      </c>
      <c r="B114" s="36"/>
      <c r="C114" s="36" t="str">
        <f>IF(Data!C104="","",(IF(ISNUMBER(MATCH("*@*.?*",Data!C104,0)),0,1)+IF(COUNTIFS(Data!C$1:'Data'!C104,Data!C104)&gt;1,1,0)))</f>
        <v/>
      </c>
      <c r="D114" s="36" t="str">
        <f>IF(Data!B104="","",IF(ISNUMBER(Data!D104),IF(AND(Data!D104&gt;999999999,Data!D104&lt;=9999999999),IF(COUNTIFS(Data!D$1:'Data'!D104,Data!D104)&lt;=1,0,1),1),1))</f>
        <v/>
      </c>
      <c r="E114" s="36" t="str">
        <f>IF(Data!B104="","",IF(ISNUMBER(MATCH(Data!E104,Data_Val!$A$2:$A$3,0)),0,1))</f>
        <v/>
      </c>
      <c r="F114" s="36" t="str">
        <f ca="1">IF(Data!B104="","",IF(ISNUMBER(Data!F104),IF(AND(Data!F104&gt;(TODAY()-(Data_Val!$H$3*365.25)),Data!F104&lt;=(TODAY()-(Data_Val!$H$2*365.25))),0,1),1))</f>
        <v/>
      </c>
      <c r="G114" s="12" t="str">
        <f>IF(Data!B104="","",IF(AND(Data!G104="",Data!H104&lt;&gt;""),1,IF(ISNUMBER(MATCH(Data!G104,Data_Val!$C$2:$C$5,0)),0,1)))</f>
        <v/>
      </c>
      <c r="H114" s="12" t="str">
        <f>IF(Data!B104="","",IF(AND(Data!G104&lt;&gt;"",Data!H104=""),1,IF(Data!G104="",1,IF(ISNUMBER(MATCH(Data!H104,Data_Val!$D$2:$D$35,0)),0,1))))</f>
        <v/>
      </c>
      <c r="I114" s="38" t="str">
        <f>IF(Data!G104="","",IF(Data!G104=Data_Val!$C$2,IF(Data!I104="",0,1),0))</f>
        <v/>
      </c>
      <c r="J114" s="38" t="str">
        <f>IF(Data!I104="","",IF(ISNUMBER(MATCH(Data!J104,Data_Val!$A$2:$A$3,0)),0,1))</f>
        <v/>
      </c>
      <c r="K114" s="38" t="str">
        <f ca="1">IF(Data!I104="","",IF(ISNUMBER(Data!K104),IF(AND(Data!K104&gt;(TODAY()-(Data_Val!$K$3*365.25)),Data!K104&lt;=(TODAY()-(Data_Val!$K$2*365.25))),0,1),1))</f>
        <v/>
      </c>
      <c r="L114" s="16" t="str">
        <f>IF(Data!G104="","",IF(Data!G104=Data_Val!$C$2,IF(Data!L104="",0,1),0))</f>
        <v/>
      </c>
      <c r="M114" s="16" t="str">
        <f>IF(Data!L104="","",IF(ISNUMBER(MATCH(Data!M104,Data_Val!$A$2:$A$3,0)),0,1))</f>
        <v/>
      </c>
      <c r="N114" s="43" t="str">
        <f ca="1">IF(Data!L104="","",IF(ISNUMBER(Data!N104),IF(AND(Data!N104&gt;(TODAY()-(Data_Val!$L$3*365.25)),Data!N104&lt;=(TODAY()-(Data_Val!$L$2*365.25))),0,1),1))</f>
        <v/>
      </c>
      <c r="O114" s="18" t="str">
        <f>IF(Data!$G104="","",IF(Data!$G104=Data_Val!$C$2,IF(Data!O104="",0,1),0))</f>
        <v/>
      </c>
      <c r="P114" s="18" t="str">
        <f>IF(Data!O104="","",IF(ISNUMBER(MATCH(Data!P104,Data_Val!$A$2:$A$3,0)),0,1))</f>
        <v/>
      </c>
      <c r="Q114" s="44" t="str">
        <f ca="1">IF(Data!O104="","",IF(ISNUMBER(Data!Q104),IF(AND(Data!Q104&gt;(TODAY()-(Data_Val!$L$3*365.25)),Data!Q104&lt;=(TODAY()-(Data_Val!$L$2*365.25))),0,1),1))</f>
        <v/>
      </c>
    </row>
    <row r="115" spans="1:17" ht="12" customHeight="1" x14ac:dyDescent="0.25">
      <c r="A115" s="36" t="str">
        <f>IF(Data!B105="","",IF(COUNTIFS(Data!A$1:'Data'!A105,Data!A105)&lt;=1,0,1))</f>
        <v/>
      </c>
      <c r="B115" s="36"/>
      <c r="C115" s="36" t="str">
        <f>IF(Data!C105="","",(IF(ISNUMBER(MATCH("*@*.?*",Data!C105,0)),0,1)+IF(COUNTIFS(Data!C$1:'Data'!C105,Data!C105)&gt;1,1,0)))</f>
        <v/>
      </c>
      <c r="D115" s="36" t="str">
        <f>IF(Data!B105="","",IF(ISNUMBER(Data!D105),IF(AND(Data!D105&gt;999999999,Data!D105&lt;=9999999999),IF(COUNTIFS(Data!D$1:'Data'!D105,Data!D105)&lt;=1,0,1),1),1))</f>
        <v/>
      </c>
      <c r="E115" s="36" t="str">
        <f>IF(Data!B105="","",IF(ISNUMBER(MATCH(Data!E105,Data_Val!$A$2:$A$3,0)),0,1))</f>
        <v/>
      </c>
      <c r="F115" s="36" t="str">
        <f ca="1">IF(Data!B105="","",IF(ISNUMBER(Data!F105),IF(AND(Data!F105&gt;(TODAY()-(Data_Val!$H$3*365.25)),Data!F105&lt;=(TODAY()-(Data_Val!$H$2*365.25))),0,1),1))</f>
        <v/>
      </c>
      <c r="G115" s="12" t="str">
        <f>IF(Data!B105="","",IF(AND(Data!G105="",Data!H105&lt;&gt;""),1,IF(ISNUMBER(MATCH(Data!G105,Data_Val!$C$2:$C$5,0)),0,1)))</f>
        <v/>
      </c>
      <c r="H115" s="12" t="str">
        <f>IF(Data!B105="","",IF(AND(Data!G105&lt;&gt;"",Data!H105=""),1,IF(Data!G105="",1,IF(ISNUMBER(MATCH(Data!H105,Data_Val!$D$2:$D$35,0)),0,1))))</f>
        <v/>
      </c>
      <c r="I115" s="38" t="str">
        <f>IF(Data!G105="","",IF(Data!G105=Data_Val!$C$2,IF(Data!I105="",0,1),0))</f>
        <v/>
      </c>
      <c r="J115" s="38" t="str">
        <f>IF(Data!I105="","",IF(ISNUMBER(MATCH(Data!J105,Data_Val!$A$2:$A$3,0)),0,1))</f>
        <v/>
      </c>
      <c r="K115" s="38" t="str">
        <f ca="1">IF(Data!I105="","",IF(ISNUMBER(Data!K105),IF(AND(Data!K105&gt;(TODAY()-(Data_Val!$K$3*365.25)),Data!K105&lt;=(TODAY()-(Data_Val!$K$2*365.25))),0,1),1))</f>
        <v/>
      </c>
      <c r="L115" s="16" t="str">
        <f>IF(Data!G105="","",IF(Data!G105=Data_Val!$C$2,IF(Data!L105="",0,1),0))</f>
        <v/>
      </c>
      <c r="M115" s="16" t="str">
        <f>IF(Data!L105="","",IF(ISNUMBER(MATCH(Data!M105,Data_Val!$A$2:$A$3,0)),0,1))</f>
        <v/>
      </c>
      <c r="N115" s="43" t="str">
        <f ca="1">IF(Data!L105="","",IF(ISNUMBER(Data!N105),IF(AND(Data!N105&gt;(TODAY()-(Data_Val!$L$3*365.25)),Data!N105&lt;=(TODAY()-(Data_Val!$L$2*365.25))),0,1),1))</f>
        <v/>
      </c>
      <c r="O115" s="18" t="str">
        <f>IF(Data!$G105="","",IF(Data!$G105=Data_Val!$C$2,IF(Data!O105="",0,1),0))</f>
        <v/>
      </c>
      <c r="P115" s="18" t="str">
        <f>IF(Data!O105="","",IF(ISNUMBER(MATCH(Data!P105,Data_Val!$A$2:$A$3,0)),0,1))</f>
        <v/>
      </c>
      <c r="Q115" s="44" t="str">
        <f ca="1">IF(Data!O105="","",IF(ISNUMBER(Data!Q105),IF(AND(Data!Q105&gt;(TODAY()-(Data_Val!$L$3*365.25)),Data!Q105&lt;=(TODAY()-(Data_Val!$L$2*365.25))),0,1),1))</f>
        <v/>
      </c>
    </row>
    <row r="116" spans="1:17" ht="12" customHeight="1" x14ac:dyDescent="0.25">
      <c r="A116" s="36" t="str">
        <f>IF(Data!B106="","",IF(COUNTIFS(Data!A$1:'Data'!A106,Data!A106)&lt;=1,0,1))</f>
        <v/>
      </c>
      <c r="B116" s="36"/>
      <c r="C116" s="36" t="str">
        <f>IF(Data!C106="","",(IF(ISNUMBER(MATCH("*@*.?*",Data!C106,0)),0,1)+IF(COUNTIFS(Data!C$1:'Data'!C106,Data!C106)&gt;1,1,0)))</f>
        <v/>
      </c>
      <c r="D116" s="36" t="str">
        <f>IF(Data!B106="","",IF(ISNUMBER(Data!D106),IF(AND(Data!D106&gt;999999999,Data!D106&lt;=9999999999),IF(COUNTIFS(Data!D$1:'Data'!D106,Data!D106)&lt;=1,0,1),1),1))</f>
        <v/>
      </c>
      <c r="E116" s="36" t="str">
        <f>IF(Data!B106="","",IF(ISNUMBER(MATCH(Data!E106,Data_Val!$A$2:$A$3,0)),0,1))</f>
        <v/>
      </c>
      <c r="F116" s="36" t="str">
        <f ca="1">IF(Data!B106="","",IF(ISNUMBER(Data!F106),IF(AND(Data!F106&gt;(TODAY()-(Data_Val!$H$3*365.25)),Data!F106&lt;=(TODAY()-(Data_Val!$H$2*365.25))),0,1),1))</f>
        <v/>
      </c>
      <c r="G116" s="12" t="str">
        <f>IF(Data!B106="","",IF(AND(Data!G106="",Data!H106&lt;&gt;""),1,IF(ISNUMBER(MATCH(Data!G106,Data_Val!$C$2:$C$5,0)),0,1)))</f>
        <v/>
      </c>
      <c r="H116" s="12" t="str">
        <f>IF(Data!B106="","",IF(AND(Data!G106&lt;&gt;"",Data!H106=""),1,IF(Data!G106="",1,IF(ISNUMBER(MATCH(Data!H106,Data_Val!$D$2:$D$35,0)),0,1))))</f>
        <v/>
      </c>
      <c r="I116" s="38" t="str">
        <f>IF(Data!G106="","",IF(Data!G106=Data_Val!$C$2,IF(Data!I106="",0,1),0))</f>
        <v/>
      </c>
      <c r="J116" s="38" t="str">
        <f>IF(Data!I106="","",IF(ISNUMBER(MATCH(Data!J106,Data_Val!$A$2:$A$3,0)),0,1))</f>
        <v/>
      </c>
      <c r="K116" s="38" t="str">
        <f ca="1">IF(Data!I106="","",IF(ISNUMBER(Data!K106),IF(AND(Data!K106&gt;(TODAY()-(Data_Val!$K$3*365.25)),Data!K106&lt;=(TODAY()-(Data_Val!$K$2*365.25))),0,1),1))</f>
        <v/>
      </c>
      <c r="L116" s="16" t="str">
        <f>IF(Data!G106="","",IF(Data!G106=Data_Val!$C$2,IF(Data!L106="",0,1),0))</f>
        <v/>
      </c>
      <c r="M116" s="16" t="str">
        <f>IF(Data!L106="","",IF(ISNUMBER(MATCH(Data!M106,Data_Val!$A$2:$A$3,0)),0,1))</f>
        <v/>
      </c>
      <c r="N116" s="43" t="str">
        <f ca="1">IF(Data!L106="","",IF(ISNUMBER(Data!N106),IF(AND(Data!N106&gt;(TODAY()-(Data_Val!$L$3*365.25)),Data!N106&lt;=(TODAY()-(Data_Val!$L$2*365.25))),0,1),1))</f>
        <v/>
      </c>
      <c r="O116" s="18" t="str">
        <f>IF(Data!$G106="","",IF(Data!$G106=Data_Val!$C$2,IF(Data!O106="",0,1),0))</f>
        <v/>
      </c>
      <c r="P116" s="18" t="str">
        <f>IF(Data!O106="","",IF(ISNUMBER(MATCH(Data!P106,Data_Val!$A$2:$A$3,0)),0,1))</f>
        <v/>
      </c>
      <c r="Q116" s="44" t="str">
        <f ca="1">IF(Data!O106="","",IF(ISNUMBER(Data!Q106),IF(AND(Data!Q106&gt;(TODAY()-(Data_Val!$L$3*365.25)),Data!Q106&lt;=(TODAY()-(Data_Val!$L$2*365.25))),0,1),1))</f>
        <v/>
      </c>
    </row>
    <row r="117" spans="1:17" ht="12" customHeight="1" x14ac:dyDescent="0.25">
      <c r="A117" s="36" t="str">
        <f>IF(Data!B107="","",IF(COUNTIFS(Data!A$1:'Data'!A107,Data!A107)&lt;=1,0,1))</f>
        <v/>
      </c>
      <c r="B117" s="36"/>
      <c r="C117" s="36" t="str">
        <f>IF(Data!C107="","",(IF(ISNUMBER(MATCH("*@*.?*",Data!C107,0)),0,1)+IF(COUNTIFS(Data!C$1:'Data'!C107,Data!C107)&gt;1,1,0)))</f>
        <v/>
      </c>
      <c r="D117" s="36" t="str">
        <f>IF(Data!B107="","",IF(ISNUMBER(Data!D107),IF(AND(Data!D107&gt;999999999,Data!D107&lt;=9999999999),IF(COUNTIFS(Data!D$1:'Data'!D107,Data!D107)&lt;=1,0,1),1),1))</f>
        <v/>
      </c>
      <c r="E117" s="36" t="str">
        <f>IF(Data!B107="","",IF(ISNUMBER(MATCH(Data!E107,Data_Val!$A$2:$A$3,0)),0,1))</f>
        <v/>
      </c>
      <c r="F117" s="36" t="str">
        <f ca="1">IF(Data!B107="","",IF(ISNUMBER(Data!F107),IF(AND(Data!F107&gt;(TODAY()-(Data_Val!$H$3*365.25)),Data!F107&lt;=(TODAY()-(Data_Val!$H$2*365.25))),0,1),1))</f>
        <v/>
      </c>
      <c r="G117" s="12" t="str">
        <f>IF(Data!B107="","",IF(AND(Data!G107="",Data!H107&lt;&gt;""),1,IF(ISNUMBER(MATCH(Data!G107,Data_Val!$C$2:$C$5,0)),0,1)))</f>
        <v/>
      </c>
      <c r="H117" s="12" t="str">
        <f>IF(Data!B107="","",IF(AND(Data!G107&lt;&gt;"",Data!H107=""),1,IF(Data!G107="",1,IF(ISNUMBER(MATCH(Data!H107,Data_Val!$D$2:$D$35,0)),0,1))))</f>
        <v/>
      </c>
      <c r="I117" s="38" t="str">
        <f>IF(Data!G107="","",IF(Data!G107=Data_Val!$C$2,IF(Data!I107="",0,1),0))</f>
        <v/>
      </c>
      <c r="J117" s="38" t="str">
        <f>IF(Data!I107="","",IF(ISNUMBER(MATCH(Data!J107,Data_Val!$A$2:$A$3,0)),0,1))</f>
        <v/>
      </c>
      <c r="K117" s="38" t="str">
        <f ca="1">IF(Data!I107="","",IF(ISNUMBER(Data!K107),IF(AND(Data!K107&gt;(TODAY()-(Data_Val!$K$3*365.25)),Data!K107&lt;=(TODAY()-(Data_Val!$K$2*365.25))),0,1),1))</f>
        <v/>
      </c>
      <c r="L117" s="16" t="str">
        <f>IF(Data!G107="","",IF(Data!G107=Data_Val!$C$2,IF(Data!L107="",0,1),0))</f>
        <v/>
      </c>
      <c r="M117" s="16" t="str">
        <f>IF(Data!L107="","",IF(ISNUMBER(MATCH(Data!M107,Data_Val!$A$2:$A$3,0)),0,1))</f>
        <v/>
      </c>
      <c r="N117" s="43" t="str">
        <f ca="1">IF(Data!L107="","",IF(ISNUMBER(Data!N107),IF(AND(Data!N107&gt;(TODAY()-(Data_Val!$L$3*365.25)),Data!N107&lt;=(TODAY()-(Data_Val!$L$2*365.25))),0,1),1))</f>
        <v/>
      </c>
      <c r="O117" s="18" t="str">
        <f>IF(Data!$G107="","",IF(Data!$G107=Data_Val!$C$2,IF(Data!O107="",0,1),0))</f>
        <v/>
      </c>
      <c r="P117" s="18" t="str">
        <f>IF(Data!O107="","",IF(ISNUMBER(MATCH(Data!P107,Data_Val!$A$2:$A$3,0)),0,1))</f>
        <v/>
      </c>
      <c r="Q117" s="44" t="str">
        <f ca="1">IF(Data!O107="","",IF(ISNUMBER(Data!Q107),IF(AND(Data!Q107&gt;(TODAY()-(Data_Val!$L$3*365.25)),Data!Q107&lt;=(TODAY()-(Data_Val!$L$2*365.25))),0,1),1))</f>
        <v/>
      </c>
    </row>
    <row r="118" spans="1:17" ht="12" customHeight="1" x14ac:dyDescent="0.25">
      <c r="A118" s="36" t="str">
        <f>IF(Data!B108="","",IF(COUNTIFS(Data!A$1:'Data'!A108,Data!A108)&lt;=1,0,1))</f>
        <v/>
      </c>
      <c r="B118" s="36"/>
      <c r="C118" s="36" t="str">
        <f>IF(Data!C108="","",(IF(ISNUMBER(MATCH("*@*.?*",Data!C108,0)),0,1)+IF(COUNTIFS(Data!C$1:'Data'!C108,Data!C108)&gt;1,1,0)))</f>
        <v/>
      </c>
      <c r="D118" s="36" t="str">
        <f>IF(Data!B108="","",IF(ISNUMBER(Data!D108),IF(AND(Data!D108&gt;999999999,Data!D108&lt;=9999999999),IF(COUNTIFS(Data!D$1:'Data'!D108,Data!D108)&lt;=1,0,1),1),1))</f>
        <v/>
      </c>
      <c r="E118" s="36" t="str">
        <f>IF(Data!B108="","",IF(ISNUMBER(MATCH(Data!E108,Data_Val!$A$2:$A$3,0)),0,1))</f>
        <v/>
      </c>
      <c r="F118" s="36" t="str">
        <f ca="1">IF(Data!B108="","",IF(ISNUMBER(Data!F108),IF(AND(Data!F108&gt;(TODAY()-(Data_Val!$H$3*365.25)),Data!F108&lt;=(TODAY()-(Data_Val!$H$2*365.25))),0,1),1))</f>
        <v/>
      </c>
      <c r="G118" s="12" t="str">
        <f>IF(Data!B108="","",IF(AND(Data!G108="",Data!H108&lt;&gt;""),1,IF(ISNUMBER(MATCH(Data!G108,Data_Val!$C$2:$C$5,0)),0,1)))</f>
        <v/>
      </c>
      <c r="H118" s="12" t="str">
        <f>IF(Data!B108="","",IF(AND(Data!G108&lt;&gt;"",Data!H108=""),1,IF(Data!G108="",1,IF(ISNUMBER(MATCH(Data!H108,Data_Val!$D$2:$D$35,0)),0,1))))</f>
        <v/>
      </c>
      <c r="I118" s="38" t="str">
        <f>IF(Data!G108="","",IF(Data!G108=Data_Val!$C$2,IF(Data!I108="",0,1),0))</f>
        <v/>
      </c>
      <c r="J118" s="38" t="str">
        <f>IF(Data!I108="","",IF(ISNUMBER(MATCH(Data!J108,Data_Val!$A$2:$A$3,0)),0,1))</f>
        <v/>
      </c>
      <c r="K118" s="38" t="str">
        <f ca="1">IF(Data!I108="","",IF(ISNUMBER(Data!K108),IF(AND(Data!K108&gt;(TODAY()-(Data_Val!$K$3*365.25)),Data!K108&lt;=(TODAY()-(Data_Val!$K$2*365.25))),0,1),1))</f>
        <v/>
      </c>
      <c r="L118" s="16" t="str">
        <f>IF(Data!G108="","",IF(Data!G108=Data_Val!$C$2,IF(Data!L108="",0,1),0))</f>
        <v/>
      </c>
      <c r="M118" s="16" t="str">
        <f>IF(Data!L108="","",IF(ISNUMBER(MATCH(Data!M108,Data_Val!$A$2:$A$3,0)),0,1))</f>
        <v/>
      </c>
      <c r="N118" s="43" t="str">
        <f ca="1">IF(Data!L108="","",IF(ISNUMBER(Data!N108),IF(AND(Data!N108&gt;(TODAY()-(Data_Val!$L$3*365.25)),Data!N108&lt;=(TODAY()-(Data_Val!$L$2*365.25))),0,1),1))</f>
        <v/>
      </c>
      <c r="O118" s="18" t="str">
        <f>IF(Data!$G108="","",IF(Data!$G108=Data_Val!$C$2,IF(Data!O108="",0,1),0))</f>
        <v/>
      </c>
      <c r="P118" s="18" t="str">
        <f>IF(Data!O108="","",IF(ISNUMBER(MATCH(Data!P108,Data_Val!$A$2:$A$3,0)),0,1))</f>
        <v/>
      </c>
      <c r="Q118" s="44" t="str">
        <f ca="1">IF(Data!O108="","",IF(ISNUMBER(Data!Q108),IF(AND(Data!Q108&gt;(TODAY()-(Data_Val!$L$3*365.25)),Data!Q108&lt;=(TODAY()-(Data_Val!$L$2*365.25))),0,1),1))</f>
        <v/>
      </c>
    </row>
    <row r="119" spans="1:17" ht="12" customHeight="1" x14ac:dyDescent="0.25">
      <c r="A119" s="36" t="str">
        <f>IF(Data!B109="","",IF(COUNTIFS(Data!A$1:'Data'!A109,Data!A109)&lt;=1,0,1))</f>
        <v/>
      </c>
      <c r="B119" s="36"/>
      <c r="C119" s="36" t="str">
        <f>IF(Data!C109="","",(IF(ISNUMBER(MATCH("*@*.?*",Data!C109,0)),0,1)+IF(COUNTIFS(Data!C$1:'Data'!C109,Data!C109)&gt;1,1,0)))</f>
        <v/>
      </c>
      <c r="D119" s="36" t="str">
        <f>IF(Data!B109="","",IF(ISNUMBER(Data!D109),IF(AND(Data!D109&gt;999999999,Data!D109&lt;=9999999999),IF(COUNTIFS(Data!D$1:'Data'!D109,Data!D109)&lt;=1,0,1),1),1))</f>
        <v/>
      </c>
      <c r="E119" s="36" t="str">
        <f>IF(Data!B109="","",IF(ISNUMBER(MATCH(Data!E109,Data_Val!$A$2:$A$3,0)),0,1))</f>
        <v/>
      </c>
      <c r="F119" s="36" t="str">
        <f ca="1">IF(Data!B109="","",IF(ISNUMBER(Data!F109),IF(AND(Data!F109&gt;(TODAY()-(Data_Val!$H$3*365.25)),Data!F109&lt;=(TODAY()-(Data_Val!$H$2*365.25))),0,1),1))</f>
        <v/>
      </c>
      <c r="G119" s="12" t="str">
        <f>IF(Data!B109="","",IF(AND(Data!G109="",Data!H109&lt;&gt;""),1,IF(ISNUMBER(MATCH(Data!G109,Data_Val!$C$2:$C$5,0)),0,1)))</f>
        <v/>
      </c>
      <c r="H119" s="12" t="str">
        <f>IF(Data!B109="","",IF(AND(Data!G109&lt;&gt;"",Data!H109=""),1,IF(Data!G109="",1,IF(ISNUMBER(MATCH(Data!H109,Data_Val!$D$2:$D$35,0)),0,1))))</f>
        <v/>
      </c>
      <c r="I119" s="38" t="str">
        <f>IF(Data!G109="","",IF(Data!G109=Data_Val!$C$2,IF(Data!I109="",0,1),0))</f>
        <v/>
      </c>
      <c r="J119" s="38" t="str">
        <f>IF(Data!I109="","",IF(ISNUMBER(MATCH(Data!J109,Data_Val!$A$2:$A$3,0)),0,1))</f>
        <v/>
      </c>
      <c r="K119" s="38" t="str">
        <f ca="1">IF(Data!I109="","",IF(ISNUMBER(Data!K109),IF(AND(Data!K109&gt;(TODAY()-(Data_Val!$K$3*365.25)),Data!K109&lt;=(TODAY()-(Data_Val!$K$2*365.25))),0,1),1))</f>
        <v/>
      </c>
      <c r="L119" s="16" t="str">
        <f>IF(Data!G109="","",IF(Data!G109=Data_Val!$C$2,IF(Data!L109="",0,1),0))</f>
        <v/>
      </c>
      <c r="M119" s="16" t="str">
        <f>IF(Data!L109="","",IF(ISNUMBER(MATCH(Data!M109,Data_Val!$A$2:$A$3,0)),0,1))</f>
        <v/>
      </c>
      <c r="N119" s="43" t="str">
        <f ca="1">IF(Data!L109="","",IF(ISNUMBER(Data!N109),IF(AND(Data!N109&gt;(TODAY()-(Data_Val!$L$3*365.25)),Data!N109&lt;=(TODAY()-(Data_Val!$L$2*365.25))),0,1),1))</f>
        <v/>
      </c>
      <c r="O119" s="18" t="str">
        <f>IF(Data!$G109="","",IF(Data!$G109=Data_Val!$C$2,IF(Data!O109="",0,1),0))</f>
        <v/>
      </c>
      <c r="P119" s="18" t="str">
        <f>IF(Data!O109="","",IF(ISNUMBER(MATCH(Data!P109,Data_Val!$A$2:$A$3,0)),0,1))</f>
        <v/>
      </c>
      <c r="Q119" s="44" t="str">
        <f ca="1">IF(Data!O109="","",IF(ISNUMBER(Data!Q109),IF(AND(Data!Q109&gt;(TODAY()-(Data_Val!$L$3*365.25)),Data!Q109&lt;=(TODAY()-(Data_Val!$L$2*365.25))),0,1),1))</f>
        <v/>
      </c>
    </row>
    <row r="120" spans="1:17" ht="12" customHeight="1" x14ac:dyDescent="0.25">
      <c r="A120" s="36" t="str">
        <f>IF(Data!B110="","",IF(COUNTIFS(Data!A$1:'Data'!A110,Data!A110)&lt;=1,0,1))</f>
        <v/>
      </c>
      <c r="B120" s="36"/>
      <c r="C120" s="36" t="str">
        <f>IF(Data!C110="","",(IF(ISNUMBER(MATCH("*@*.?*",Data!C110,0)),0,1)+IF(COUNTIFS(Data!C$1:'Data'!C110,Data!C110)&gt;1,1,0)))</f>
        <v/>
      </c>
      <c r="D120" s="36" t="str">
        <f>IF(Data!B110="","",IF(ISNUMBER(Data!D110),IF(AND(Data!D110&gt;999999999,Data!D110&lt;=9999999999),IF(COUNTIFS(Data!D$1:'Data'!D110,Data!D110)&lt;=1,0,1),1),1))</f>
        <v/>
      </c>
      <c r="E120" s="36" t="str">
        <f>IF(Data!B110="","",IF(ISNUMBER(MATCH(Data!E110,Data_Val!$A$2:$A$3,0)),0,1))</f>
        <v/>
      </c>
      <c r="F120" s="36" t="str">
        <f ca="1">IF(Data!B110="","",IF(ISNUMBER(Data!F110),IF(AND(Data!F110&gt;(TODAY()-(Data_Val!$H$3*365.25)),Data!F110&lt;=(TODAY()-(Data_Val!$H$2*365.25))),0,1),1))</f>
        <v/>
      </c>
      <c r="G120" s="12" t="str">
        <f>IF(Data!B110="","",IF(AND(Data!G110="",Data!H110&lt;&gt;""),1,IF(ISNUMBER(MATCH(Data!G110,Data_Val!$C$2:$C$5,0)),0,1)))</f>
        <v/>
      </c>
      <c r="H120" s="12" t="str">
        <f>IF(Data!B110="","",IF(AND(Data!G110&lt;&gt;"",Data!H110=""),1,IF(Data!G110="",1,IF(ISNUMBER(MATCH(Data!H110,Data_Val!$D$2:$D$35,0)),0,1))))</f>
        <v/>
      </c>
      <c r="I120" s="38" t="str">
        <f>IF(Data!G110="","",IF(Data!G110=Data_Val!$C$2,IF(Data!I110="",0,1),0))</f>
        <v/>
      </c>
      <c r="J120" s="38" t="str">
        <f>IF(Data!I110="","",IF(ISNUMBER(MATCH(Data!J110,Data_Val!$A$2:$A$3,0)),0,1))</f>
        <v/>
      </c>
      <c r="K120" s="38" t="str">
        <f ca="1">IF(Data!I110="","",IF(ISNUMBER(Data!K110),IF(AND(Data!K110&gt;(TODAY()-(Data_Val!$K$3*365.25)),Data!K110&lt;=(TODAY()-(Data_Val!$K$2*365.25))),0,1),1))</f>
        <v/>
      </c>
      <c r="L120" s="16" t="str">
        <f>IF(Data!G110="","",IF(Data!G110=Data_Val!$C$2,IF(Data!L110="",0,1),0))</f>
        <v/>
      </c>
      <c r="M120" s="16" t="str">
        <f>IF(Data!L110="","",IF(ISNUMBER(MATCH(Data!M110,Data_Val!$A$2:$A$3,0)),0,1))</f>
        <v/>
      </c>
      <c r="N120" s="43" t="str">
        <f ca="1">IF(Data!L110="","",IF(ISNUMBER(Data!N110),IF(AND(Data!N110&gt;(TODAY()-(Data_Val!$L$3*365.25)),Data!N110&lt;=(TODAY()-(Data_Val!$L$2*365.25))),0,1),1))</f>
        <v/>
      </c>
      <c r="O120" s="18" t="str">
        <f>IF(Data!$G110="","",IF(Data!$G110=Data_Val!$C$2,IF(Data!O110="",0,1),0))</f>
        <v/>
      </c>
      <c r="P120" s="18" t="str">
        <f>IF(Data!O110="","",IF(ISNUMBER(MATCH(Data!P110,Data_Val!$A$2:$A$3,0)),0,1))</f>
        <v/>
      </c>
      <c r="Q120" s="44" t="str">
        <f ca="1">IF(Data!O110="","",IF(ISNUMBER(Data!Q110),IF(AND(Data!Q110&gt;(TODAY()-(Data_Val!$L$3*365.25)),Data!Q110&lt;=(TODAY()-(Data_Val!$L$2*365.25))),0,1),1))</f>
        <v/>
      </c>
    </row>
    <row r="121" spans="1:17" ht="12" customHeight="1" x14ac:dyDescent="0.25">
      <c r="A121" s="36" t="str">
        <f>IF(Data!B111="","",IF(COUNTIFS(Data!A$1:'Data'!A111,Data!A111)&lt;=1,0,1))</f>
        <v/>
      </c>
      <c r="B121" s="36"/>
      <c r="C121" s="36" t="str">
        <f>IF(Data!C111="","",(IF(ISNUMBER(MATCH("*@*.?*",Data!C111,0)),0,1)+IF(COUNTIFS(Data!C$1:'Data'!C111,Data!C111)&gt;1,1,0)))</f>
        <v/>
      </c>
      <c r="D121" s="36" t="str">
        <f>IF(Data!B111="","",IF(ISNUMBER(Data!D111),IF(AND(Data!D111&gt;999999999,Data!D111&lt;=9999999999),IF(COUNTIFS(Data!D$1:'Data'!D111,Data!D111)&lt;=1,0,1),1),1))</f>
        <v/>
      </c>
      <c r="E121" s="36" t="str">
        <f>IF(Data!B111="","",IF(ISNUMBER(MATCH(Data!E111,Data_Val!$A$2:$A$3,0)),0,1))</f>
        <v/>
      </c>
      <c r="F121" s="36" t="str">
        <f ca="1">IF(Data!B111="","",IF(ISNUMBER(Data!F111),IF(AND(Data!F111&gt;(TODAY()-(Data_Val!$H$3*365.25)),Data!F111&lt;=(TODAY()-(Data_Val!$H$2*365.25))),0,1),1))</f>
        <v/>
      </c>
      <c r="G121" s="12" t="str">
        <f>IF(Data!B111="","",IF(AND(Data!G111="",Data!H111&lt;&gt;""),1,IF(ISNUMBER(MATCH(Data!G111,Data_Val!$C$2:$C$5,0)),0,1)))</f>
        <v/>
      </c>
      <c r="H121" s="12" t="str">
        <f>IF(Data!B111="","",IF(AND(Data!G111&lt;&gt;"",Data!H111=""),1,IF(Data!G111="",1,IF(ISNUMBER(MATCH(Data!H111,Data_Val!$D$2:$D$35,0)),0,1))))</f>
        <v/>
      </c>
      <c r="I121" s="38" t="str">
        <f>IF(Data!G111="","",IF(Data!G111=Data_Val!$C$2,IF(Data!I111="",0,1),0))</f>
        <v/>
      </c>
      <c r="J121" s="38" t="str">
        <f>IF(Data!I111="","",IF(ISNUMBER(MATCH(Data!J111,Data_Val!$A$2:$A$3,0)),0,1))</f>
        <v/>
      </c>
      <c r="K121" s="38" t="str">
        <f ca="1">IF(Data!I111="","",IF(ISNUMBER(Data!K111),IF(AND(Data!K111&gt;(TODAY()-(Data_Val!$K$3*365.25)),Data!K111&lt;=(TODAY()-(Data_Val!$K$2*365.25))),0,1),1))</f>
        <v/>
      </c>
      <c r="L121" s="16" t="str">
        <f>IF(Data!G111="","",IF(Data!G111=Data_Val!$C$2,IF(Data!L111="",0,1),0))</f>
        <v/>
      </c>
      <c r="M121" s="16" t="str">
        <f>IF(Data!L111="","",IF(ISNUMBER(MATCH(Data!M111,Data_Val!$A$2:$A$3,0)),0,1))</f>
        <v/>
      </c>
      <c r="N121" s="43" t="str">
        <f ca="1">IF(Data!L111="","",IF(ISNUMBER(Data!N111),IF(AND(Data!N111&gt;(TODAY()-(Data_Val!$L$3*365.25)),Data!N111&lt;=(TODAY()-(Data_Val!$L$2*365.25))),0,1),1))</f>
        <v/>
      </c>
      <c r="O121" s="18" t="str">
        <f>IF(Data!$G111="","",IF(Data!$G111=Data_Val!$C$2,IF(Data!O111="",0,1),0))</f>
        <v/>
      </c>
      <c r="P121" s="18" t="str">
        <f>IF(Data!O111="","",IF(ISNUMBER(MATCH(Data!P111,Data_Val!$A$2:$A$3,0)),0,1))</f>
        <v/>
      </c>
      <c r="Q121" s="44" t="str">
        <f ca="1">IF(Data!O111="","",IF(ISNUMBER(Data!Q111),IF(AND(Data!Q111&gt;(TODAY()-(Data_Val!$L$3*365.25)),Data!Q111&lt;=(TODAY()-(Data_Val!$L$2*365.25))),0,1),1))</f>
        <v/>
      </c>
    </row>
    <row r="122" spans="1:17" ht="12" customHeight="1" x14ac:dyDescent="0.25">
      <c r="A122" s="36" t="str">
        <f>IF(Data!B112="","",IF(COUNTIFS(Data!A$1:'Data'!A112,Data!A112)&lt;=1,0,1))</f>
        <v/>
      </c>
      <c r="B122" s="36"/>
      <c r="C122" s="36" t="str">
        <f>IF(Data!C112="","",(IF(ISNUMBER(MATCH("*@*.?*",Data!C112,0)),0,1)+IF(COUNTIFS(Data!C$1:'Data'!C112,Data!C112)&gt;1,1,0)))</f>
        <v/>
      </c>
      <c r="D122" s="36" t="str">
        <f>IF(Data!B112="","",IF(ISNUMBER(Data!D112),IF(AND(Data!D112&gt;999999999,Data!D112&lt;=9999999999),IF(COUNTIFS(Data!D$1:'Data'!D112,Data!D112)&lt;=1,0,1),1),1))</f>
        <v/>
      </c>
      <c r="E122" s="36" t="str">
        <f>IF(Data!B112="","",IF(ISNUMBER(MATCH(Data!E112,Data_Val!$A$2:$A$3,0)),0,1))</f>
        <v/>
      </c>
      <c r="F122" s="36" t="str">
        <f ca="1">IF(Data!B112="","",IF(ISNUMBER(Data!F112),IF(AND(Data!F112&gt;(TODAY()-(Data_Val!$H$3*365.25)),Data!F112&lt;=(TODAY()-(Data_Val!$H$2*365.25))),0,1),1))</f>
        <v/>
      </c>
      <c r="G122" s="12" t="str">
        <f>IF(Data!B112="","",IF(AND(Data!G112="",Data!H112&lt;&gt;""),1,IF(ISNUMBER(MATCH(Data!G112,Data_Val!$C$2:$C$5,0)),0,1)))</f>
        <v/>
      </c>
      <c r="H122" s="12" t="str">
        <f>IF(Data!B112="","",IF(AND(Data!G112&lt;&gt;"",Data!H112=""),1,IF(Data!G112="",1,IF(ISNUMBER(MATCH(Data!H112,Data_Val!$D$2:$D$35,0)),0,1))))</f>
        <v/>
      </c>
      <c r="I122" s="38" t="str">
        <f>IF(Data!G112="","",IF(Data!G112=Data_Val!$C$2,IF(Data!I112="",0,1),0))</f>
        <v/>
      </c>
      <c r="J122" s="38" t="str">
        <f>IF(Data!I112="","",IF(ISNUMBER(MATCH(Data!J112,Data_Val!$A$2:$A$3,0)),0,1))</f>
        <v/>
      </c>
      <c r="K122" s="38" t="str">
        <f ca="1">IF(Data!I112="","",IF(ISNUMBER(Data!K112),IF(AND(Data!K112&gt;(TODAY()-(Data_Val!$K$3*365.25)),Data!K112&lt;=(TODAY()-(Data_Val!$K$2*365.25))),0,1),1))</f>
        <v/>
      </c>
      <c r="L122" s="16" t="str">
        <f>IF(Data!G112="","",IF(Data!G112=Data_Val!$C$2,IF(Data!L112="",0,1),0))</f>
        <v/>
      </c>
      <c r="M122" s="16" t="str">
        <f>IF(Data!L112="","",IF(ISNUMBER(MATCH(Data!M112,Data_Val!$A$2:$A$3,0)),0,1))</f>
        <v/>
      </c>
      <c r="N122" s="43" t="str">
        <f ca="1">IF(Data!L112="","",IF(ISNUMBER(Data!N112),IF(AND(Data!N112&gt;(TODAY()-(Data_Val!$L$3*365.25)),Data!N112&lt;=(TODAY()-(Data_Val!$L$2*365.25))),0,1),1))</f>
        <v/>
      </c>
      <c r="O122" s="18" t="str">
        <f>IF(Data!$G112="","",IF(Data!$G112=Data_Val!$C$2,IF(Data!O112="",0,1),0))</f>
        <v/>
      </c>
      <c r="P122" s="18" t="str">
        <f>IF(Data!O112="","",IF(ISNUMBER(MATCH(Data!P112,Data_Val!$A$2:$A$3,0)),0,1))</f>
        <v/>
      </c>
      <c r="Q122" s="44" t="str">
        <f ca="1">IF(Data!O112="","",IF(ISNUMBER(Data!Q112),IF(AND(Data!Q112&gt;(TODAY()-(Data_Val!$L$3*365.25)),Data!Q112&lt;=(TODAY()-(Data_Val!$L$2*365.25))),0,1),1))</f>
        <v/>
      </c>
    </row>
    <row r="123" spans="1:17" ht="12" customHeight="1" x14ac:dyDescent="0.25">
      <c r="A123" s="36" t="str">
        <f>IF(Data!B113="","",IF(COUNTIFS(Data!A$1:'Data'!A113,Data!A113)&lt;=1,0,1))</f>
        <v/>
      </c>
      <c r="B123" s="36"/>
      <c r="C123" s="36" t="str">
        <f>IF(Data!C113="","",(IF(ISNUMBER(MATCH("*@*.?*",Data!C113,0)),0,1)+IF(COUNTIFS(Data!C$1:'Data'!C113,Data!C113)&gt;1,1,0)))</f>
        <v/>
      </c>
      <c r="D123" s="36" t="str">
        <f>IF(Data!B113="","",IF(ISNUMBER(Data!D113),IF(AND(Data!D113&gt;999999999,Data!D113&lt;=9999999999),IF(COUNTIFS(Data!D$1:'Data'!D113,Data!D113)&lt;=1,0,1),1),1))</f>
        <v/>
      </c>
      <c r="E123" s="36" t="str">
        <f>IF(Data!B113="","",IF(ISNUMBER(MATCH(Data!E113,Data_Val!$A$2:$A$3,0)),0,1))</f>
        <v/>
      </c>
      <c r="F123" s="36" t="str">
        <f ca="1">IF(Data!B113="","",IF(ISNUMBER(Data!F113),IF(AND(Data!F113&gt;(TODAY()-(Data_Val!$H$3*365.25)),Data!F113&lt;=(TODAY()-(Data_Val!$H$2*365.25))),0,1),1))</f>
        <v/>
      </c>
      <c r="G123" s="12" t="str">
        <f>IF(Data!B113="","",IF(AND(Data!G113="",Data!H113&lt;&gt;""),1,IF(ISNUMBER(MATCH(Data!G113,Data_Val!$C$2:$C$5,0)),0,1)))</f>
        <v/>
      </c>
      <c r="H123" s="12" t="str">
        <f>IF(Data!B113="","",IF(AND(Data!G113&lt;&gt;"",Data!H113=""),1,IF(Data!G113="",1,IF(ISNUMBER(MATCH(Data!H113,Data_Val!$D$2:$D$35,0)),0,1))))</f>
        <v/>
      </c>
      <c r="I123" s="38" t="str">
        <f>IF(Data!G113="","",IF(Data!G113=Data_Val!$C$2,IF(Data!I113="",0,1),0))</f>
        <v/>
      </c>
      <c r="J123" s="38" t="str">
        <f>IF(Data!I113="","",IF(ISNUMBER(MATCH(Data!J113,Data_Val!$A$2:$A$3,0)),0,1))</f>
        <v/>
      </c>
      <c r="K123" s="38" t="str">
        <f ca="1">IF(Data!I113="","",IF(ISNUMBER(Data!K113),IF(AND(Data!K113&gt;(TODAY()-(Data_Val!$K$3*365.25)),Data!K113&lt;=(TODAY()-(Data_Val!$K$2*365.25))),0,1),1))</f>
        <v/>
      </c>
      <c r="L123" s="16" t="str">
        <f>IF(Data!G113="","",IF(Data!G113=Data_Val!$C$2,IF(Data!L113="",0,1),0))</f>
        <v/>
      </c>
      <c r="M123" s="16" t="str">
        <f>IF(Data!L113="","",IF(ISNUMBER(MATCH(Data!M113,Data_Val!$A$2:$A$3,0)),0,1))</f>
        <v/>
      </c>
      <c r="N123" s="43" t="str">
        <f ca="1">IF(Data!L113="","",IF(ISNUMBER(Data!N113),IF(AND(Data!N113&gt;(TODAY()-(Data_Val!$L$3*365.25)),Data!N113&lt;=(TODAY()-(Data_Val!$L$2*365.25))),0,1),1))</f>
        <v/>
      </c>
      <c r="O123" s="18" t="str">
        <f>IF(Data!$G113="","",IF(Data!$G113=Data_Val!$C$2,IF(Data!O113="",0,1),0))</f>
        <v/>
      </c>
      <c r="P123" s="18" t="str">
        <f>IF(Data!O113="","",IF(ISNUMBER(MATCH(Data!P113,Data_Val!$A$2:$A$3,0)),0,1))</f>
        <v/>
      </c>
      <c r="Q123" s="44" t="str">
        <f ca="1">IF(Data!O113="","",IF(ISNUMBER(Data!Q113),IF(AND(Data!Q113&gt;(TODAY()-(Data_Val!$L$3*365.25)),Data!Q113&lt;=(TODAY()-(Data_Val!$L$2*365.25))),0,1),1))</f>
        <v/>
      </c>
    </row>
    <row r="124" spans="1:17" ht="12" customHeight="1" x14ac:dyDescent="0.25">
      <c r="A124" s="36" t="str">
        <f>IF(Data!B114="","",IF(COUNTIFS(Data!A$1:'Data'!A114,Data!A114)&lt;=1,0,1))</f>
        <v/>
      </c>
      <c r="B124" s="36"/>
      <c r="C124" s="36" t="str">
        <f>IF(Data!C114="","",(IF(ISNUMBER(MATCH("*@*.?*",Data!C114,0)),0,1)+IF(COUNTIFS(Data!C$1:'Data'!C114,Data!C114)&gt;1,1,0)))</f>
        <v/>
      </c>
      <c r="D124" s="36" t="str">
        <f>IF(Data!B114="","",IF(ISNUMBER(Data!D114),IF(AND(Data!D114&gt;999999999,Data!D114&lt;=9999999999),IF(COUNTIFS(Data!D$1:'Data'!D114,Data!D114)&lt;=1,0,1),1),1))</f>
        <v/>
      </c>
      <c r="E124" s="36" t="str">
        <f>IF(Data!B114="","",IF(ISNUMBER(MATCH(Data!E114,Data_Val!$A$2:$A$3,0)),0,1))</f>
        <v/>
      </c>
      <c r="F124" s="36" t="str">
        <f ca="1">IF(Data!B114="","",IF(ISNUMBER(Data!F114),IF(AND(Data!F114&gt;(TODAY()-(Data_Val!$H$3*365.25)),Data!F114&lt;=(TODAY()-(Data_Val!$H$2*365.25))),0,1),1))</f>
        <v/>
      </c>
      <c r="G124" s="12" t="str">
        <f>IF(Data!B114="","",IF(AND(Data!G114="",Data!H114&lt;&gt;""),1,IF(ISNUMBER(MATCH(Data!G114,Data_Val!$C$2:$C$5,0)),0,1)))</f>
        <v/>
      </c>
      <c r="H124" s="12" t="str">
        <f>IF(Data!B114="","",IF(AND(Data!G114&lt;&gt;"",Data!H114=""),1,IF(Data!G114="",1,IF(ISNUMBER(MATCH(Data!H114,Data_Val!$D$2:$D$35,0)),0,1))))</f>
        <v/>
      </c>
      <c r="I124" s="38" t="str">
        <f>IF(Data!G114="","",IF(Data!G114=Data_Val!$C$2,IF(Data!I114="",0,1),0))</f>
        <v/>
      </c>
      <c r="J124" s="38" t="str">
        <f>IF(Data!I114="","",IF(ISNUMBER(MATCH(Data!J114,Data_Val!$A$2:$A$3,0)),0,1))</f>
        <v/>
      </c>
      <c r="K124" s="38" t="str">
        <f ca="1">IF(Data!I114="","",IF(ISNUMBER(Data!K114),IF(AND(Data!K114&gt;(TODAY()-(Data_Val!$K$3*365.25)),Data!K114&lt;=(TODAY()-(Data_Val!$K$2*365.25))),0,1),1))</f>
        <v/>
      </c>
      <c r="L124" s="16" t="str">
        <f>IF(Data!G114="","",IF(Data!G114=Data_Val!$C$2,IF(Data!L114="",0,1),0))</f>
        <v/>
      </c>
      <c r="M124" s="16" t="str">
        <f>IF(Data!L114="","",IF(ISNUMBER(MATCH(Data!M114,Data_Val!$A$2:$A$3,0)),0,1))</f>
        <v/>
      </c>
      <c r="N124" s="43" t="str">
        <f ca="1">IF(Data!L114="","",IF(ISNUMBER(Data!N114),IF(AND(Data!N114&gt;(TODAY()-(Data_Val!$L$3*365.25)),Data!N114&lt;=(TODAY()-(Data_Val!$L$2*365.25))),0,1),1))</f>
        <v/>
      </c>
      <c r="O124" s="18" t="str">
        <f>IF(Data!$G114="","",IF(Data!$G114=Data_Val!$C$2,IF(Data!O114="",0,1),0))</f>
        <v/>
      </c>
      <c r="P124" s="18" t="str">
        <f>IF(Data!O114="","",IF(ISNUMBER(MATCH(Data!P114,Data_Val!$A$2:$A$3,0)),0,1))</f>
        <v/>
      </c>
      <c r="Q124" s="44" t="str">
        <f ca="1">IF(Data!O114="","",IF(ISNUMBER(Data!Q114),IF(AND(Data!Q114&gt;(TODAY()-(Data_Val!$L$3*365.25)),Data!Q114&lt;=(TODAY()-(Data_Val!$L$2*365.25))),0,1),1))</f>
        <v/>
      </c>
    </row>
    <row r="125" spans="1:17" ht="12" customHeight="1" x14ac:dyDescent="0.25">
      <c r="A125" s="36" t="str">
        <f>IF(Data!B115="","",IF(COUNTIFS(Data!A$1:'Data'!A115,Data!A115)&lt;=1,0,1))</f>
        <v/>
      </c>
      <c r="B125" s="36"/>
      <c r="C125" s="36" t="str">
        <f>IF(Data!C115="","",(IF(ISNUMBER(MATCH("*@*.?*",Data!C115,0)),0,1)+IF(COUNTIFS(Data!C$1:'Data'!C115,Data!C115)&gt;1,1,0)))</f>
        <v/>
      </c>
      <c r="D125" s="36" t="str">
        <f>IF(Data!B115="","",IF(ISNUMBER(Data!D115),IF(AND(Data!D115&gt;999999999,Data!D115&lt;=9999999999),IF(COUNTIFS(Data!D$1:'Data'!D115,Data!D115)&lt;=1,0,1),1),1))</f>
        <v/>
      </c>
      <c r="E125" s="36" t="str">
        <f>IF(Data!B115="","",IF(ISNUMBER(MATCH(Data!E115,Data_Val!$A$2:$A$3,0)),0,1))</f>
        <v/>
      </c>
      <c r="F125" s="36" t="str">
        <f ca="1">IF(Data!B115="","",IF(ISNUMBER(Data!F115),IF(AND(Data!F115&gt;(TODAY()-(Data_Val!$H$3*365.25)),Data!F115&lt;=(TODAY()-(Data_Val!$H$2*365.25))),0,1),1))</f>
        <v/>
      </c>
      <c r="G125" s="12" t="str">
        <f>IF(Data!B115="","",IF(AND(Data!G115="",Data!H115&lt;&gt;""),1,IF(ISNUMBER(MATCH(Data!G115,Data_Val!$C$2:$C$5,0)),0,1)))</f>
        <v/>
      </c>
      <c r="H125" s="12" t="str">
        <f>IF(Data!B115="","",IF(AND(Data!G115&lt;&gt;"",Data!H115=""),1,IF(Data!G115="",1,IF(ISNUMBER(MATCH(Data!H115,Data_Val!$D$2:$D$35,0)),0,1))))</f>
        <v/>
      </c>
      <c r="I125" s="38" t="str">
        <f>IF(Data!G115="","",IF(Data!G115=Data_Val!$C$2,IF(Data!I115="",0,1),0))</f>
        <v/>
      </c>
      <c r="J125" s="38" t="str">
        <f>IF(Data!I115="","",IF(ISNUMBER(MATCH(Data!J115,Data_Val!$A$2:$A$3,0)),0,1))</f>
        <v/>
      </c>
      <c r="K125" s="38" t="str">
        <f ca="1">IF(Data!I115="","",IF(ISNUMBER(Data!K115),IF(AND(Data!K115&gt;(TODAY()-(Data_Val!$K$3*365.25)),Data!K115&lt;=(TODAY()-(Data_Val!$K$2*365.25))),0,1),1))</f>
        <v/>
      </c>
      <c r="L125" s="16" t="str">
        <f>IF(Data!G115="","",IF(Data!G115=Data_Val!$C$2,IF(Data!L115="",0,1),0))</f>
        <v/>
      </c>
      <c r="M125" s="16" t="str">
        <f>IF(Data!L115="","",IF(ISNUMBER(MATCH(Data!M115,Data_Val!$A$2:$A$3,0)),0,1))</f>
        <v/>
      </c>
      <c r="N125" s="43" t="str">
        <f ca="1">IF(Data!L115="","",IF(ISNUMBER(Data!N115),IF(AND(Data!N115&gt;(TODAY()-(Data_Val!$L$3*365.25)),Data!N115&lt;=(TODAY()-(Data_Val!$L$2*365.25))),0,1),1))</f>
        <v/>
      </c>
      <c r="O125" s="18" t="str">
        <f>IF(Data!$G115="","",IF(Data!$G115=Data_Val!$C$2,IF(Data!O115="",0,1),0))</f>
        <v/>
      </c>
      <c r="P125" s="18" t="str">
        <f>IF(Data!O115="","",IF(ISNUMBER(MATCH(Data!P115,Data_Val!$A$2:$A$3,0)),0,1))</f>
        <v/>
      </c>
      <c r="Q125" s="44" t="str">
        <f ca="1">IF(Data!O115="","",IF(ISNUMBER(Data!Q115),IF(AND(Data!Q115&gt;(TODAY()-(Data_Val!$L$3*365.25)),Data!Q115&lt;=(TODAY()-(Data_Val!$L$2*365.25))),0,1),1))</f>
        <v/>
      </c>
    </row>
    <row r="126" spans="1:17" ht="12" customHeight="1" x14ac:dyDescent="0.25">
      <c r="A126" s="36" t="str">
        <f>IF(Data!B116="","",IF(COUNTIFS(Data!A$1:'Data'!A116,Data!A116)&lt;=1,0,1))</f>
        <v/>
      </c>
      <c r="B126" s="36"/>
      <c r="C126" s="36" t="str">
        <f>IF(Data!C116="","",(IF(ISNUMBER(MATCH("*@*.?*",Data!C116,0)),0,1)+IF(COUNTIFS(Data!C$1:'Data'!C116,Data!C116)&gt;1,1,0)))</f>
        <v/>
      </c>
      <c r="D126" s="36" t="str">
        <f>IF(Data!B116="","",IF(ISNUMBER(Data!D116),IF(AND(Data!D116&gt;999999999,Data!D116&lt;=9999999999),IF(COUNTIFS(Data!D$1:'Data'!D116,Data!D116)&lt;=1,0,1),1),1))</f>
        <v/>
      </c>
      <c r="E126" s="36" t="str">
        <f>IF(Data!B116="","",IF(ISNUMBER(MATCH(Data!E116,Data_Val!$A$2:$A$3,0)),0,1))</f>
        <v/>
      </c>
      <c r="F126" s="36" t="str">
        <f ca="1">IF(Data!B116="","",IF(ISNUMBER(Data!F116),IF(AND(Data!F116&gt;(TODAY()-(Data_Val!$H$3*365.25)),Data!F116&lt;=(TODAY()-(Data_Val!$H$2*365.25))),0,1),1))</f>
        <v/>
      </c>
      <c r="G126" s="12" t="str">
        <f>IF(Data!B116="","",IF(AND(Data!G116="",Data!H116&lt;&gt;""),1,IF(ISNUMBER(MATCH(Data!G116,Data_Val!$C$2:$C$5,0)),0,1)))</f>
        <v/>
      </c>
      <c r="H126" s="12" t="str">
        <f>IF(Data!B116="","",IF(AND(Data!G116&lt;&gt;"",Data!H116=""),1,IF(Data!G116="",1,IF(ISNUMBER(MATCH(Data!H116,Data_Val!$D$2:$D$35,0)),0,1))))</f>
        <v/>
      </c>
      <c r="I126" s="38" t="str">
        <f>IF(Data!G116="","",IF(Data!G116=Data_Val!$C$2,IF(Data!I116="",0,1),0))</f>
        <v/>
      </c>
      <c r="J126" s="38" t="str">
        <f>IF(Data!I116="","",IF(ISNUMBER(MATCH(Data!J116,Data_Val!$A$2:$A$3,0)),0,1))</f>
        <v/>
      </c>
      <c r="K126" s="38" t="str">
        <f ca="1">IF(Data!I116="","",IF(ISNUMBER(Data!K116),IF(AND(Data!K116&gt;(TODAY()-(Data_Val!$K$3*365.25)),Data!K116&lt;=(TODAY()-(Data_Val!$K$2*365.25))),0,1),1))</f>
        <v/>
      </c>
      <c r="L126" s="16" t="str">
        <f>IF(Data!G116="","",IF(Data!G116=Data_Val!$C$2,IF(Data!L116="",0,1),0))</f>
        <v/>
      </c>
      <c r="M126" s="16" t="str">
        <f>IF(Data!L116="","",IF(ISNUMBER(MATCH(Data!M116,Data_Val!$A$2:$A$3,0)),0,1))</f>
        <v/>
      </c>
      <c r="N126" s="43" t="str">
        <f ca="1">IF(Data!L116="","",IF(ISNUMBER(Data!N116),IF(AND(Data!N116&gt;(TODAY()-(Data_Val!$L$3*365.25)),Data!N116&lt;=(TODAY()-(Data_Val!$L$2*365.25))),0,1),1))</f>
        <v/>
      </c>
      <c r="O126" s="18" t="str">
        <f>IF(Data!$G116="","",IF(Data!$G116=Data_Val!$C$2,IF(Data!O116="",0,1),0))</f>
        <v/>
      </c>
      <c r="P126" s="18" t="str">
        <f>IF(Data!O116="","",IF(ISNUMBER(MATCH(Data!P116,Data_Val!$A$2:$A$3,0)),0,1))</f>
        <v/>
      </c>
      <c r="Q126" s="44" t="str">
        <f ca="1">IF(Data!O116="","",IF(ISNUMBER(Data!Q116),IF(AND(Data!Q116&gt;(TODAY()-(Data_Val!$L$3*365.25)),Data!Q116&lt;=(TODAY()-(Data_Val!$L$2*365.25))),0,1),1))</f>
        <v/>
      </c>
    </row>
    <row r="127" spans="1:17" ht="12" customHeight="1" x14ac:dyDescent="0.25">
      <c r="A127" s="36" t="str">
        <f>IF(Data!B117="","",IF(COUNTIFS(Data!A$1:'Data'!A117,Data!A117)&lt;=1,0,1))</f>
        <v/>
      </c>
      <c r="B127" s="36"/>
      <c r="C127" s="36" t="str">
        <f>IF(Data!C117="","",(IF(ISNUMBER(MATCH("*@*.?*",Data!C117,0)),0,1)+IF(COUNTIFS(Data!C$1:'Data'!C117,Data!C117)&gt;1,1,0)))</f>
        <v/>
      </c>
      <c r="D127" s="36" t="str">
        <f>IF(Data!B117="","",IF(ISNUMBER(Data!D117),IF(AND(Data!D117&gt;999999999,Data!D117&lt;=9999999999),IF(COUNTIFS(Data!D$1:'Data'!D117,Data!D117)&lt;=1,0,1),1),1))</f>
        <v/>
      </c>
      <c r="E127" s="36" t="str">
        <f>IF(Data!B117="","",IF(ISNUMBER(MATCH(Data!E117,Data_Val!$A$2:$A$3,0)),0,1))</f>
        <v/>
      </c>
      <c r="F127" s="36" t="str">
        <f ca="1">IF(Data!B117="","",IF(ISNUMBER(Data!F117),IF(AND(Data!F117&gt;(TODAY()-(Data_Val!$H$3*365.25)),Data!F117&lt;=(TODAY()-(Data_Val!$H$2*365.25))),0,1),1))</f>
        <v/>
      </c>
      <c r="G127" s="12" t="str">
        <f>IF(Data!B117="","",IF(AND(Data!G117="",Data!H117&lt;&gt;""),1,IF(ISNUMBER(MATCH(Data!G117,Data_Val!$C$2:$C$5,0)),0,1)))</f>
        <v/>
      </c>
      <c r="H127" s="12" t="str">
        <f>IF(Data!B117="","",IF(AND(Data!G117&lt;&gt;"",Data!H117=""),1,IF(Data!G117="",1,IF(ISNUMBER(MATCH(Data!H117,Data_Val!$D$2:$D$35,0)),0,1))))</f>
        <v/>
      </c>
      <c r="I127" s="38" t="str">
        <f>IF(Data!G117="","",IF(Data!G117=Data_Val!$C$2,IF(Data!I117="",0,1),0))</f>
        <v/>
      </c>
      <c r="J127" s="38" t="str">
        <f>IF(Data!I117="","",IF(ISNUMBER(MATCH(Data!J117,Data_Val!$A$2:$A$3,0)),0,1))</f>
        <v/>
      </c>
      <c r="K127" s="38" t="str">
        <f ca="1">IF(Data!I117="","",IF(ISNUMBER(Data!K117),IF(AND(Data!K117&gt;(TODAY()-(Data_Val!$K$3*365.25)),Data!K117&lt;=(TODAY()-(Data_Val!$K$2*365.25))),0,1),1))</f>
        <v/>
      </c>
      <c r="L127" s="16" t="str">
        <f>IF(Data!G117="","",IF(Data!G117=Data_Val!$C$2,IF(Data!L117="",0,1),0))</f>
        <v/>
      </c>
      <c r="M127" s="16" t="str">
        <f>IF(Data!L117="","",IF(ISNUMBER(MATCH(Data!M117,Data_Val!$A$2:$A$3,0)),0,1))</f>
        <v/>
      </c>
      <c r="N127" s="43" t="str">
        <f ca="1">IF(Data!L117="","",IF(ISNUMBER(Data!N117),IF(AND(Data!N117&gt;(TODAY()-(Data_Val!$L$3*365.25)),Data!N117&lt;=(TODAY()-(Data_Val!$L$2*365.25))),0,1),1))</f>
        <v/>
      </c>
      <c r="O127" s="18" t="str">
        <f>IF(Data!$G117="","",IF(Data!$G117=Data_Val!$C$2,IF(Data!O117="",0,1),0))</f>
        <v/>
      </c>
      <c r="P127" s="18" t="str">
        <f>IF(Data!O117="","",IF(ISNUMBER(MATCH(Data!P117,Data_Val!$A$2:$A$3,0)),0,1))</f>
        <v/>
      </c>
      <c r="Q127" s="44" t="str">
        <f ca="1">IF(Data!O117="","",IF(ISNUMBER(Data!Q117),IF(AND(Data!Q117&gt;(TODAY()-(Data_Val!$L$3*365.25)),Data!Q117&lt;=(TODAY()-(Data_Val!$L$2*365.25))),0,1),1))</f>
        <v/>
      </c>
    </row>
    <row r="128" spans="1:17" ht="12" customHeight="1" x14ac:dyDescent="0.25">
      <c r="A128" s="36" t="str">
        <f>IF(Data!B118="","",IF(COUNTIFS(Data!A$1:'Data'!A118,Data!A118)&lt;=1,0,1))</f>
        <v/>
      </c>
      <c r="B128" s="36"/>
      <c r="C128" s="36" t="str">
        <f>IF(Data!C118="","",(IF(ISNUMBER(MATCH("*@*.?*",Data!C118,0)),0,1)+IF(COUNTIFS(Data!C$1:'Data'!C118,Data!C118)&gt;1,1,0)))</f>
        <v/>
      </c>
      <c r="D128" s="36" t="str">
        <f>IF(Data!B118="","",IF(ISNUMBER(Data!D118),IF(AND(Data!D118&gt;999999999,Data!D118&lt;=9999999999),IF(COUNTIFS(Data!D$1:'Data'!D118,Data!D118)&lt;=1,0,1),1),1))</f>
        <v/>
      </c>
      <c r="E128" s="36" t="str">
        <f>IF(Data!B118="","",IF(ISNUMBER(MATCH(Data!E118,Data_Val!$A$2:$A$3,0)),0,1))</f>
        <v/>
      </c>
      <c r="F128" s="36" t="str">
        <f ca="1">IF(Data!B118="","",IF(ISNUMBER(Data!F118),IF(AND(Data!F118&gt;(TODAY()-(Data_Val!$H$3*365.25)),Data!F118&lt;=(TODAY()-(Data_Val!$H$2*365.25))),0,1),1))</f>
        <v/>
      </c>
      <c r="G128" s="12" t="str">
        <f>IF(Data!B118="","",IF(AND(Data!G118="",Data!H118&lt;&gt;""),1,IF(ISNUMBER(MATCH(Data!G118,Data_Val!$C$2:$C$5,0)),0,1)))</f>
        <v/>
      </c>
      <c r="H128" s="12" t="str">
        <f>IF(Data!B118="","",IF(AND(Data!G118&lt;&gt;"",Data!H118=""),1,IF(Data!G118="",1,IF(ISNUMBER(MATCH(Data!H118,Data_Val!$D$2:$D$35,0)),0,1))))</f>
        <v/>
      </c>
      <c r="I128" s="38" t="str">
        <f>IF(Data!G118="","",IF(Data!G118=Data_Val!$C$2,IF(Data!I118="",0,1),0))</f>
        <v/>
      </c>
      <c r="J128" s="38" t="str">
        <f>IF(Data!I118="","",IF(ISNUMBER(MATCH(Data!J118,Data_Val!$A$2:$A$3,0)),0,1))</f>
        <v/>
      </c>
      <c r="K128" s="38" t="str">
        <f ca="1">IF(Data!I118="","",IF(ISNUMBER(Data!K118),IF(AND(Data!K118&gt;(TODAY()-(Data_Val!$K$3*365.25)),Data!K118&lt;=(TODAY()-(Data_Val!$K$2*365.25))),0,1),1))</f>
        <v/>
      </c>
      <c r="L128" s="16" t="str">
        <f>IF(Data!G118="","",IF(Data!G118=Data_Val!$C$2,IF(Data!L118="",0,1),0))</f>
        <v/>
      </c>
      <c r="M128" s="16" t="str">
        <f>IF(Data!L118="","",IF(ISNUMBER(MATCH(Data!M118,Data_Val!$A$2:$A$3,0)),0,1))</f>
        <v/>
      </c>
      <c r="N128" s="43" t="str">
        <f ca="1">IF(Data!L118="","",IF(ISNUMBER(Data!N118),IF(AND(Data!N118&gt;(TODAY()-(Data_Val!$L$3*365.25)),Data!N118&lt;=(TODAY()-(Data_Val!$L$2*365.25))),0,1),1))</f>
        <v/>
      </c>
      <c r="O128" s="18" t="str">
        <f>IF(Data!$G118="","",IF(Data!$G118=Data_Val!$C$2,IF(Data!O118="",0,1),0))</f>
        <v/>
      </c>
      <c r="P128" s="18" t="str">
        <f>IF(Data!O118="","",IF(ISNUMBER(MATCH(Data!P118,Data_Val!$A$2:$A$3,0)),0,1))</f>
        <v/>
      </c>
      <c r="Q128" s="44" t="str">
        <f ca="1">IF(Data!O118="","",IF(ISNUMBER(Data!Q118),IF(AND(Data!Q118&gt;(TODAY()-(Data_Val!$L$3*365.25)),Data!Q118&lt;=(TODAY()-(Data_Val!$L$2*365.25))),0,1),1))</f>
        <v/>
      </c>
    </row>
    <row r="129" spans="1:17" ht="12" customHeight="1" x14ac:dyDescent="0.25">
      <c r="A129" s="36" t="str">
        <f>IF(Data!B119="","",IF(COUNTIFS(Data!A$1:'Data'!A119,Data!A119)&lt;=1,0,1))</f>
        <v/>
      </c>
      <c r="B129" s="36"/>
      <c r="C129" s="36" t="str">
        <f>IF(Data!C119="","",(IF(ISNUMBER(MATCH("*@*.?*",Data!C119,0)),0,1)+IF(COUNTIFS(Data!C$1:'Data'!C119,Data!C119)&gt;1,1,0)))</f>
        <v/>
      </c>
      <c r="D129" s="36" t="str">
        <f>IF(Data!B119="","",IF(ISNUMBER(Data!D119),IF(AND(Data!D119&gt;999999999,Data!D119&lt;=9999999999),IF(COUNTIFS(Data!D$1:'Data'!D119,Data!D119)&lt;=1,0,1),1),1))</f>
        <v/>
      </c>
      <c r="E129" s="36" t="str">
        <f>IF(Data!B119="","",IF(ISNUMBER(MATCH(Data!E119,Data_Val!$A$2:$A$3,0)),0,1))</f>
        <v/>
      </c>
      <c r="F129" s="36" t="str">
        <f ca="1">IF(Data!B119="","",IF(ISNUMBER(Data!F119),IF(AND(Data!F119&gt;(TODAY()-(Data_Val!$H$3*365.25)),Data!F119&lt;=(TODAY()-(Data_Val!$H$2*365.25))),0,1),1))</f>
        <v/>
      </c>
      <c r="G129" s="12" t="str">
        <f>IF(Data!B119="","",IF(AND(Data!G119="",Data!H119&lt;&gt;""),1,IF(ISNUMBER(MATCH(Data!G119,Data_Val!$C$2:$C$5,0)),0,1)))</f>
        <v/>
      </c>
      <c r="H129" s="12" t="str">
        <f>IF(Data!B119="","",IF(AND(Data!G119&lt;&gt;"",Data!H119=""),1,IF(Data!G119="",1,IF(ISNUMBER(MATCH(Data!H119,Data_Val!$D$2:$D$35,0)),0,1))))</f>
        <v/>
      </c>
      <c r="I129" s="38" t="str">
        <f>IF(Data!G119="","",IF(Data!G119=Data_Val!$C$2,IF(Data!I119="",0,1),0))</f>
        <v/>
      </c>
      <c r="J129" s="38" t="str">
        <f>IF(Data!I119="","",IF(ISNUMBER(MATCH(Data!J119,Data_Val!$A$2:$A$3,0)),0,1))</f>
        <v/>
      </c>
      <c r="K129" s="38" t="str">
        <f ca="1">IF(Data!I119="","",IF(ISNUMBER(Data!K119),IF(AND(Data!K119&gt;(TODAY()-(Data_Val!$K$3*365.25)),Data!K119&lt;=(TODAY()-(Data_Val!$K$2*365.25))),0,1),1))</f>
        <v/>
      </c>
      <c r="L129" s="16" t="str">
        <f>IF(Data!G119="","",IF(Data!G119=Data_Val!$C$2,IF(Data!L119="",0,1),0))</f>
        <v/>
      </c>
      <c r="M129" s="16" t="str">
        <f>IF(Data!L119="","",IF(ISNUMBER(MATCH(Data!M119,Data_Val!$A$2:$A$3,0)),0,1))</f>
        <v/>
      </c>
      <c r="N129" s="43" t="str">
        <f ca="1">IF(Data!L119="","",IF(ISNUMBER(Data!N119),IF(AND(Data!N119&gt;(TODAY()-(Data_Val!$L$3*365.25)),Data!N119&lt;=(TODAY()-(Data_Val!$L$2*365.25))),0,1),1))</f>
        <v/>
      </c>
      <c r="O129" s="18" t="str">
        <f>IF(Data!$G119="","",IF(Data!$G119=Data_Val!$C$2,IF(Data!O119="",0,1),0))</f>
        <v/>
      </c>
      <c r="P129" s="18" t="str">
        <f>IF(Data!O119="","",IF(ISNUMBER(MATCH(Data!P119,Data_Val!$A$2:$A$3,0)),0,1))</f>
        <v/>
      </c>
      <c r="Q129" s="44" t="str">
        <f ca="1">IF(Data!O119="","",IF(ISNUMBER(Data!Q119),IF(AND(Data!Q119&gt;(TODAY()-(Data_Val!$L$3*365.25)),Data!Q119&lt;=(TODAY()-(Data_Val!$L$2*365.25))),0,1),1))</f>
        <v/>
      </c>
    </row>
    <row r="130" spans="1:17" ht="12" customHeight="1" x14ac:dyDescent="0.25">
      <c r="A130" s="36" t="str">
        <f>IF(Data!B120="","",IF(COUNTIFS(Data!A$1:'Data'!A120,Data!A120)&lt;=1,0,1))</f>
        <v/>
      </c>
      <c r="B130" s="36"/>
      <c r="C130" s="36" t="str">
        <f>IF(Data!C120="","",(IF(ISNUMBER(MATCH("*@*.?*",Data!C120,0)),0,1)+IF(COUNTIFS(Data!C$1:'Data'!C120,Data!C120)&gt;1,1,0)))</f>
        <v/>
      </c>
      <c r="D130" s="36" t="str">
        <f>IF(Data!B120="","",IF(ISNUMBER(Data!D120),IF(AND(Data!D120&gt;999999999,Data!D120&lt;=9999999999),IF(COUNTIFS(Data!D$1:'Data'!D120,Data!D120)&lt;=1,0,1),1),1))</f>
        <v/>
      </c>
      <c r="E130" s="36" t="str">
        <f>IF(Data!B120="","",IF(ISNUMBER(MATCH(Data!E120,Data_Val!$A$2:$A$3,0)),0,1))</f>
        <v/>
      </c>
      <c r="F130" s="36" t="str">
        <f ca="1">IF(Data!B120="","",IF(ISNUMBER(Data!F120),IF(AND(Data!F120&gt;(TODAY()-(Data_Val!$H$3*365.25)),Data!F120&lt;=(TODAY()-(Data_Val!$H$2*365.25))),0,1),1))</f>
        <v/>
      </c>
      <c r="G130" s="12" t="str">
        <f>IF(Data!B120="","",IF(AND(Data!G120="",Data!H120&lt;&gt;""),1,IF(ISNUMBER(MATCH(Data!G120,Data_Val!$C$2:$C$5,0)),0,1)))</f>
        <v/>
      </c>
      <c r="H130" s="12" t="str">
        <f>IF(Data!B120="","",IF(AND(Data!G120&lt;&gt;"",Data!H120=""),1,IF(Data!G120="",1,IF(ISNUMBER(MATCH(Data!H120,Data_Val!$D$2:$D$35,0)),0,1))))</f>
        <v/>
      </c>
      <c r="I130" s="38" t="str">
        <f>IF(Data!G120="","",IF(Data!G120=Data_Val!$C$2,IF(Data!I120="",0,1),0))</f>
        <v/>
      </c>
      <c r="J130" s="38" t="str">
        <f>IF(Data!I120="","",IF(ISNUMBER(MATCH(Data!J120,Data_Val!$A$2:$A$3,0)),0,1))</f>
        <v/>
      </c>
      <c r="K130" s="38" t="str">
        <f ca="1">IF(Data!I120="","",IF(ISNUMBER(Data!K120),IF(AND(Data!K120&gt;(TODAY()-(Data_Val!$K$3*365.25)),Data!K120&lt;=(TODAY()-(Data_Val!$K$2*365.25))),0,1),1))</f>
        <v/>
      </c>
      <c r="L130" s="16" t="str">
        <f>IF(Data!G120="","",IF(Data!G120=Data_Val!$C$2,IF(Data!L120="",0,1),0))</f>
        <v/>
      </c>
      <c r="M130" s="16" t="str">
        <f>IF(Data!L120="","",IF(ISNUMBER(MATCH(Data!M120,Data_Val!$A$2:$A$3,0)),0,1))</f>
        <v/>
      </c>
      <c r="N130" s="43" t="str">
        <f ca="1">IF(Data!L120="","",IF(ISNUMBER(Data!N120),IF(AND(Data!N120&gt;(TODAY()-(Data_Val!$L$3*365.25)),Data!N120&lt;=(TODAY()-(Data_Val!$L$2*365.25))),0,1),1))</f>
        <v/>
      </c>
      <c r="O130" s="18" t="str">
        <f>IF(Data!$G120="","",IF(Data!$G120=Data_Val!$C$2,IF(Data!O120="",0,1),0))</f>
        <v/>
      </c>
      <c r="P130" s="18" t="str">
        <f>IF(Data!O120="","",IF(ISNUMBER(MATCH(Data!P120,Data_Val!$A$2:$A$3,0)),0,1))</f>
        <v/>
      </c>
      <c r="Q130" s="44" t="str">
        <f ca="1">IF(Data!O120="","",IF(ISNUMBER(Data!Q120),IF(AND(Data!Q120&gt;(TODAY()-(Data_Val!$L$3*365.25)),Data!Q120&lt;=(TODAY()-(Data_Val!$L$2*365.25))),0,1),1))</f>
        <v/>
      </c>
    </row>
    <row r="131" spans="1:17" ht="12" customHeight="1" x14ac:dyDescent="0.25">
      <c r="A131" s="36" t="str">
        <f>IF(Data!B121="","",IF(COUNTIFS(Data!A$1:'Data'!A121,Data!A121)&lt;=1,0,1))</f>
        <v/>
      </c>
      <c r="B131" s="36"/>
      <c r="C131" s="36" t="str">
        <f>IF(Data!C121="","",(IF(ISNUMBER(MATCH("*@*.?*",Data!C121,0)),0,1)+IF(COUNTIFS(Data!C$1:'Data'!C121,Data!C121)&gt;1,1,0)))</f>
        <v/>
      </c>
      <c r="D131" s="36" t="str">
        <f>IF(Data!B121="","",IF(ISNUMBER(Data!D121),IF(AND(Data!D121&gt;999999999,Data!D121&lt;=9999999999),IF(COUNTIFS(Data!D$1:'Data'!D121,Data!D121)&lt;=1,0,1),1),1))</f>
        <v/>
      </c>
      <c r="E131" s="36" t="str">
        <f>IF(Data!B121="","",IF(ISNUMBER(MATCH(Data!E121,Data_Val!$A$2:$A$3,0)),0,1))</f>
        <v/>
      </c>
      <c r="F131" s="36" t="str">
        <f ca="1">IF(Data!B121="","",IF(ISNUMBER(Data!F121),IF(AND(Data!F121&gt;(TODAY()-(Data_Val!$H$3*365.25)),Data!F121&lt;=(TODAY()-(Data_Val!$H$2*365.25))),0,1),1))</f>
        <v/>
      </c>
      <c r="G131" s="12" t="str">
        <f>IF(Data!B121="","",IF(AND(Data!G121="",Data!H121&lt;&gt;""),1,IF(ISNUMBER(MATCH(Data!G121,Data_Val!$C$2:$C$5,0)),0,1)))</f>
        <v/>
      </c>
      <c r="H131" s="12" t="str">
        <f>IF(Data!B121="","",IF(AND(Data!G121&lt;&gt;"",Data!H121=""),1,IF(Data!G121="",1,IF(ISNUMBER(MATCH(Data!H121,Data_Val!$D$2:$D$35,0)),0,1))))</f>
        <v/>
      </c>
      <c r="I131" s="38" t="str">
        <f>IF(Data!G121="","",IF(Data!G121=Data_Val!$C$2,IF(Data!I121="",0,1),0))</f>
        <v/>
      </c>
      <c r="J131" s="38" t="str">
        <f>IF(Data!I121="","",IF(ISNUMBER(MATCH(Data!J121,Data_Val!$A$2:$A$3,0)),0,1))</f>
        <v/>
      </c>
      <c r="K131" s="38" t="str">
        <f ca="1">IF(Data!I121="","",IF(ISNUMBER(Data!K121),IF(AND(Data!K121&gt;(TODAY()-(Data_Val!$K$3*365.25)),Data!K121&lt;=(TODAY()-(Data_Val!$K$2*365.25))),0,1),1))</f>
        <v/>
      </c>
      <c r="L131" s="16" t="str">
        <f>IF(Data!G121="","",IF(Data!G121=Data_Val!$C$2,IF(Data!L121="",0,1),0))</f>
        <v/>
      </c>
      <c r="M131" s="16" t="str">
        <f>IF(Data!L121="","",IF(ISNUMBER(MATCH(Data!M121,Data_Val!$A$2:$A$3,0)),0,1))</f>
        <v/>
      </c>
      <c r="N131" s="43" t="str">
        <f ca="1">IF(Data!L121="","",IF(ISNUMBER(Data!N121),IF(AND(Data!N121&gt;(TODAY()-(Data_Val!$L$3*365.25)),Data!N121&lt;=(TODAY()-(Data_Val!$L$2*365.25))),0,1),1))</f>
        <v/>
      </c>
      <c r="O131" s="18" t="str">
        <f>IF(Data!$G121="","",IF(Data!$G121=Data_Val!$C$2,IF(Data!O121="",0,1),0))</f>
        <v/>
      </c>
      <c r="P131" s="18" t="str">
        <f>IF(Data!O121="","",IF(ISNUMBER(MATCH(Data!P121,Data_Val!$A$2:$A$3,0)),0,1))</f>
        <v/>
      </c>
      <c r="Q131" s="44" t="str">
        <f ca="1">IF(Data!O121="","",IF(ISNUMBER(Data!Q121),IF(AND(Data!Q121&gt;(TODAY()-(Data_Val!$L$3*365.25)),Data!Q121&lt;=(TODAY()-(Data_Val!$L$2*365.25))),0,1),1))</f>
        <v/>
      </c>
    </row>
    <row r="132" spans="1:17" ht="12" customHeight="1" x14ac:dyDescent="0.25">
      <c r="A132" s="36" t="str">
        <f>IF(Data!B122="","",IF(COUNTIFS(Data!A$1:'Data'!A122,Data!A122)&lt;=1,0,1))</f>
        <v/>
      </c>
      <c r="B132" s="36"/>
      <c r="C132" s="36" t="str">
        <f>IF(Data!C122="","",(IF(ISNUMBER(MATCH("*@*.?*",Data!C122,0)),0,1)+IF(COUNTIFS(Data!C$1:'Data'!C122,Data!C122)&gt;1,1,0)))</f>
        <v/>
      </c>
      <c r="D132" s="36" t="str">
        <f>IF(Data!B122="","",IF(ISNUMBER(Data!D122),IF(AND(Data!D122&gt;999999999,Data!D122&lt;=9999999999),IF(COUNTIFS(Data!D$1:'Data'!D122,Data!D122)&lt;=1,0,1),1),1))</f>
        <v/>
      </c>
      <c r="E132" s="36" t="str">
        <f>IF(Data!B122="","",IF(ISNUMBER(MATCH(Data!E122,Data_Val!$A$2:$A$3,0)),0,1))</f>
        <v/>
      </c>
      <c r="F132" s="36" t="str">
        <f ca="1">IF(Data!B122="","",IF(ISNUMBER(Data!F122),IF(AND(Data!F122&gt;(TODAY()-(Data_Val!$H$3*365.25)),Data!F122&lt;=(TODAY()-(Data_Val!$H$2*365.25))),0,1),1))</f>
        <v/>
      </c>
      <c r="G132" s="12" t="str">
        <f>IF(Data!B122="","",IF(AND(Data!G122="",Data!H122&lt;&gt;""),1,IF(ISNUMBER(MATCH(Data!G122,Data_Val!$C$2:$C$5,0)),0,1)))</f>
        <v/>
      </c>
      <c r="H132" s="12" t="str">
        <f>IF(Data!B122="","",IF(AND(Data!G122&lt;&gt;"",Data!H122=""),1,IF(Data!G122="",1,IF(ISNUMBER(MATCH(Data!H122,Data_Val!$D$2:$D$35,0)),0,1))))</f>
        <v/>
      </c>
      <c r="I132" s="38" t="str">
        <f>IF(Data!G122="","",IF(Data!G122=Data_Val!$C$2,IF(Data!I122="",0,1),0))</f>
        <v/>
      </c>
      <c r="J132" s="38" t="str">
        <f>IF(Data!I122="","",IF(ISNUMBER(MATCH(Data!J122,Data_Val!$A$2:$A$3,0)),0,1))</f>
        <v/>
      </c>
      <c r="K132" s="38" t="str">
        <f ca="1">IF(Data!I122="","",IF(ISNUMBER(Data!K122),IF(AND(Data!K122&gt;(TODAY()-(Data_Val!$K$3*365.25)),Data!K122&lt;=(TODAY()-(Data_Val!$K$2*365.25))),0,1),1))</f>
        <v/>
      </c>
      <c r="L132" s="16" t="str">
        <f>IF(Data!G122="","",IF(Data!G122=Data_Val!$C$2,IF(Data!L122="",0,1),0))</f>
        <v/>
      </c>
      <c r="M132" s="16" t="str">
        <f>IF(Data!L122="","",IF(ISNUMBER(MATCH(Data!M122,Data_Val!$A$2:$A$3,0)),0,1))</f>
        <v/>
      </c>
      <c r="N132" s="43" t="str">
        <f ca="1">IF(Data!L122="","",IF(ISNUMBER(Data!N122),IF(AND(Data!N122&gt;(TODAY()-(Data_Val!$L$3*365.25)),Data!N122&lt;=(TODAY()-(Data_Val!$L$2*365.25))),0,1),1))</f>
        <v/>
      </c>
      <c r="O132" s="18" t="str">
        <f>IF(Data!$G122="","",IF(Data!$G122=Data_Val!$C$2,IF(Data!O122="",0,1),0))</f>
        <v/>
      </c>
      <c r="P132" s="18" t="str">
        <f>IF(Data!O122="","",IF(ISNUMBER(MATCH(Data!P122,Data_Val!$A$2:$A$3,0)),0,1))</f>
        <v/>
      </c>
      <c r="Q132" s="44" t="str">
        <f ca="1">IF(Data!O122="","",IF(ISNUMBER(Data!Q122),IF(AND(Data!Q122&gt;(TODAY()-(Data_Val!$L$3*365.25)),Data!Q122&lt;=(TODAY()-(Data_Val!$L$2*365.25))),0,1),1))</f>
        <v/>
      </c>
    </row>
    <row r="133" spans="1:17" ht="12" customHeight="1" x14ac:dyDescent="0.25">
      <c r="A133" s="36" t="str">
        <f>IF(Data!B123="","",IF(COUNTIFS(Data!A$1:'Data'!A123,Data!A123)&lt;=1,0,1))</f>
        <v/>
      </c>
      <c r="B133" s="36"/>
      <c r="C133" s="36" t="str">
        <f>IF(Data!C123="","",(IF(ISNUMBER(MATCH("*@*.?*",Data!C123,0)),0,1)+IF(COUNTIFS(Data!C$1:'Data'!C123,Data!C123)&gt;1,1,0)))</f>
        <v/>
      </c>
      <c r="D133" s="36" t="str">
        <f>IF(Data!B123="","",IF(ISNUMBER(Data!D123),IF(AND(Data!D123&gt;999999999,Data!D123&lt;=9999999999),IF(COUNTIFS(Data!D$1:'Data'!D123,Data!D123)&lt;=1,0,1),1),1))</f>
        <v/>
      </c>
      <c r="E133" s="36" t="str">
        <f>IF(Data!B123="","",IF(ISNUMBER(MATCH(Data!E123,Data_Val!$A$2:$A$3,0)),0,1))</f>
        <v/>
      </c>
      <c r="F133" s="36" t="str">
        <f ca="1">IF(Data!B123="","",IF(ISNUMBER(Data!F123),IF(AND(Data!F123&gt;(TODAY()-(Data_Val!$H$3*365.25)),Data!F123&lt;=(TODAY()-(Data_Val!$H$2*365.25))),0,1),1))</f>
        <v/>
      </c>
      <c r="G133" s="12" t="str">
        <f>IF(Data!B123="","",IF(AND(Data!G123="",Data!H123&lt;&gt;""),1,IF(ISNUMBER(MATCH(Data!G123,Data_Val!$C$2:$C$5,0)),0,1)))</f>
        <v/>
      </c>
      <c r="H133" s="12" t="str">
        <f>IF(Data!B123="","",IF(AND(Data!G123&lt;&gt;"",Data!H123=""),1,IF(Data!G123="",1,IF(ISNUMBER(MATCH(Data!H123,Data_Val!$D$2:$D$35,0)),0,1))))</f>
        <v/>
      </c>
      <c r="I133" s="38" t="str">
        <f>IF(Data!G123="","",IF(Data!G123=Data_Val!$C$2,IF(Data!I123="",0,1),0))</f>
        <v/>
      </c>
      <c r="J133" s="38" t="str">
        <f>IF(Data!I123="","",IF(ISNUMBER(MATCH(Data!J123,Data_Val!$A$2:$A$3,0)),0,1))</f>
        <v/>
      </c>
      <c r="K133" s="38" t="str">
        <f ca="1">IF(Data!I123="","",IF(ISNUMBER(Data!K123),IF(AND(Data!K123&gt;(TODAY()-(Data_Val!$K$3*365.25)),Data!K123&lt;=(TODAY()-(Data_Val!$K$2*365.25))),0,1),1))</f>
        <v/>
      </c>
      <c r="L133" s="16" t="str">
        <f>IF(Data!G123="","",IF(Data!G123=Data_Val!$C$2,IF(Data!L123="",0,1),0))</f>
        <v/>
      </c>
      <c r="M133" s="16" t="str">
        <f>IF(Data!L123="","",IF(ISNUMBER(MATCH(Data!M123,Data_Val!$A$2:$A$3,0)),0,1))</f>
        <v/>
      </c>
      <c r="N133" s="43" t="str">
        <f ca="1">IF(Data!L123="","",IF(ISNUMBER(Data!N123),IF(AND(Data!N123&gt;(TODAY()-(Data_Val!$L$3*365.25)),Data!N123&lt;=(TODAY()-(Data_Val!$L$2*365.25))),0,1),1))</f>
        <v/>
      </c>
      <c r="O133" s="18" t="str">
        <f>IF(Data!$G123="","",IF(Data!$G123=Data_Val!$C$2,IF(Data!O123="",0,1),0))</f>
        <v/>
      </c>
      <c r="P133" s="18" t="str">
        <f>IF(Data!O123="","",IF(ISNUMBER(MATCH(Data!P123,Data_Val!$A$2:$A$3,0)),0,1))</f>
        <v/>
      </c>
      <c r="Q133" s="44" t="str">
        <f ca="1">IF(Data!O123="","",IF(ISNUMBER(Data!Q123),IF(AND(Data!Q123&gt;(TODAY()-(Data_Val!$L$3*365.25)),Data!Q123&lt;=(TODAY()-(Data_Val!$L$2*365.25))),0,1),1))</f>
        <v/>
      </c>
    </row>
    <row r="134" spans="1:17" ht="12" customHeight="1" x14ac:dyDescent="0.25">
      <c r="A134" s="36" t="str">
        <f>IF(Data!B124="","",IF(COUNTIFS(Data!A$1:'Data'!A124,Data!A124)&lt;=1,0,1))</f>
        <v/>
      </c>
      <c r="B134" s="36"/>
      <c r="C134" s="36" t="str">
        <f>IF(Data!C124="","",(IF(ISNUMBER(MATCH("*@*.?*",Data!C124,0)),0,1)+IF(COUNTIFS(Data!C$1:'Data'!C124,Data!C124)&gt;1,1,0)))</f>
        <v/>
      </c>
      <c r="D134" s="36" t="str">
        <f>IF(Data!B124="","",IF(ISNUMBER(Data!D124),IF(AND(Data!D124&gt;999999999,Data!D124&lt;=9999999999),IF(COUNTIFS(Data!D$1:'Data'!D124,Data!D124)&lt;=1,0,1),1),1))</f>
        <v/>
      </c>
      <c r="E134" s="36" t="str">
        <f>IF(Data!B124="","",IF(ISNUMBER(MATCH(Data!E124,Data_Val!$A$2:$A$3,0)),0,1))</f>
        <v/>
      </c>
      <c r="F134" s="36" t="str">
        <f ca="1">IF(Data!B124="","",IF(ISNUMBER(Data!F124),IF(AND(Data!F124&gt;(TODAY()-(Data_Val!$H$3*365.25)),Data!F124&lt;=(TODAY()-(Data_Val!$H$2*365.25))),0,1),1))</f>
        <v/>
      </c>
      <c r="G134" s="12" t="str">
        <f>IF(Data!B124="","",IF(AND(Data!G124="",Data!H124&lt;&gt;""),1,IF(ISNUMBER(MATCH(Data!G124,Data_Val!$C$2:$C$5,0)),0,1)))</f>
        <v/>
      </c>
      <c r="H134" s="12" t="str">
        <f>IF(Data!B124="","",IF(AND(Data!G124&lt;&gt;"",Data!H124=""),1,IF(Data!G124="",1,IF(ISNUMBER(MATCH(Data!H124,Data_Val!$D$2:$D$35,0)),0,1))))</f>
        <v/>
      </c>
      <c r="I134" s="38" t="str">
        <f>IF(Data!G124="","",IF(Data!G124=Data_Val!$C$2,IF(Data!I124="",0,1),0))</f>
        <v/>
      </c>
      <c r="J134" s="38" t="str">
        <f>IF(Data!I124="","",IF(ISNUMBER(MATCH(Data!J124,Data_Val!$A$2:$A$3,0)),0,1))</f>
        <v/>
      </c>
      <c r="K134" s="38" t="str">
        <f ca="1">IF(Data!I124="","",IF(ISNUMBER(Data!K124),IF(AND(Data!K124&gt;(TODAY()-(Data_Val!$K$3*365.25)),Data!K124&lt;=(TODAY()-(Data_Val!$K$2*365.25))),0,1),1))</f>
        <v/>
      </c>
      <c r="L134" s="16" t="str">
        <f>IF(Data!G124="","",IF(Data!G124=Data_Val!$C$2,IF(Data!L124="",0,1),0))</f>
        <v/>
      </c>
      <c r="M134" s="16" t="str">
        <f>IF(Data!L124="","",IF(ISNUMBER(MATCH(Data!M124,Data_Val!$A$2:$A$3,0)),0,1))</f>
        <v/>
      </c>
      <c r="N134" s="43" t="str">
        <f ca="1">IF(Data!L124="","",IF(ISNUMBER(Data!N124),IF(AND(Data!N124&gt;(TODAY()-(Data_Val!$L$3*365.25)),Data!N124&lt;=(TODAY()-(Data_Val!$L$2*365.25))),0,1),1))</f>
        <v/>
      </c>
      <c r="O134" s="18" t="str">
        <f>IF(Data!$G124="","",IF(Data!$G124=Data_Val!$C$2,IF(Data!O124="",0,1),0))</f>
        <v/>
      </c>
      <c r="P134" s="18" t="str">
        <f>IF(Data!O124="","",IF(ISNUMBER(MATCH(Data!P124,Data_Val!$A$2:$A$3,0)),0,1))</f>
        <v/>
      </c>
      <c r="Q134" s="44" t="str">
        <f ca="1">IF(Data!O124="","",IF(ISNUMBER(Data!Q124),IF(AND(Data!Q124&gt;(TODAY()-(Data_Val!$L$3*365.25)),Data!Q124&lt;=(TODAY()-(Data_Val!$L$2*365.25))),0,1),1))</f>
        <v/>
      </c>
    </row>
    <row r="135" spans="1:17" ht="12" customHeight="1" x14ac:dyDescent="0.25">
      <c r="A135" s="36" t="str">
        <f>IF(Data!B125="","",IF(COUNTIFS(Data!A$1:'Data'!A125,Data!A125)&lt;=1,0,1))</f>
        <v/>
      </c>
      <c r="B135" s="36"/>
      <c r="C135" s="36" t="str">
        <f>IF(Data!C125="","",(IF(ISNUMBER(MATCH("*@*.?*",Data!C125,0)),0,1)+IF(COUNTIFS(Data!C$1:'Data'!C125,Data!C125)&gt;1,1,0)))</f>
        <v/>
      </c>
      <c r="D135" s="36" t="str">
        <f>IF(Data!B125="","",IF(ISNUMBER(Data!D125),IF(AND(Data!D125&gt;999999999,Data!D125&lt;=9999999999),IF(COUNTIFS(Data!D$1:'Data'!D125,Data!D125)&lt;=1,0,1),1),1))</f>
        <v/>
      </c>
      <c r="E135" s="36" t="str">
        <f>IF(Data!B125="","",IF(ISNUMBER(MATCH(Data!E125,Data_Val!$A$2:$A$3,0)),0,1))</f>
        <v/>
      </c>
      <c r="F135" s="36" t="str">
        <f ca="1">IF(Data!B125="","",IF(ISNUMBER(Data!F125),IF(AND(Data!F125&gt;(TODAY()-(Data_Val!$H$3*365.25)),Data!F125&lt;=(TODAY()-(Data_Val!$H$2*365.25))),0,1),1))</f>
        <v/>
      </c>
      <c r="G135" s="12" t="str">
        <f>IF(Data!B125="","",IF(AND(Data!G125="",Data!H125&lt;&gt;""),1,IF(ISNUMBER(MATCH(Data!G125,Data_Val!$C$2:$C$5,0)),0,1)))</f>
        <v/>
      </c>
      <c r="H135" s="12" t="str">
        <f>IF(Data!B125="","",IF(AND(Data!G125&lt;&gt;"",Data!H125=""),1,IF(Data!G125="",1,IF(ISNUMBER(MATCH(Data!H125,Data_Val!$D$2:$D$35,0)),0,1))))</f>
        <v/>
      </c>
      <c r="I135" s="38" t="str">
        <f>IF(Data!G125="","",IF(Data!G125=Data_Val!$C$2,IF(Data!I125="",0,1),0))</f>
        <v/>
      </c>
      <c r="J135" s="38" t="str">
        <f>IF(Data!I125="","",IF(ISNUMBER(MATCH(Data!J125,Data_Val!$A$2:$A$3,0)),0,1))</f>
        <v/>
      </c>
      <c r="K135" s="38" t="str">
        <f ca="1">IF(Data!I125="","",IF(ISNUMBER(Data!K125),IF(AND(Data!K125&gt;(TODAY()-(Data_Val!$K$3*365.25)),Data!K125&lt;=(TODAY()-(Data_Val!$K$2*365.25))),0,1),1))</f>
        <v/>
      </c>
      <c r="L135" s="16" t="str">
        <f>IF(Data!G125="","",IF(Data!G125=Data_Val!$C$2,IF(Data!L125="",0,1),0))</f>
        <v/>
      </c>
      <c r="M135" s="16" t="str">
        <f>IF(Data!L125="","",IF(ISNUMBER(MATCH(Data!M125,Data_Val!$A$2:$A$3,0)),0,1))</f>
        <v/>
      </c>
      <c r="N135" s="43" t="str">
        <f ca="1">IF(Data!L125="","",IF(ISNUMBER(Data!N125),IF(AND(Data!N125&gt;(TODAY()-(Data_Val!$L$3*365.25)),Data!N125&lt;=(TODAY()-(Data_Val!$L$2*365.25))),0,1),1))</f>
        <v/>
      </c>
      <c r="O135" s="18" t="str">
        <f>IF(Data!$G125="","",IF(Data!$G125=Data_Val!$C$2,IF(Data!O125="",0,1),0))</f>
        <v/>
      </c>
      <c r="P135" s="18" t="str">
        <f>IF(Data!O125="","",IF(ISNUMBER(MATCH(Data!P125,Data_Val!$A$2:$A$3,0)),0,1))</f>
        <v/>
      </c>
      <c r="Q135" s="44" t="str">
        <f ca="1">IF(Data!O125="","",IF(ISNUMBER(Data!Q125),IF(AND(Data!Q125&gt;(TODAY()-(Data_Val!$L$3*365.25)),Data!Q125&lt;=(TODAY()-(Data_Val!$L$2*365.25))),0,1),1))</f>
        <v/>
      </c>
    </row>
    <row r="136" spans="1:17" ht="12" customHeight="1" x14ac:dyDescent="0.25">
      <c r="A136" s="36" t="str">
        <f>IF(Data!B126="","",IF(COUNTIFS(Data!A$1:'Data'!A126,Data!A126)&lt;=1,0,1))</f>
        <v/>
      </c>
      <c r="B136" s="36"/>
      <c r="C136" s="36" t="str">
        <f>IF(Data!C126="","",(IF(ISNUMBER(MATCH("*@*.?*",Data!C126,0)),0,1)+IF(COUNTIFS(Data!C$1:'Data'!C126,Data!C126)&gt;1,1,0)))</f>
        <v/>
      </c>
      <c r="D136" s="36" t="str">
        <f>IF(Data!B126="","",IF(ISNUMBER(Data!D126),IF(AND(Data!D126&gt;999999999,Data!D126&lt;=9999999999),IF(COUNTIFS(Data!D$1:'Data'!D126,Data!D126)&lt;=1,0,1),1),1))</f>
        <v/>
      </c>
      <c r="E136" s="36" t="str">
        <f>IF(Data!B126="","",IF(ISNUMBER(MATCH(Data!E126,Data_Val!$A$2:$A$3,0)),0,1))</f>
        <v/>
      </c>
      <c r="F136" s="36" t="str">
        <f ca="1">IF(Data!B126="","",IF(ISNUMBER(Data!F126),IF(AND(Data!F126&gt;(TODAY()-(Data_Val!$H$3*365.25)),Data!F126&lt;=(TODAY()-(Data_Val!$H$2*365.25))),0,1),1))</f>
        <v/>
      </c>
      <c r="G136" s="12" t="str">
        <f>IF(Data!B126="","",IF(AND(Data!G126="",Data!H126&lt;&gt;""),1,IF(ISNUMBER(MATCH(Data!G126,Data_Val!$C$2:$C$5,0)),0,1)))</f>
        <v/>
      </c>
      <c r="H136" s="12" t="str">
        <f>IF(Data!B126="","",IF(AND(Data!G126&lt;&gt;"",Data!H126=""),1,IF(Data!G126="",1,IF(ISNUMBER(MATCH(Data!H126,Data_Val!$D$2:$D$35,0)),0,1))))</f>
        <v/>
      </c>
      <c r="I136" s="38" t="str">
        <f>IF(Data!G126="","",IF(Data!G126=Data_Val!$C$2,IF(Data!I126="",0,1),0))</f>
        <v/>
      </c>
      <c r="J136" s="38" t="str">
        <f>IF(Data!I126="","",IF(ISNUMBER(MATCH(Data!J126,Data_Val!$A$2:$A$3,0)),0,1))</f>
        <v/>
      </c>
      <c r="K136" s="38" t="str">
        <f ca="1">IF(Data!I126="","",IF(ISNUMBER(Data!K126),IF(AND(Data!K126&gt;(TODAY()-(Data_Val!$K$3*365.25)),Data!K126&lt;=(TODAY()-(Data_Val!$K$2*365.25))),0,1),1))</f>
        <v/>
      </c>
      <c r="L136" s="16" t="str">
        <f>IF(Data!G126="","",IF(Data!G126=Data_Val!$C$2,IF(Data!L126="",0,1),0))</f>
        <v/>
      </c>
      <c r="M136" s="16" t="str">
        <f>IF(Data!L126="","",IF(ISNUMBER(MATCH(Data!M126,Data_Val!$A$2:$A$3,0)),0,1))</f>
        <v/>
      </c>
      <c r="N136" s="43" t="str">
        <f ca="1">IF(Data!L126="","",IF(ISNUMBER(Data!N126),IF(AND(Data!N126&gt;(TODAY()-(Data_Val!$L$3*365.25)),Data!N126&lt;=(TODAY()-(Data_Val!$L$2*365.25))),0,1),1))</f>
        <v/>
      </c>
      <c r="O136" s="18" t="str">
        <f>IF(Data!$G126="","",IF(Data!$G126=Data_Val!$C$2,IF(Data!O126="",0,1),0))</f>
        <v/>
      </c>
      <c r="P136" s="18" t="str">
        <f>IF(Data!O126="","",IF(ISNUMBER(MATCH(Data!P126,Data_Val!$A$2:$A$3,0)),0,1))</f>
        <v/>
      </c>
      <c r="Q136" s="44" t="str">
        <f ca="1">IF(Data!O126="","",IF(ISNUMBER(Data!Q126),IF(AND(Data!Q126&gt;(TODAY()-(Data_Val!$L$3*365.25)),Data!Q126&lt;=(TODAY()-(Data_Val!$L$2*365.25))),0,1),1))</f>
        <v/>
      </c>
    </row>
    <row r="137" spans="1:17" ht="12" customHeight="1" x14ac:dyDescent="0.25">
      <c r="A137" s="36" t="str">
        <f>IF(Data!B127="","",IF(COUNTIFS(Data!A$1:'Data'!A127,Data!A127)&lt;=1,0,1))</f>
        <v/>
      </c>
      <c r="B137" s="36"/>
      <c r="C137" s="36" t="str">
        <f>IF(Data!C127="","",(IF(ISNUMBER(MATCH("*@*.?*",Data!C127,0)),0,1)+IF(COUNTIFS(Data!C$1:'Data'!C127,Data!C127)&gt;1,1,0)))</f>
        <v/>
      </c>
      <c r="D137" s="36" t="str">
        <f>IF(Data!B127="","",IF(ISNUMBER(Data!D127),IF(AND(Data!D127&gt;999999999,Data!D127&lt;=9999999999),IF(COUNTIFS(Data!D$1:'Data'!D127,Data!D127)&lt;=1,0,1),1),1))</f>
        <v/>
      </c>
      <c r="E137" s="36" t="str">
        <f>IF(Data!B127="","",IF(ISNUMBER(MATCH(Data!E127,Data_Val!$A$2:$A$3,0)),0,1))</f>
        <v/>
      </c>
      <c r="F137" s="36" t="str">
        <f ca="1">IF(Data!B127="","",IF(ISNUMBER(Data!F127),IF(AND(Data!F127&gt;(TODAY()-(Data_Val!$H$3*365.25)),Data!F127&lt;=(TODAY()-(Data_Val!$H$2*365.25))),0,1),1))</f>
        <v/>
      </c>
      <c r="G137" s="12" t="str">
        <f>IF(Data!B127="","",IF(AND(Data!G127="",Data!H127&lt;&gt;""),1,IF(ISNUMBER(MATCH(Data!G127,Data_Val!$C$2:$C$5,0)),0,1)))</f>
        <v/>
      </c>
      <c r="H137" s="12" t="str">
        <f>IF(Data!B127="","",IF(AND(Data!G127&lt;&gt;"",Data!H127=""),1,IF(Data!G127="",1,IF(ISNUMBER(MATCH(Data!H127,Data_Val!$D$2:$D$35,0)),0,1))))</f>
        <v/>
      </c>
      <c r="I137" s="38" t="str">
        <f>IF(Data!G127="","",IF(Data!G127=Data_Val!$C$2,IF(Data!I127="",0,1),0))</f>
        <v/>
      </c>
      <c r="J137" s="38" t="str">
        <f>IF(Data!I127="","",IF(ISNUMBER(MATCH(Data!J127,Data_Val!$A$2:$A$3,0)),0,1))</f>
        <v/>
      </c>
      <c r="K137" s="38" t="str">
        <f ca="1">IF(Data!I127="","",IF(ISNUMBER(Data!K127),IF(AND(Data!K127&gt;(TODAY()-(Data_Val!$K$3*365.25)),Data!K127&lt;=(TODAY()-(Data_Val!$K$2*365.25))),0,1),1))</f>
        <v/>
      </c>
      <c r="L137" s="16" t="str">
        <f>IF(Data!G127="","",IF(Data!G127=Data_Val!$C$2,IF(Data!L127="",0,1),0))</f>
        <v/>
      </c>
      <c r="M137" s="16" t="str">
        <f>IF(Data!L127="","",IF(ISNUMBER(MATCH(Data!M127,Data_Val!$A$2:$A$3,0)),0,1))</f>
        <v/>
      </c>
      <c r="N137" s="43" t="str">
        <f ca="1">IF(Data!L127="","",IF(ISNUMBER(Data!N127),IF(AND(Data!N127&gt;(TODAY()-(Data_Val!$L$3*365.25)),Data!N127&lt;=(TODAY()-(Data_Val!$L$2*365.25))),0,1),1))</f>
        <v/>
      </c>
      <c r="O137" s="18" t="str">
        <f>IF(Data!$G127="","",IF(Data!$G127=Data_Val!$C$2,IF(Data!O127="",0,1),0))</f>
        <v/>
      </c>
      <c r="P137" s="18" t="str">
        <f>IF(Data!O127="","",IF(ISNUMBER(MATCH(Data!P127,Data_Val!$A$2:$A$3,0)),0,1))</f>
        <v/>
      </c>
      <c r="Q137" s="44" t="str">
        <f ca="1">IF(Data!O127="","",IF(ISNUMBER(Data!Q127),IF(AND(Data!Q127&gt;(TODAY()-(Data_Val!$L$3*365.25)),Data!Q127&lt;=(TODAY()-(Data_Val!$L$2*365.25))),0,1),1))</f>
        <v/>
      </c>
    </row>
    <row r="138" spans="1:17" ht="12" customHeight="1" x14ac:dyDescent="0.25">
      <c r="A138" s="36" t="str">
        <f>IF(Data!B128="","",IF(COUNTIFS(Data!A$1:'Data'!A128,Data!A128)&lt;=1,0,1))</f>
        <v/>
      </c>
      <c r="B138" s="36"/>
      <c r="C138" s="36" t="str">
        <f>IF(Data!C128="","",(IF(ISNUMBER(MATCH("*@*.?*",Data!C128,0)),0,1)+IF(COUNTIFS(Data!C$1:'Data'!C128,Data!C128)&gt;1,1,0)))</f>
        <v/>
      </c>
      <c r="D138" s="36" t="str">
        <f>IF(Data!B128="","",IF(ISNUMBER(Data!D128),IF(AND(Data!D128&gt;999999999,Data!D128&lt;=9999999999),IF(COUNTIFS(Data!D$1:'Data'!D128,Data!D128)&lt;=1,0,1),1),1))</f>
        <v/>
      </c>
      <c r="E138" s="36" t="str">
        <f>IF(Data!B128="","",IF(ISNUMBER(MATCH(Data!E128,Data_Val!$A$2:$A$3,0)),0,1))</f>
        <v/>
      </c>
      <c r="F138" s="36" t="str">
        <f ca="1">IF(Data!B128="","",IF(ISNUMBER(Data!F128),IF(AND(Data!F128&gt;(TODAY()-(Data_Val!$H$3*365.25)),Data!F128&lt;=(TODAY()-(Data_Val!$H$2*365.25))),0,1),1))</f>
        <v/>
      </c>
      <c r="G138" s="12" t="str">
        <f>IF(Data!B128="","",IF(AND(Data!G128="",Data!H128&lt;&gt;""),1,IF(ISNUMBER(MATCH(Data!G128,Data_Val!$C$2:$C$5,0)),0,1)))</f>
        <v/>
      </c>
      <c r="H138" s="12" t="str">
        <f>IF(Data!B128="","",IF(AND(Data!G128&lt;&gt;"",Data!H128=""),1,IF(Data!G128="",1,IF(ISNUMBER(MATCH(Data!H128,Data_Val!$D$2:$D$35,0)),0,1))))</f>
        <v/>
      </c>
      <c r="I138" s="38" t="str">
        <f>IF(Data!G128="","",IF(Data!G128=Data_Val!$C$2,IF(Data!I128="",0,1),0))</f>
        <v/>
      </c>
      <c r="J138" s="38" t="str">
        <f>IF(Data!I128="","",IF(ISNUMBER(MATCH(Data!J128,Data_Val!$A$2:$A$3,0)),0,1))</f>
        <v/>
      </c>
      <c r="K138" s="38" t="str">
        <f ca="1">IF(Data!I128="","",IF(ISNUMBER(Data!K128),IF(AND(Data!K128&gt;(TODAY()-(Data_Val!$K$3*365.25)),Data!K128&lt;=(TODAY()-(Data_Val!$K$2*365.25))),0,1),1))</f>
        <v/>
      </c>
      <c r="L138" s="16" t="str">
        <f>IF(Data!G128="","",IF(Data!G128=Data_Val!$C$2,IF(Data!L128="",0,1),0))</f>
        <v/>
      </c>
      <c r="M138" s="16" t="str">
        <f>IF(Data!L128="","",IF(ISNUMBER(MATCH(Data!M128,Data_Val!$A$2:$A$3,0)),0,1))</f>
        <v/>
      </c>
      <c r="N138" s="43" t="str">
        <f ca="1">IF(Data!L128="","",IF(ISNUMBER(Data!N128),IF(AND(Data!N128&gt;(TODAY()-(Data_Val!$L$3*365.25)),Data!N128&lt;=(TODAY()-(Data_Val!$L$2*365.25))),0,1),1))</f>
        <v/>
      </c>
      <c r="O138" s="18" t="str">
        <f>IF(Data!$G128="","",IF(Data!$G128=Data_Val!$C$2,IF(Data!O128="",0,1),0))</f>
        <v/>
      </c>
      <c r="P138" s="18" t="str">
        <f>IF(Data!O128="","",IF(ISNUMBER(MATCH(Data!P128,Data_Val!$A$2:$A$3,0)),0,1))</f>
        <v/>
      </c>
      <c r="Q138" s="44" t="str">
        <f ca="1">IF(Data!O128="","",IF(ISNUMBER(Data!Q128),IF(AND(Data!Q128&gt;(TODAY()-(Data_Val!$L$3*365.25)),Data!Q128&lt;=(TODAY()-(Data_Val!$L$2*365.25))),0,1),1))</f>
        <v/>
      </c>
    </row>
    <row r="139" spans="1:17" ht="12" customHeight="1" x14ac:dyDescent="0.25">
      <c r="A139" s="36" t="str">
        <f>IF(Data!B129="","",IF(COUNTIFS(Data!A$1:'Data'!A129,Data!A129)&lt;=1,0,1))</f>
        <v/>
      </c>
      <c r="B139" s="36"/>
      <c r="C139" s="36" t="str">
        <f>IF(Data!C129="","",(IF(ISNUMBER(MATCH("*@*.?*",Data!C129,0)),0,1)+IF(COUNTIFS(Data!C$1:'Data'!C129,Data!C129)&gt;1,1,0)))</f>
        <v/>
      </c>
      <c r="D139" s="36" t="str">
        <f>IF(Data!B129="","",IF(ISNUMBER(Data!D129),IF(AND(Data!D129&gt;999999999,Data!D129&lt;=9999999999),IF(COUNTIFS(Data!D$1:'Data'!D129,Data!D129)&lt;=1,0,1),1),1))</f>
        <v/>
      </c>
      <c r="E139" s="36" t="str">
        <f>IF(Data!B129="","",IF(ISNUMBER(MATCH(Data!E129,Data_Val!$A$2:$A$3,0)),0,1))</f>
        <v/>
      </c>
      <c r="F139" s="36" t="str">
        <f ca="1">IF(Data!B129="","",IF(ISNUMBER(Data!F129),IF(AND(Data!F129&gt;(TODAY()-(Data_Val!$H$3*365.25)),Data!F129&lt;=(TODAY()-(Data_Val!$H$2*365.25))),0,1),1))</f>
        <v/>
      </c>
      <c r="G139" s="12" t="str">
        <f>IF(Data!B129="","",IF(AND(Data!G129="",Data!H129&lt;&gt;""),1,IF(ISNUMBER(MATCH(Data!G129,Data_Val!$C$2:$C$5,0)),0,1)))</f>
        <v/>
      </c>
      <c r="H139" s="12" t="str">
        <f>IF(Data!B129="","",IF(AND(Data!G129&lt;&gt;"",Data!H129=""),1,IF(Data!G129="",1,IF(ISNUMBER(MATCH(Data!H129,Data_Val!$D$2:$D$35,0)),0,1))))</f>
        <v/>
      </c>
      <c r="I139" s="38" t="str">
        <f>IF(Data!G129="","",IF(Data!G129=Data_Val!$C$2,IF(Data!I129="",0,1),0))</f>
        <v/>
      </c>
      <c r="J139" s="38" t="str">
        <f>IF(Data!I129="","",IF(ISNUMBER(MATCH(Data!J129,Data_Val!$A$2:$A$3,0)),0,1))</f>
        <v/>
      </c>
      <c r="K139" s="38" t="str">
        <f ca="1">IF(Data!I129="","",IF(ISNUMBER(Data!K129),IF(AND(Data!K129&gt;(TODAY()-(Data_Val!$K$3*365.25)),Data!K129&lt;=(TODAY()-(Data_Val!$K$2*365.25))),0,1),1))</f>
        <v/>
      </c>
      <c r="L139" s="16" t="str">
        <f>IF(Data!G129="","",IF(Data!G129=Data_Val!$C$2,IF(Data!L129="",0,1),0))</f>
        <v/>
      </c>
      <c r="M139" s="16" t="str">
        <f>IF(Data!L129="","",IF(ISNUMBER(MATCH(Data!M129,Data_Val!$A$2:$A$3,0)),0,1))</f>
        <v/>
      </c>
      <c r="N139" s="43" t="str">
        <f ca="1">IF(Data!L129="","",IF(ISNUMBER(Data!N129),IF(AND(Data!N129&gt;(TODAY()-(Data_Val!$L$3*365.25)),Data!N129&lt;=(TODAY()-(Data_Val!$L$2*365.25))),0,1),1))</f>
        <v/>
      </c>
      <c r="O139" s="18" t="str">
        <f>IF(Data!$G129="","",IF(Data!$G129=Data_Val!$C$2,IF(Data!O129="",0,1),0))</f>
        <v/>
      </c>
      <c r="P139" s="18" t="str">
        <f>IF(Data!O129="","",IF(ISNUMBER(MATCH(Data!P129,Data_Val!$A$2:$A$3,0)),0,1))</f>
        <v/>
      </c>
      <c r="Q139" s="44" t="str">
        <f ca="1">IF(Data!O129="","",IF(ISNUMBER(Data!Q129),IF(AND(Data!Q129&gt;(TODAY()-(Data_Val!$L$3*365.25)),Data!Q129&lt;=(TODAY()-(Data_Val!$L$2*365.25))),0,1),1))</f>
        <v/>
      </c>
    </row>
    <row r="140" spans="1:17" ht="12" customHeight="1" x14ac:dyDescent="0.25">
      <c r="A140" s="36" t="str">
        <f>IF(Data!B130="","",IF(COUNTIFS(Data!A$1:'Data'!A130,Data!A130)&lt;=1,0,1))</f>
        <v/>
      </c>
      <c r="B140" s="36"/>
      <c r="C140" s="36" t="str">
        <f>IF(Data!C130="","",(IF(ISNUMBER(MATCH("*@*.?*",Data!C130,0)),0,1)+IF(COUNTIFS(Data!C$1:'Data'!C130,Data!C130)&gt;1,1,0)))</f>
        <v/>
      </c>
      <c r="D140" s="36" t="str">
        <f>IF(Data!B130="","",IF(ISNUMBER(Data!D130),IF(AND(Data!D130&gt;999999999,Data!D130&lt;=9999999999),IF(COUNTIFS(Data!D$1:'Data'!D130,Data!D130)&lt;=1,0,1),1),1))</f>
        <v/>
      </c>
      <c r="E140" s="36" t="str">
        <f>IF(Data!B130="","",IF(ISNUMBER(MATCH(Data!E130,Data_Val!$A$2:$A$3,0)),0,1))</f>
        <v/>
      </c>
      <c r="F140" s="36" t="str">
        <f ca="1">IF(Data!B130="","",IF(ISNUMBER(Data!F130),IF(AND(Data!F130&gt;(TODAY()-(Data_Val!$H$3*365.25)),Data!F130&lt;=(TODAY()-(Data_Val!$H$2*365.25))),0,1),1))</f>
        <v/>
      </c>
      <c r="G140" s="12" t="str">
        <f>IF(Data!B130="","",IF(AND(Data!G130="",Data!H130&lt;&gt;""),1,IF(ISNUMBER(MATCH(Data!G130,Data_Val!$C$2:$C$5,0)),0,1)))</f>
        <v/>
      </c>
      <c r="H140" s="12" t="str">
        <f>IF(Data!B130="","",IF(AND(Data!G130&lt;&gt;"",Data!H130=""),1,IF(Data!G130="",1,IF(ISNUMBER(MATCH(Data!H130,Data_Val!$D$2:$D$35,0)),0,1))))</f>
        <v/>
      </c>
      <c r="I140" s="38" t="str">
        <f>IF(Data!G130="","",IF(Data!G130=Data_Val!$C$2,IF(Data!I130="",0,1),0))</f>
        <v/>
      </c>
      <c r="J140" s="38" t="str">
        <f>IF(Data!I130="","",IF(ISNUMBER(MATCH(Data!J130,Data_Val!$A$2:$A$3,0)),0,1))</f>
        <v/>
      </c>
      <c r="K140" s="38" t="str">
        <f ca="1">IF(Data!I130="","",IF(ISNUMBER(Data!K130),IF(AND(Data!K130&gt;(TODAY()-(Data_Val!$K$3*365.25)),Data!K130&lt;=(TODAY()-(Data_Val!$K$2*365.25))),0,1),1))</f>
        <v/>
      </c>
      <c r="L140" s="16" t="str">
        <f>IF(Data!G130="","",IF(Data!G130=Data_Val!$C$2,IF(Data!L130="",0,1),0))</f>
        <v/>
      </c>
      <c r="M140" s="16" t="str">
        <f>IF(Data!L130="","",IF(ISNUMBER(MATCH(Data!M130,Data_Val!$A$2:$A$3,0)),0,1))</f>
        <v/>
      </c>
      <c r="N140" s="43" t="str">
        <f ca="1">IF(Data!L130="","",IF(ISNUMBER(Data!N130),IF(AND(Data!N130&gt;(TODAY()-(Data_Val!$L$3*365.25)),Data!N130&lt;=(TODAY()-(Data_Val!$L$2*365.25))),0,1),1))</f>
        <v/>
      </c>
      <c r="O140" s="18" t="str">
        <f>IF(Data!$G130="","",IF(Data!$G130=Data_Val!$C$2,IF(Data!O130="",0,1),0))</f>
        <v/>
      </c>
      <c r="P140" s="18" t="str">
        <f>IF(Data!O130="","",IF(ISNUMBER(MATCH(Data!P130,Data_Val!$A$2:$A$3,0)),0,1))</f>
        <v/>
      </c>
      <c r="Q140" s="44" t="str">
        <f ca="1">IF(Data!O130="","",IF(ISNUMBER(Data!Q130),IF(AND(Data!Q130&gt;(TODAY()-(Data_Val!$L$3*365.25)),Data!Q130&lt;=(TODAY()-(Data_Val!$L$2*365.25))),0,1),1))</f>
        <v/>
      </c>
    </row>
    <row r="141" spans="1:17" ht="12" customHeight="1" x14ac:dyDescent="0.25">
      <c r="A141" s="36" t="str">
        <f>IF(Data!B131="","",IF(COUNTIFS(Data!A$1:'Data'!A131,Data!A131)&lt;=1,0,1))</f>
        <v/>
      </c>
      <c r="B141" s="36"/>
      <c r="C141" s="36" t="str">
        <f>IF(Data!C131="","",(IF(ISNUMBER(MATCH("*@*.?*",Data!C131,0)),0,1)+IF(COUNTIFS(Data!C$1:'Data'!C131,Data!C131)&gt;1,1,0)))</f>
        <v/>
      </c>
      <c r="D141" s="36" t="str">
        <f>IF(Data!B131="","",IF(ISNUMBER(Data!D131),IF(AND(Data!D131&gt;999999999,Data!D131&lt;=9999999999),IF(COUNTIFS(Data!D$1:'Data'!D131,Data!D131)&lt;=1,0,1),1),1))</f>
        <v/>
      </c>
      <c r="E141" s="36" t="str">
        <f>IF(Data!B131="","",IF(ISNUMBER(MATCH(Data!E131,Data_Val!$A$2:$A$3,0)),0,1))</f>
        <v/>
      </c>
      <c r="F141" s="36" t="str">
        <f ca="1">IF(Data!B131="","",IF(ISNUMBER(Data!F131),IF(AND(Data!F131&gt;(TODAY()-(Data_Val!$H$3*365.25)),Data!F131&lt;=(TODAY()-(Data_Val!$H$2*365.25))),0,1),1))</f>
        <v/>
      </c>
      <c r="G141" s="12" t="str">
        <f>IF(Data!B131="","",IF(AND(Data!G131="",Data!H131&lt;&gt;""),1,IF(ISNUMBER(MATCH(Data!G131,Data_Val!$C$2:$C$5,0)),0,1)))</f>
        <v/>
      </c>
      <c r="H141" s="12" t="str">
        <f>IF(Data!B131="","",IF(AND(Data!G131&lt;&gt;"",Data!H131=""),1,IF(Data!G131="",1,IF(ISNUMBER(MATCH(Data!H131,Data_Val!$D$2:$D$35,0)),0,1))))</f>
        <v/>
      </c>
      <c r="I141" s="38" t="str">
        <f>IF(Data!G131="","",IF(Data!G131=Data_Val!$C$2,IF(Data!I131="",0,1),0))</f>
        <v/>
      </c>
      <c r="J141" s="38" t="str">
        <f>IF(Data!I131="","",IF(ISNUMBER(MATCH(Data!J131,Data_Val!$A$2:$A$3,0)),0,1))</f>
        <v/>
      </c>
      <c r="K141" s="38" t="str">
        <f ca="1">IF(Data!I131="","",IF(ISNUMBER(Data!K131),IF(AND(Data!K131&gt;(TODAY()-(Data_Val!$K$3*365.25)),Data!K131&lt;=(TODAY()-(Data_Val!$K$2*365.25))),0,1),1))</f>
        <v/>
      </c>
      <c r="L141" s="16" t="str">
        <f>IF(Data!G131="","",IF(Data!G131=Data_Val!$C$2,IF(Data!L131="",0,1),0))</f>
        <v/>
      </c>
      <c r="M141" s="16" t="str">
        <f>IF(Data!L131="","",IF(ISNUMBER(MATCH(Data!M131,Data_Val!$A$2:$A$3,0)),0,1))</f>
        <v/>
      </c>
      <c r="N141" s="43" t="str">
        <f ca="1">IF(Data!L131="","",IF(ISNUMBER(Data!N131),IF(AND(Data!N131&gt;(TODAY()-(Data_Val!$L$3*365.25)),Data!N131&lt;=(TODAY()-(Data_Val!$L$2*365.25))),0,1),1))</f>
        <v/>
      </c>
      <c r="O141" s="18" t="str">
        <f>IF(Data!$G131="","",IF(Data!$G131=Data_Val!$C$2,IF(Data!O131="",0,1),0))</f>
        <v/>
      </c>
      <c r="P141" s="18" t="str">
        <f>IF(Data!O131="","",IF(ISNUMBER(MATCH(Data!P131,Data_Val!$A$2:$A$3,0)),0,1))</f>
        <v/>
      </c>
      <c r="Q141" s="44" t="str">
        <f ca="1">IF(Data!O131="","",IF(ISNUMBER(Data!Q131),IF(AND(Data!Q131&gt;(TODAY()-(Data_Val!$L$3*365.25)),Data!Q131&lt;=(TODAY()-(Data_Val!$L$2*365.25))),0,1),1))</f>
        <v/>
      </c>
    </row>
    <row r="142" spans="1:17" ht="12" customHeight="1" x14ac:dyDescent="0.25">
      <c r="A142" s="36" t="str">
        <f>IF(Data!B132="","",IF(COUNTIFS(Data!A$1:'Data'!A132,Data!A132)&lt;=1,0,1))</f>
        <v/>
      </c>
      <c r="B142" s="36"/>
      <c r="C142" s="36" t="str">
        <f>IF(Data!C132="","",(IF(ISNUMBER(MATCH("*@*.?*",Data!C132,0)),0,1)+IF(COUNTIFS(Data!C$1:'Data'!C132,Data!C132)&gt;1,1,0)))</f>
        <v/>
      </c>
      <c r="D142" s="36" t="str">
        <f>IF(Data!B132="","",IF(ISNUMBER(Data!D132),IF(AND(Data!D132&gt;999999999,Data!D132&lt;=9999999999),IF(COUNTIFS(Data!D$1:'Data'!D132,Data!D132)&lt;=1,0,1),1),1))</f>
        <v/>
      </c>
      <c r="E142" s="36" t="str">
        <f>IF(Data!B132="","",IF(ISNUMBER(MATCH(Data!E132,Data_Val!$A$2:$A$3,0)),0,1))</f>
        <v/>
      </c>
      <c r="F142" s="36" t="str">
        <f ca="1">IF(Data!B132="","",IF(ISNUMBER(Data!F132),IF(AND(Data!F132&gt;(TODAY()-(Data_Val!$H$3*365.25)),Data!F132&lt;=(TODAY()-(Data_Val!$H$2*365.25))),0,1),1))</f>
        <v/>
      </c>
      <c r="G142" s="12" t="str">
        <f>IF(Data!B132="","",IF(AND(Data!G132="",Data!H132&lt;&gt;""),1,IF(ISNUMBER(MATCH(Data!G132,Data_Val!$C$2:$C$5,0)),0,1)))</f>
        <v/>
      </c>
      <c r="H142" s="12" t="str">
        <f>IF(Data!B132="","",IF(AND(Data!G132&lt;&gt;"",Data!H132=""),1,IF(Data!G132="",1,IF(ISNUMBER(MATCH(Data!H132,Data_Val!$D$2:$D$35,0)),0,1))))</f>
        <v/>
      </c>
      <c r="I142" s="38" t="str">
        <f>IF(Data!G132="","",IF(Data!G132=Data_Val!$C$2,IF(Data!I132="",0,1),0))</f>
        <v/>
      </c>
      <c r="J142" s="38" t="str">
        <f>IF(Data!I132="","",IF(ISNUMBER(MATCH(Data!J132,Data_Val!$A$2:$A$3,0)),0,1))</f>
        <v/>
      </c>
      <c r="K142" s="38" t="str">
        <f ca="1">IF(Data!I132="","",IF(ISNUMBER(Data!K132),IF(AND(Data!K132&gt;(TODAY()-(Data_Val!$K$3*365.25)),Data!K132&lt;=(TODAY()-(Data_Val!$K$2*365.25))),0,1),1))</f>
        <v/>
      </c>
      <c r="L142" s="16" t="str">
        <f>IF(Data!G132="","",IF(Data!G132=Data_Val!$C$2,IF(Data!L132="",0,1),0))</f>
        <v/>
      </c>
      <c r="M142" s="16" t="str">
        <f>IF(Data!L132="","",IF(ISNUMBER(MATCH(Data!M132,Data_Val!$A$2:$A$3,0)),0,1))</f>
        <v/>
      </c>
      <c r="N142" s="43" t="str">
        <f ca="1">IF(Data!L132="","",IF(ISNUMBER(Data!N132),IF(AND(Data!N132&gt;(TODAY()-(Data_Val!$L$3*365.25)),Data!N132&lt;=(TODAY()-(Data_Val!$L$2*365.25))),0,1),1))</f>
        <v/>
      </c>
      <c r="O142" s="18" t="str">
        <f>IF(Data!$G132="","",IF(Data!$G132=Data_Val!$C$2,IF(Data!O132="",0,1),0))</f>
        <v/>
      </c>
      <c r="P142" s="18" t="str">
        <f>IF(Data!O132="","",IF(ISNUMBER(MATCH(Data!P132,Data_Val!$A$2:$A$3,0)),0,1))</f>
        <v/>
      </c>
      <c r="Q142" s="44" t="str">
        <f ca="1">IF(Data!O132="","",IF(ISNUMBER(Data!Q132),IF(AND(Data!Q132&gt;(TODAY()-(Data_Val!$L$3*365.25)),Data!Q132&lt;=(TODAY()-(Data_Val!$L$2*365.25))),0,1),1))</f>
        <v/>
      </c>
    </row>
    <row r="143" spans="1:17" ht="12" customHeight="1" x14ac:dyDescent="0.25">
      <c r="A143" s="36" t="str">
        <f>IF(Data!B133="","",IF(COUNTIFS(Data!A$1:'Data'!A133,Data!A133)&lt;=1,0,1))</f>
        <v/>
      </c>
      <c r="B143" s="36"/>
      <c r="C143" s="36" t="str">
        <f>IF(Data!C133="","",(IF(ISNUMBER(MATCH("*@*.?*",Data!C133,0)),0,1)+IF(COUNTIFS(Data!C$1:'Data'!C133,Data!C133)&gt;1,1,0)))</f>
        <v/>
      </c>
      <c r="D143" s="36" t="str">
        <f>IF(Data!B133="","",IF(ISNUMBER(Data!D133),IF(AND(Data!D133&gt;999999999,Data!D133&lt;=9999999999),IF(COUNTIFS(Data!D$1:'Data'!D133,Data!D133)&lt;=1,0,1),1),1))</f>
        <v/>
      </c>
      <c r="E143" s="36" t="str">
        <f>IF(Data!B133="","",IF(ISNUMBER(MATCH(Data!E133,Data_Val!$A$2:$A$3,0)),0,1))</f>
        <v/>
      </c>
      <c r="F143" s="36" t="str">
        <f ca="1">IF(Data!B133="","",IF(ISNUMBER(Data!F133),IF(AND(Data!F133&gt;(TODAY()-(Data_Val!$H$3*365.25)),Data!F133&lt;=(TODAY()-(Data_Val!$H$2*365.25))),0,1),1))</f>
        <v/>
      </c>
      <c r="G143" s="12" t="str">
        <f>IF(Data!B133="","",IF(AND(Data!G133="",Data!H133&lt;&gt;""),1,IF(ISNUMBER(MATCH(Data!G133,Data_Val!$C$2:$C$5,0)),0,1)))</f>
        <v/>
      </c>
      <c r="H143" s="12" t="str">
        <f>IF(Data!B133="","",IF(AND(Data!G133&lt;&gt;"",Data!H133=""),1,IF(Data!G133="",1,IF(ISNUMBER(MATCH(Data!H133,Data_Val!$D$2:$D$35,0)),0,1))))</f>
        <v/>
      </c>
      <c r="I143" s="38" t="str">
        <f>IF(Data!G133="","",IF(Data!G133=Data_Val!$C$2,IF(Data!I133="",0,1),0))</f>
        <v/>
      </c>
      <c r="J143" s="38" t="str">
        <f>IF(Data!I133="","",IF(ISNUMBER(MATCH(Data!J133,Data_Val!$A$2:$A$3,0)),0,1))</f>
        <v/>
      </c>
      <c r="K143" s="38" t="str">
        <f ca="1">IF(Data!I133="","",IF(ISNUMBER(Data!K133),IF(AND(Data!K133&gt;(TODAY()-(Data_Val!$K$3*365.25)),Data!K133&lt;=(TODAY()-(Data_Val!$K$2*365.25))),0,1),1))</f>
        <v/>
      </c>
      <c r="L143" s="16" t="str">
        <f>IF(Data!G133="","",IF(Data!G133=Data_Val!$C$2,IF(Data!L133="",0,1),0))</f>
        <v/>
      </c>
      <c r="M143" s="16" t="str">
        <f>IF(Data!L133="","",IF(ISNUMBER(MATCH(Data!M133,Data_Val!$A$2:$A$3,0)),0,1))</f>
        <v/>
      </c>
      <c r="N143" s="43" t="str">
        <f ca="1">IF(Data!L133="","",IF(ISNUMBER(Data!N133),IF(AND(Data!N133&gt;(TODAY()-(Data_Val!$L$3*365.25)),Data!N133&lt;=(TODAY()-(Data_Val!$L$2*365.25))),0,1),1))</f>
        <v/>
      </c>
      <c r="O143" s="18" t="str">
        <f>IF(Data!$G133="","",IF(Data!$G133=Data_Val!$C$2,IF(Data!O133="",0,1),0))</f>
        <v/>
      </c>
      <c r="P143" s="18" t="str">
        <f>IF(Data!O133="","",IF(ISNUMBER(MATCH(Data!P133,Data_Val!$A$2:$A$3,0)),0,1))</f>
        <v/>
      </c>
      <c r="Q143" s="44" t="str">
        <f ca="1">IF(Data!O133="","",IF(ISNUMBER(Data!Q133),IF(AND(Data!Q133&gt;(TODAY()-(Data_Val!$L$3*365.25)),Data!Q133&lt;=(TODAY()-(Data_Val!$L$2*365.25))),0,1),1))</f>
        <v/>
      </c>
    </row>
    <row r="144" spans="1:17" ht="12" customHeight="1" x14ac:dyDescent="0.25">
      <c r="A144" s="36" t="str">
        <f>IF(Data!B134="","",IF(COUNTIFS(Data!A$1:'Data'!A134,Data!A134)&lt;=1,0,1))</f>
        <v/>
      </c>
      <c r="B144" s="36"/>
      <c r="C144" s="36" t="str">
        <f>IF(Data!C134="","",(IF(ISNUMBER(MATCH("*@*.?*",Data!C134,0)),0,1)+IF(COUNTIFS(Data!C$1:'Data'!C134,Data!C134)&gt;1,1,0)))</f>
        <v/>
      </c>
      <c r="D144" s="36" t="str">
        <f>IF(Data!B134="","",IF(ISNUMBER(Data!D134),IF(AND(Data!D134&gt;999999999,Data!D134&lt;=9999999999),IF(COUNTIFS(Data!D$1:'Data'!D134,Data!D134)&lt;=1,0,1),1),1))</f>
        <v/>
      </c>
      <c r="E144" s="36" t="str">
        <f>IF(Data!B134="","",IF(ISNUMBER(MATCH(Data!E134,Data_Val!$A$2:$A$3,0)),0,1))</f>
        <v/>
      </c>
      <c r="F144" s="36" t="str">
        <f ca="1">IF(Data!B134="","",IF(ISNUMBER(Data!F134),IF(AND(Data!F134&gt;(TODAY()-(Data_Val!$H$3*365.25)),Data!F134&lt;=(TODAY()-(Data_Val!$H$2*365.25))),0,1),1))</f>
        <v/>
      </c>
      <c r="G144" s="12" t="str">
        <f>IF(Data!B134="","",IF(AND(Data!G134="",Data!H134&lt;&gt;""),1,IF(ISNUMBER(MATCH(Data!G134,Data_Val!$C$2:$C$5,0)),0,1)))</f>
        <v/>
      </c>
      <c r="H144" s="12" t="str">
        <f>IF(Data!B134="","",IF(AND(Data!G134&lt;&gt;"",Data!H134=""),1,IF(Data!G134="",1,IF(ISNUMBER(MATCH(Data!H134,Data_Val!$D$2:$D$35,0)),0,1))))</f>
        <v/>
      </c>
      <c r="I144" s="38" t="str">
        <f>IF(Data!G134="","",IF(Data!G134=Data_Val!$C$2,IF(Data!I134="",0,1),0))</f>
        <v/>
      </c>
      <c r="J144" s="38" t="str">
        <f>IF(Data!I134="","",IF(ISNUMBER(MATCH(Data!J134,Data_Val!$A$2:$A$3,0)),0,1))</f>
        <v/>
      </c>
      <c r="K144" s="38" t="str">
        <f ca="1">IF(Data!I134="","",IF(ISNUMBER(Data!K134),IF(AND(Data!K134&gt;(TODAY()-(Data_Val!$K$3*365.25)),Data!K134&lt;=(TODAY()-(Data_Val!$K$2*365.25))),0,1),1))</f>
        <v/>
      </c>
      <c r="L144" s="16" t="str">
        <f>IF(Data!G134="","",IF(Data!G134=Data_Val!$C$2,IF(Data!L134="",0,1),0))</f>
        <v/>
      </c>
      <c r="M144" s="16" t="str">
        <f>IF(Data!L134="","",IF(ISNUMBER(MATCH(Data!M134,Data_Val!$A$2:$A$3,0)),0,1))</f>
        <v/>
      </c>
      <c r="N144" s="43" t="str">
        <f ca="1">IF(Data!L134="","",IF(ISNUMBER(Data!N134),IF(AND(Data!N134&gt;(TODAY()-(Data_Val!$L$3*365.25)),Data!N134&lt;=(TODAY()-(Data_Val!$L$2*365.25))),0,1),1))</f>
        <v/>
      </c>
      <c r="O144" s="18" t="str">
        <f>IF(Data!$G134="","",IF(Data!$G134=Data_Val!$C$2,IF(Data!O134="",0,1),0))</f>
        <v/>
      </c>
      <c r="P144" s="18" t="str">
        <f>IF(Data!O134="","",IF(ISNUMBER(MATCH(Data!P134,Data_Val!$A$2:$A$3,0)),0,1))</f>
        <v/>
      </c>
      <c r="Q144" s="44" t="str">
        <f ca="1">IF(Data!O134="","",IF(ISNUMBER(Data!Q134),IF(AND(Data!Q134&gt;(TODAY()-(Data_Val!$L$3*365.25)),Data!Q134&lt;=(TODAY()-(Data_Val!$L$2*365.25))),0,1),1))</f>
        <v/>
      </c>
    </row>
    <row r="145" spans="1:17" ht="12" customHeight="1" x14ac:dyDescent="0.25">
      <c r="A145" s="36" t="str">
        <f>IF(Data!B135="","",IF(COUNTIFS(Data!A$1:'Data'!A135,Data!A135)&lt;=1,0,1))</f>
        <v/>
      </c>
      <c r="B145" s="36"/>
      <c r="C145" s="36" t="str">
        <f>IF(Data!C135="","",(IF(ISNUMBER(MATCH("*@*.?*",Data!C135,0)),0,1)+IF(COUNTIFS(Data!C$1:'Data'!C135,Data!C135)&gt;1,1,0)))</f>
        <v/>
      </c>
      <c r="D145" s="36" t="str">
        <f>IF(Data!B135="","",IF(ISNUMBER(Data!D135),IF(AND(Data!D135&gt;999999999,Data!D135&lt;=9999999999),IF(COUNTIFS(Data!D$1:'Data'!D135,Data!D135)&lt;=1,0,1),1),1))</f>
        <v/>
      </c>
      <c r="E145" s="36" t="str">
        <f>IF(Data!B135="","",IF(ISNUMBER(MATCH(Data!E135,Data_Val!$A$2:$A$3,0)),0,1))</f>
        <v/>
      </c>
      <c r="F145" s="36" t="str">
        <f ca="1">IF(Data!B135="","",IF(ISNUMBER(Data!F135),IF(AND(Data!F135&gt;(TODAY()-(Data_Val!$H$3*365.25)),Data!F135&lt;=(TODAY()-(Data_Val!$H$2*365.25))),0,1),1))</f>
        <v/>
      </c>
      <c r="G145" s="12" t="str">
        <f>IF(Data!B135="","",IF(AND(Data!G135="",Data!H135&lt;&gt;""),1,IF(ISNUMBER(MATCH(Data!G135,Data_Val!$C$2:$C$5,0)),0,1)))</f>
        <v/>
      </c>
      <c r="H145" s="12" t="str">
        <f>IF(Data!B135="","",IF(AND(Data!G135&lt;&gt;"",Data!H135=""),1,IF(Data!G135="",1,IF(ISNUMBER(MATCH(Data!H135,Data_Val!$D$2:$D$35,0)),0,1))))</f>
        <v/>
      </c>
      <c r="I145" s="38" t="str">
        <f>IF(Data!G135="","",IF(Data!G135=Data_Val!$C$2,IF(Data!I135="",0,1),0))</f>
        <v/>
      </c>
      <c r="J145" s="38" t="str">
        <f>IF(Data!I135="","",IF(ISNUMBER(MATCH(Data!J135,Data_Val!$A$2:$A$3,0)),0,1))</f>
        <v/>
      </c>
      <c r="K145" s="38" t="str">
        <f ca="1">IF(Data!I135="","",IF(ISNUMBER(Data!K135),IF(AND(Data!K135&gt;(TODAY()-(Data_Val!$K$3*365.25)),Data!K135&lt;=(TODAY()-(Data_Val!$K$2*365.25))),0,1),1))</f>
        <v/>
      </c>
      <c r="L145" s="16" t="str">
        <f>IF(Data!G135="","",IF(Data!G135=Data_Val!$C$2,IF(Data!L135="",0,1),0))</f>
        <v/>
      </c>
      <c r="M145" s="16" t="str">
        <f>IF(Data!L135="","",IF(ISNUMBER(MATCH(Data!M135,Data_Val!$A$2:$A$3,0)),0,1))</f>
        <v/>
      </c>
      <c r="N145" s="43" t="str">
        <f ca="1">IF(Data!L135="","",IF(ISNUMBER(Data!N135),IF(AND(Data!N135&gt;(TODAY()-(Data_Val!$L$3*365.25)),Data!N135&lt;=(TODAY()-(Data_Val!$L$2*365.25))),0,1),1))</f>
        <v/>
      </c>
      <c r="O145" s="18" t="str">
        <f>IF(Data!$G135="","",IF(Data!$G135=Data_Val!$C$2,IF(Data!O135="",0,1),0))</f>
        <v/>
      </c>
      <c r="P145" s="18" t="str">
        <f>IF(Data!O135="","",IF(ISNUMBER(MATCH(Data!P135,Data_Val!$A$2:$A$3,0)),0,1))</f>
        <v/>
      </c>
      <c r="Q145" s="44" t="str">
        <f ca="1">IF(Data!O135="","",IF(ISNUMBER(Data!Q135),IF(AND(Data!Q135&gt;(TODAY()-(Data_Val!$L$3*365.25)),Data!Q135&lt;=(TODAY()-(Data_Val!$L$2*365.25))),0,1),1))</f>
        <v/>
      </c>
    </row>
    <row r="146" spans="1:17" ht="12" customHeight="1" x14ac:dyDescent="0.25">
      <c r="A146" s="36" t="str">
        <f>IF(Data!B136="","",IF(COUNTIFS(Data!A$1:'Data'!A136,Data!A136)&lt;=1,0,1))</f>
        <v/>
      </c>
      <c r="B146" s="36"/>
      <c r="C146" s="36" t="str">
        <f>IF(Data!C136="","",(IF(ISNUMBER(MATCH("*@*.?*",Data!C136,0)),0,1)+IF(COUNTIFS(Data!C$1:'Data'!C136,Data!C136)&gt;1,1,0)))</f>
        <v/>
      </c>
      <c r="D146" s="36" t="str">
        <f>IF(Data!B136="","",IF(ISNUMBER(Data!D136),IF(AND(Data!D136&gt;999999999,Data!D136&lt;=9999999999),IF(COUNTIFS(Data!D$1:'Data'!D136,Data!D136)&lt;=1,0,1),1),1))</f>
        <v/>
      </c>
      <c r="E146" s="36" t="str">
        <f>IF(Data!B136="","",IF(ISNUMBER(MATCH(Data!E136,Data_Val!$A$2:$A$3,0)),0,1))</f>
        <v/>
      </c>
      <c r="F146" s="36" t="str">
        <f ca="1">IF(Data!B136="","",IF(ISNUMBER(Data!F136),IF(AND(Data!F136&gt;(TODAY()-(Data_Val!$H$3*365.25)),Data!F136&lt;=(TODAY()-(Data_Val!$H$2*365.25))),0,1),1))</f>
        <v/>
      </c>
      <c r="G146" s="12" t="str">
        <f>IF(Data!B136="","",IF(AND(Data!G136="",Data!H136&lt;&gt;""),1,IF(ISNUMBER(MATCH(Data!G136,Data_Val!$C$2:$C$5,0)),0,1)))</f>
        <v/>
      </c>
      <c r="H146" s="12" t="str">
        <f>IF(Data!B136="","",IF(AND(Data!G136&lt;&gt;"",Data!H136=""),1,IF(Data!G136="",1,IF(ISNUMBER(MATCH(Data!H136,Data_Val!$D$2:$D$35,0)),0,1))))</f>
        <v/>
      </c>
      <c r="I146" s="38" t="str">
        <f>IF(Data!G136="","",IF(Data!G136=Data_Val!$C$2,IF(Data!I136="",0,1),0))</f>
        <v/>
      </c>
      <c r="J146" s="38" t="str">
        <f>IF(Data!I136="","",IF(ISNUMBER(MATCH(Data!J136,Data_Val!$A$2:$A$3,0)),0,1))</f>
        <v/>
      </c>
      <c r="K146" s="38" t="str">
        <f ca="1">IF(Data!I136="","",IF(ISNUMBER(Data!K136),IF(AND(Data!K136&gt;(TODAY()-(Data_Val!$K$3*365.25)),Data!K136&lt;=(TODAY()-(Data_Val!$K$2*365.25))),0,1),1))</f>
        <v/>
      </c>
      <c r="L146" s="16" t="str">
        <f>IF(Data!G136="","",IF(Data!G136=Data_Val!$C$2,IF(Data!L136="",0,1),0))</f>
        <v/>
      </c>
      <c r="M146" s="16" t="str">
        <f>IF(Data!L136="","",IF(ISNUMBER(MATCH(Data!M136,Data_Val!$A$2:$A$3,0)),0,1))</f>
        <v/>
      </c>
      <c r="N146" s="43" t="str">
        <f ca="1">IF(Data!L136="","",IF(ISNUMBER(Data!N136),IF(AND(Data!N136&gt;(TODAY()-(Data_Val!$L$3*365.25)),Data!N136&lt;=(TODAY()-(Data_Val!$L$2*365.25))),0,1),1))</f>
        <v/>
      </c>
      <c r="O146" s="18" t="str">
        <f>IF(Data!$G136="","",IF(Data!$G136=Data_Val!$C$2,IF(Data!O136="",0,1),0))</f>
        <v/>
      </c>
      <c r="P146" s="18" t="str">
        <f>IF(Data!O136="","",IF(ISNUMBER(MATCH(Data!P136,Data_Val!$A$2:$A$3,0)),0,1))</f>
        <v/>
      </c>
      <c r="Q146" s="44" t="str">
        <f ca="1">IF(Data!O136="","",IF(ISNUMBER(Data!Q136),IF(AND(Data!Q136&gt;(TODAY()-(Data_Val!$L$3*365.25)),Data!Q136&lt;=(TODAY()-(Data_Val!$L$2*365.25))),0,1),1))</f>
        <v/>
      </c>
    </row>
    <row r="147" spans="1:17" ht="12" customHeight="1" x14ac:dyDescent="0.25">
      <c r="A147" s="36" t="str">
        <f>IF(Data!B137="","",IF(COUNTIFS(Data!A$1:'Data'!A137,Data!A137)&lt;=1,0,1))</f>
        <v/>
      </c>
      <c r="B147" s="36"/>
      <c r="C147" s="36" t="str">
        <f>IF(Data!C137="","",(IF(ISNUMBER(MATCH("*@*.?*",Data!C137,0)),0,1)+IF(COUNTIFS(Data!C$1:'Data'!C137,Data!C137)&gt;1,1,0)))</f>
        <v/>
      </c>
      <c r="D147" s="36" t="str">
        <f>IF(Data!B137="","",IF(ISNUMBER(Data!D137),IF(AND(Data!D137&gt;999999999,Data!D137&lt;=9999999999),IF(COUNTIFS(Data!D$1:'Data'!D137,Data!D137)&lt;=1,0,1),1),1))</f>
        <v/>
      </c>
      <c r="E147" s="36" t="str">
        <f>IF(Data!B137="","",IF(ISNUMBER(MATCH(Data!E137,Data_Val!$A$2:$A$3,0)),0,1))</f>
        <v/>
      </c>
      <c r="F147" s="36" t="str">
        <f ca="1">IF(Data!B137="","",IF(ISNUMBER(Data!F137),IF(AND(Data!F137&gt;(TODAY()-(Data_Val!$H$3*365.25)),Data!F137&lt;=(TODAY()-(Data_Val!$H$2*365.25))),0,1),1))</f>
        <v/>
      </c>
      <c r="G147" s="12" t="str">
        <f>IF(Data!B137="","",IF(AND(Data!G137="",Data!H137&lt;&gt;""),1,IF(ISNUMBER(MATCH(Data!G137,Data_Val!$C$2:$C$5,0)),0,1)))</f>
        <v/>
      </c>
      <c r="H147" s="12" t="str">
        <f>IF(Data!B137="","",IF(AND(Data!G137&lt;&gt;"",Data!H137=""),1,IF(Data!G137="",1,IF(ISNUMBER(MATCH(Data!H137,Data_Val!$D$2:$D$35,0)),0,1))))</f>
        <v/>
      </c>
      <c r="I147" s="38" t="str">
        <f>IF(Data!G137="","",IF(Data!G137=Data_Val!$C$2,IF(Data!I137="",0,1),0))</f>
        <v/>
      </c>
      <c r="J147" s="38" t="str">
        <f>IF(Data!I137="","",IF(ISNUMBER(MATCH(Data!J137,Data_Val!$A$2:$A$3,0)),0,1))</f>
        <v/>
      </c>
      <c r="K147" s="38" t="str">
        <f ca="1">IF(Data!I137="","",IF(ISNUMBER(Data!K137),IF(AND(Data!K137&gt;(TODAY()-(Data_Val!$K$3*365.25)),Data!K137&lt;=(TODAY()-(Data_Val!$K$2*365.25))),0,1),1))</f>
        <v/>
      </c>
      <c r="L147" s="16" t="str">
        <f>IF(Data!G137="","",IF(Data!G137=Data_Val!$C$2,IF(Data!L137="",0,1),0))</f>
        <v/>
      </c>
      <c r="M147" s="16" t="str">
        <f>IF(Data!L137="","",IF(ISNUMBER(MATCH(Data!M137,Data_Val!$A$2:$A$3,0)),0,1))</f>
        <v/>
      </c>
      <c r="N147" s="43" t="str">
        <f ca="1">IF(Data!L137="","",IF(ISNUMBER(Data!N137),IF(AND(Data!N137&gt;(TODAY()-(Data_Val!$L$3*365.25)),Data!N137&lt;=(TODAY()-(Data_Val!$L$2*365.25))),0,1),1))</f>
        <v/>
      </c>
      <c r="O147" s="18" t="str">
        <f>IF(Data!$G137="","",IF(Data!$G137=Data_Val!$C$2,IF(Data!O137="",0,1),0))</f>
        <v/>
      </c>
      <c r="P147" s="18" t="str">
        <f>IF(Data!O137="","",IF(ISNUMBER(MATCH(Data!P137,Data_Val!$A$2:$A$3,0)),0,1))</f>
        <v/>
      </c>
      <c r="Q147" s="44" t="str">
        <f ca="1">IF(Data!O137="","",IF(ISNUMBER(Data!Q137),IF(AND(Data!Q137&gt;(TODAY()-(Data_Val!$L$3*365.25)),Data!Q137&lt;=(TODAY()-(Data_Val!$L$2*365.25))),0,1),1))</f>
        <v/>
      </c>
    </row>
    <row r="148" spans="1:17" ht="12" customHeight="1" x14ac:dyDescent="0.25">
      <c r="A148" s="36" t="str">
        <f>IF(Data!B138="","",IF(COUNTIFS(Data!A$1:'Data'!A138,Data!A138)&lt;=1,0,1))</f>
        <v/>
      </c>
      <c r="B148" s="36"/>
      <c r="C148" s="36" t="str">
        <f>IF(Data!C138="","",(IF(ISNUMBER(MATCH("*@*.?*",Data!C138,0)),0,1)+IF(COUNTIFS(Data!C$1:'Data'!C138,Data!C138)&gt;1,1,0)))</f>
        <v/>
      </c>
      <c r="D148" s="36" t="str">
        <f>IF(Data!B138="","",IF(ISNUMBER(Data!D138),IF(AND(Data!D138&gt;999999999,Data!D138&lt;=9999999999),IF(COUNTIFS(Data!D$1:'Data'!D138,Data!D138)&lt;=1,0,1),1),1))</f>
        <v/>
      </c>
      <c r="E148" s="36" t="str">
        <f>IF(Data!B138="","",IF(ISNUMBER(MATCH(Data!E138,Data_Val!$A$2:$A$3,0)),0,1))</f>
        <v/>
      </c>
      <c r="F148" s="36" t="str">
        <f ca="1">IF(Data!B138="","",IF(ISNUMBER(Data!F138),IF(AND(Data!F138&gt;(TODAY()-(Data_Val!$H$3*365.25)),Data!F138&lt;=(TODAY()-(Data_Val!$H$2*365.25))),0,1),1))</f>
        <v/>
      </c>
      <c r="G148" s="12" t="str">
        <f>IF(Data!B138="","",IF(AND(Data!G138="",Data!H138&lt;&gt;""),1,IF(ISNUMBER(MATCH(Data!G138,Data_Val!$C$2:$C$5,0)),0,1)))</f>
        <v/>
      </c>
      <c r="H148" s="12" t="str">
        <f>IF(Data!B138="","",IF(AND(Data!G138&lt;&gt;"",Data!H138=""),1,IF(Data!G138="",1,IF(ISNUMBER(MATCH(Data!H138,Data_Val!$D$2:$D$35,0)),0,1))))</f>
        <v/>
      </c>
      <c r="I148" s="38" t="str">
        <f>IF(Data!G138="","",IF(Data!G138=Data_Val!$C$2,IF(Data!I138="",0,1),0))</f>
        <v/>
      </c>
      <c r="J148" s="38" t="str">
        <f>IF(Data!I138="","",IF(ISNUMBER(MATCH(Data!J138,Data_Val!$A$2:$A$3,0)),0,1))</f>
        <v/>
      </c>
      <c r="K148" s="38" t="str">
        <f ca="1">IF(Data!I138="","",IF(ISNUMBER(Data!K138),IF(AND(Data!K138&gt;(TODAY()-(Data_Val!$K$3*365.25)),Data!K138&lt;=(TODAY()-(Data_Val!$K$2*365.25))),0,1),1))</f>
        <v/>
      </c>
      <c r="L148" s="16" t="str">
        <f>IF(Data!G138="","",IF(Data!G138=Data_Val!$C$2,IF(Data!L138="",0,1),0))</f>
        <v/>
      </c>
      <c r="M148" s="16" t="str">
        <f>IF(Data!L138="","",IF(ISNUMBER(MATCH(Data!M138,Data_Val!$A$2:$A$3,0)),0,1))</f>
        <v/>
      </c>
      <c r="N148" s="43" t="str">
        <f ca="1">IF(Data!L138="","",IF(ISNUMBER(Data!N138),IF(AND(Data!N138&gt;(TODAY()-(Data_Val!$L$3*365.25)),Data!N138&lt;=(TODAY()-(Data_Val!$L$2*365.25))),0,1),1))</f>
        <v/>
      </c>
      <c r="O148" s="18" t="str">
        <f>IF(Data!$G138="","",IF(Data!$G138=Data_Val!$C$2,IF(Data!O138="",0,1),0))</f>
        <v/>
      </c>
      <c r="P148" s="18" t="str">
        <f>IF(Data!O138="","",IF(ISNUMBER(MATCH(Data!P138,Data_Val!$A$2:$A$3,0)),0,1))</f>
        <v/>
      </c>
      <c r="Q148" s="44" t="str">
        <f ca="1">IF(Data!O138="","",IF(ISNUMBER(Data!Q138),IF(AND(Data!Q138&gt;(TODAY()-(Data_Val!$L$3*365.25)),Data!Q138&lt;=(TODAY()-(Data_Val!$L$2*365.25))),0,1),1))</f>
        <v/>
      </c>
    </row>
    <row r="149" spans="1:17" ht="12" customHeight="1" x14ac:dyDescent="0.25">
      <c r="A149" s="36" t="str">
        <f>IF(Data!B139="","",IF(COUNTIFS(Data!A$1:'Data'!A139,Data!A139)&lt;=1,0,1))</f>
        <v/>
      </c>
      <c r="B149" s="36"/>
      <c r="C149" s="36" t="str">
        <f>IF(Data!C139="","",(IF(ISNUMBER(MATCH("*@*.?*",Data!C139,0)),0,1)+IF(COUNTIFS(Data!C$1:'Data'!C139,Data!C139)&gt;1,1,0)))</f>
        <v/>
      </c>
      <c r="D149" s="36" t="str">
        <f>IF(Data!B139="","",IF(ISNUMBER(Data!D139),IF(AND(Data!D139&gt;999999999,Data!D139&lt;=9999999999),IF(COUNTIFS(Data!D$1:'Data'!D139,Data!D139)&lt;=1,0,1),1),1))</f>
        <v/>
      </c>
      <c r="E149" s="36" t="str">
        <f>IF(Data!B139="","",IF(ISNUMBER(MATCH(Data!E139,Data_Val!$A$2:$A$3,0)),0,1))</f>
        <v/>
      </c>
      <c r="F149" s="36" t="str">
        <f ca="1">IF(Data!B139="","",IF(ISNUMBER(Data!F139),IF(AND(Data!F139&gt;(TODAY()-(Data_Val!$H$3*365.25)),Data!F139&lt;=(TODAY()-(Data_Val!$H$2*365.25))),0,1),1))</f>
        <v/>
      </c>
      <c r="G149" s="12" t="str">
        <f>IF(Data!B139="","",IF(AND(Data!G139="",Data!H139&lt;&gt;""),1,IF(ISNUMBER(MATCH(Data!G139,Data_Val!$C$2:$C$5,0)),0,1)))</f>
        <v/>
      </c>
      <c r="H149" s="12" t="str">
        <f>IF(Data!B139="","",IF(AND(Data!G139&lt;&gt;"",Data!H139=""),1,IF(Data!G139="",1,IF(ISNUMBER(MATCH(Data!H139,Data_Val!$D$2:$D$35,0)),0,1))))</f>
        <v/>
      </c>
      <c r="I149" s="38" t="str">
        <f>IF(Data!G139="","",IF(Data!G139=Data_Val!$C$2,IF(Data!I139="",0,1),0))</f>
        <v/>
      </c>
      <c r="J149" s="38" t="str">
        <f>IF(Data!I139="","",IF(ISNUMBER(MATCH(Data!J139,Data_Val!$A$2:$A$3,0)),0,1))</f>
        <v/>
      </c>
      <c r="K149" s="38" t="str">
        <f ca="1">IF(Data!I139="","",IF(ISNUMBER(Data!K139),IF(AND(Data!K139&gt;(TODAY()-(Data_Val!$K$3*365.25)),Data!K139&lt;=(TODAY()-(Data_Val!$K$2*365.25))),0,1),1))</f>
        <v/>
      </c>
      <c r="L149" s="16" t="str">
        <f>IF(Data!G139="","",IF(Data!G139=Data_Val!$C$2,IF(Data!L139="",0,1),0))</f>
        <v/>
      </c>
      <c r="M149" s="16" t="str">
        <f>IF(Data!L139="","",IF(ISNUMBER(MATCH(Data!M139,Data_Val!$A$2:$A$3,0)),0,1))</f>
        <v/>
      </c>
      <c r="N149" s="43" t="str">
        <f ca="1">IF(Data!L139="","",IF(ISNUMBER(Data!N139),IF(AND(Data!N139&gt;(TODAY()-(Data_Val!$L$3*365.25)),Data!N139&lt;=(TODAY()-(Data_Val!$L$2*365.25))),0,1),1))</f>
        <v/>
      </c>
      <c r="O149" s="18" t="str">
        <f>IF(Data!$G139="","",IF(Data!$G139=Data_Val!$C$2,IF(Data!O139="",0,1),0))</f>
        <v/>
      </c>
      <c r="P149" s="18" t="str">
        <f>IF(Data!O139="","",IF(ISNUMBER(MATCH(Data!P139,Data_Val!$A$2:$A$3,0)),0,1))</f>
        <v/>
      </c>
      <c r="Q149" s="44" t="str">
        <f ca="1">IF(Data!O139="","",IF(ISNUMBER(Data!Q139),IF(AND(Data!Q139&gt;(TODAY()-(Data_Val!$L$3*365.25)),Data!Q139&lt;=(TODAY()-(Data_Val!$L$2*365.25))),0,1),1))</f>
        <v/>
      </c>
    </row>
    <row r="150" spans="1:17" ht="12" customHeight="1" x14ac:dyDescent="0.25">
      <c r="A150" s="36" t="str">
        <f>IF(Data!B140="","",IF(COUNTIFS(Data!A$1:'Data'!A140,Data!A140)&lt;=1,0,1))</f>
        <v/>
      </c>
      <c r="B150" s="36"/>
      <c r="C150" s="36" t="str">
        <f>IF(Data!C140="","",(IF(ISNUMBER(MATCH("*@*.?*",Data!C140,0)),0,1)+IF(COUNTIFS(Data!C$1:'Data'!C140,Data!C140)&gt;1,1,0)))</f>
        <v/>
      </c>
      <c r="D150" s="36" t="str">
        <f>IF(Data!B140="","",IF(ISNUMBER(Data!D140),IF(AND(Data!D140&gt;999999999,Data!D140&lt;=9999999999),IF(COUNTIFS(Data!D$1:'Data'!D140,Data!D140)&lt;=1,0,1),1),1))</f>
        <v/>
      </c>
      <c r="E150" s="36" t="str">
        <f>IF(Data!B140="","",IF(ISNUMBER(MATCH(Data!E140,Data_Val!$A$2:$A$3,0)),0,1))</f>
        <v/>
      </c>
      <c r="F150" s="36" t="str">
        <f ca="1">IF(Data!B140="","",IF(ISNUMBER(Data!F140),IF(AND(Data!F140&gt;(TODAY()-(Data_Val!$H$3*365.25)),Data!F140&lt;=(TODAY()-(Data_Val!$H$2*365.25))),0,1),1))</f>
        <v/>
      </c>
      <c r="G150" s="12" t="str">
        <f>IF(Data!B140="","",IF(AND(Data!G140="",Data!H140&lt;&gt;""),1,IF(ISNUMBER(MATCH(Data!G140,Data_Val!$C$2:$C$5,0)),0,1)))</f>
        <v/>
      </c>
      <c r="H150" s="12" t="str">
        <f>IF(Data!B140="","",IF(AND(Data!G140&lt;&gt;"",Data!H140=""),1,IF(Data!G140="",1,IF(ISNUMBER(MATCH(Data!H140,Data_Val!$D$2:$D$35,0)),0,1))))</f>
        <v/>
      </c>
      <c r="I150" s="38" t="str">
        <f>IF(Data!G140="","",IF(Data!G140=Data_Val!$C$2,IF(Data!I140="",0,1),0))</f>
        <v/>
      </c>
      <c r="J150" s="38" t="str">
        <f>IF(Data!I140="","",IF(ISNUMBER(MATCH(Data!J140,Data_Val!$A$2:$A$3,0)),0,1))</f>
        <v/>
      </c>
      <c r="K150" s="38" t="str">
        <f ca="1">IF(Data!I140="","",IF(ISNUMBER(Data!K140),IF(AND(Data!K140&gt;(TODAY()-(Data_Val!$K$3*365.25)),Data!K140&lt;=(TODAY()-(Data_Val!$K$2*365.25))),0,1),1))</f>
        <v/>
      </c>
      <c r="L150" s="16" t="str">
        <f>IF(Data!G140="","",IF(Data!G140=Data_Val!$C$2,IF(Data!L140="",0,1),0))</f>
        <v/>
      </c>
      <c r="M150" s="16" t="str">
        <f>IF(Data!L140="","",IF(ISNUMBER(MATCH(Data!M140,Data_Val!$A$2:$A$3,0)),0,1))</f>
        <v/>
      </c>
      <c r="N150" s="43" t="str">
        <f ca="1">IF(Data!L140="","",IF(ISNUMBER(Data!N140),IF(AND(Data!N140&gt;(TODAY()-(Data_Val!$L$3*365.25)),Data!N140&lt;=(TODAY()-(Data_Val!$L$2*365.25))),0,1),1))</f>
        <v/>
      </c>
      <c r="O150" s="18" t="str">
        <f>IF(Data!$G140="","",IF(Data!$G140=Data_Val!$C$2,IF(Data!O140="",0,1),0))</f>
        <v/>
      </c>
      <c r="P150" s="18" t="str">
        <f>IF(Data!O140="","",IF(ISNUMBER(MATCH(Data!P140,Data_Val!$A$2:$A$3,0)),0,1))</f>
        <v/>
      </c>
      <c r="Q150" s="44" t="str">
        <f ca="1">IF(Data!O140="","",IF(ISNUMBER(Data!Q140),IF(AND(Data!Q140&gt;(TODAY()-(Data_Val!$L$3*365.25)),Data!Q140&lt;=(TODAY()-(Data_Val!$L$2*365.25))),0,1),1))</f>
        <v/>
      </c>
    </row>
    <row r="151" spans="1:17" ht="12" customHeight="1" x14ac:dyDescent="0.25">
      <c r="A151" s="36" t="str">
        <f>IF(Data!B141="","",IF(COUNTIFS(Data!A$1:'Data'!A141,Data!A141)&lt;=1,0,1))</f>
        <v/>
      </c>
      <c r="B151" s="36"/>
      <c r="C151" s="36" t="str">
        <f>IF(Data!C141="","",(IF(ISNUMBER(MATCH("*@*.?*",Data!C141,0)),0,1)+IF(COUNTIFS(Data!C$1:'Data'!C141,Data!C141)&gt;1,1,0)))</f>
        <v/>
      </c>
      <c r="D151" s="36" t="str">
        <f>IF(Data!B141="","",IF(ISNUMBER(Data!D141),IF(AND(Data!D141&gt;999999999,Data!D141&lt;=9999999999),IF(COUNTIFS(Data!D$1:'Data'!D141,Data!D141)&lt;=1,0,1),1),1))</f>
        <v/>
      </c>
      <c r="E151" s="36" t="str">
        <f>IF(Data!B141="","",IF(ISNUMBER(MATCH(Data!E141,Data_Val!$A$2:$A$3,0)),0,1))</f>
        <v/>
      </c>
      <c r="F151" s="36" t="str">
        <f ca="1">IF(Data!B141="","",IF(ISNUMBER(Data!F141),IF(AND(Data!F141&gt;(TODAY()-(Data_Val!$H$3*365.25)),Data!F141&lt;=(TODAY()-(Data_Val!$H$2*365.25))),0,1),1))</f>
        <v/>
      </c>
      <c r="G151" s="12" t="str">
        <f>IF(Data!B141="","",IF(AND(Data!G141="",Data!H141&lt;&gt;""),1,IF(ISNUMBER(MATCH(Data!G141,Data_Val!$C$2:$C$5,0)),0,1)))</f>
        <v/>
      </c>
      <c r="H151" s="12" t="str">
        <f>IF(Data!B141="","",IF(AND(Data!G141&lt;&gt;"",Data!H141=""),1,IF(Data!G141="",1,IF(ISNUMBER(MATCH(Data!H141,Data_Val!$D$2:$D$35,0)),0,1))))</f>
        <v/>
      </c>
      <c r="I151" s="38" t="str">
        <f>IF(Data!G141="","",IF(Data!G141=Data_Val!$C$2,IF(Data!I141="",0,1),0))</f>
        <v/>
      </c>
      <c r="J151" s="38" t="str">
        <f>IF(Data!I141="","",IF(ISNUMBER(MATCH(Data!J141,Data_Val!$A$2:$A$3,0)),0,1))</f>
        <v/>
      </c>
      <c r="K151" s="38" t="str">
        <f ca="1">IF(Data!I141="","",IF(ISNUMBER(Data!K141),IF(AND(Data!K141&gt;(TODAY()-(Data_Val!$K$3*365.25)),Data!K141&lt;=(TODAY()-(Data_Val!$K$2*365.25))),0,1),1))</f>
        <v/>
      </c>
      <c r="L151" s="16" t="str">
        <f>IF(Data!G141="","",IF(Data!G141=Data_Val!$C$2,IF(Data!L141="",0,1),0))</f>
        <v/>
      </c>
      <c r="M151" s="16" t="str">
        <f>IF(Data!L141="","",IF(ISNUMBER(MATCH(Data!M141,Data_Val!$A$2:$A$3,0)),0,1))</f>
        <v/>
      </c>
      <c r="N151" s="43" t="str">
        <f ca="1">IF(Data!L141="","",IF(ISNUMBER(Data!N141),IF(AND(Data!N141&gt;(TODAY()-(Data_Val!$L$3*365.25)),Data!N141&lt;=(TODAY()-(Data_Val!$L$2*365.25))),0,1),1))</f>
        <v/>
      </c>
      <c r="O151" s="18" t="str">
        <f>IF(Data!$G141="","",IF(Data!$G141=Data_Val!$C$2,IF(Data!O141="",0,1),0))</f>
        <v/>
      </c>
      <c r="P151" s="18" t="str">
        <f>IF(Data!O141="","",IF(ISNUMBER(MATCH(Data!P141,Data_Val!$A$2:$A$3,0)),0,1))</f>
        <v/>
      </c>
      <c r="Q151" s="44" t="str">
        <f ca="1">IF(Data!O141="","",IF(ISNUMBER(Data!Q141),IF(AND(Data!Q141&gt;(TODAY()-(Data_Val!$L$3*365.25)),Data!Q141&lt;=(TODAY()-(Data_Val!$L$2*365.25))),0,1),1))</f>
        <v/>
      </c>
    </row>
    <row r="152" spans="1:17" ht="12" customHeight="1" x14ac:dyDescent="0.25">
      <c r="A152" s="36" t="str">
        <f>IF(Data!B142="","",IF(COUNTIFS(Data!A$1:'Data'!A142,Data!A142)&lt;=1,0,1))</f>
        <v/>
      </c>
      <c r="B152" s="36"/>
      <c r="C152" s="36" t="str">
        <f>IF(Data!C142="","",(IF(ISNUMBER(MATCH("*@*.?*",Data!C142,0)),0,1)+IF(COUNTIFS(Data!C$1:'Data'!C142,Data!C142)&gt;1,1,0)))</f>
        <v/>
      </c>
      <c r="D152" s="36" t="str">
        <f>IF(Data!B142="","",IF(ISNUMBER(Data!D142),IF(AND(Data!D142&gt;999999999,Data!D142&lt;=9999999999),IF(COUNTIFS(Data!D$1:'Data'!D142,Data!D142)&lt;=1,0,1),1),1))</f>
        <v/>
      </c>
      <c r="E152" s="36" t="str">
        <f>IF(Data!B142="","",IF(ISNUMBER(MATCH(Data!E142,Data_Val!$A$2:$A$3,0)),0,1))</f>
        <v/>
      </c>
      <c r="F152" s="36" t="str">
        <f ca="1">IF(Data!B142="","",IF(ISNUMBER(Data!F142),IF(AND(Data!F142&gt;(TODAY()-(Data_Val!$H$3*365.25)),Data!F142&lt;=(TODAY()-(Data_Val!$H$2*365.25))),0,1),1))</f>
        <v/>
      </c>
      <c r="G152" s="12" t="str">
        <f>IF(Data!B142="","",IF(AND(Data!G142="",Data!H142&lt;&gt;""),1,IF(ISNUMBER(MATCH(Data!G142,Data_Val!$C$2:$C$5,0)),0,1)))</f>
        <v/>
      </c>
      <c r="H152" s="12" t="str">
        <f>IF(Data!B142="","",IF(AND(Data!G142&lt;&gt;"",Data!H142=""),1,IF(Data!G142="",1,IF(ISNUMBER(MATCH(Data!H142,Data_Val!$D$2:$D$35,0)),0,1))))</f>
        <v/>
      </c>
      <c r="I152" s="38" t="str">
        <f>IF(Data!G142="","",IF(Data!G142=Data_Val!$C$2,IF(Data!I142="",0,1),0))</f>
        <v/>
      </c>
      <c r="J152" s="38" t="str">
        <f>IF(Data!I142="","",IF(ISNUMBER(MATCH(Data!J142,Data_Val!$A$2:$A$3,0)),0,1))</f>
        <v/>
      </c>
      <c r="K152" s="38" t="str">
        <f ca="1">IF(Data!I142="","",IF(ISNUMBER(Data!K142),IF(AND(Data!K142&gt;(TODAY()-(Data_Val!$K$3*365.25)),Data!K142&lt;=(TODAY()-(Data_Val!$K$2*365.25))),0,1),1))</f>
        <v/>
      </c>
      <c r="L152" s="16" t="str">
        <f>IF(Data!G142="","",IF(Data!G142=Data_Val!$C$2,IF(Data!L142="",0,1),0))</f>
        <v/>
      </c>
      <c r="M152" s="16" t="str">
        <f>IF(Data!L142="","",IF(ISNUMBER(MATCH(Data!M142,Data_Val!$A$2:$A$3,0)),0,1))</f>
        <v/>
      </c>
      <c r="N152" s="43" t="str">
        <f ca="1">IF(Data!L142="","",IF(ISNUMBER(Data!N142),IF(AND(Data!N142&gt;(TODAY()-(Data_Val!$L$3*365.25)),Data!N142&lt;=(TODAY()-(Data_Val!$L$2*365.25))),0,1),1))</f>
        <v/>
      </c>
      <c r="O152" s="18" t="str">
        <f>IF(Data!$G142="","",IF(Data!$G142=Data_Val!$C$2,IF(Data!O142="",0,1),0))</f>
        <v/>
      </c>
      <c r="P152" s="18" t="str">
        <f>IF(Data!O142="","",IF(ISNUMBER(MATCH(Data!P142,Data_Val!$A$2:$A$3,0)),0,1))</f>
        <v/>
      </c>
      <c r="Q152" s="44" t="str">
        <f ca="1">IF(Data!O142="","",IF(ISNUMBER(Data!Q142),IF(AND(Data!Q142&gt;(TODAY()-(Data_Val!$L$3*365.25)),Data!Q142&lt;=(TODAY()-(Data_Val!$L$2*365.25))),0,1),1))</f>
        <v/>
      </c>
    </row>
    <row r="153" spans="1:17" ht="12" customHeight="1" x14ac:dyDescent="0.25">
      <c r="A153" s="36" t="str">
        <f>IF(Data!B143="","",IF(COUNTIFS(Data!A$1:'Data'!A143,Data!A143)&lt;=1,0,1))</f>
        <v/>
      </c>
      <c r="B153" s="36"/>
      <c r="C153" s="36" t="str">
        <f>IF(Data!C143="","",(IF(ISNUMBER(MATCH("*@*.?*",Data!C143,0)),0,1)+IF(COUNTIFS(Data!C$1:'Data'!C143,Data!C143)&gt;1,1,0)))</f>
        <v/>
      </c>
      <c r="D153" s="36" t="str">
        <f>IF(Data!B143="","",IF(ISNUMBER(Data!D143),IF(AND(Data!D143&gt;999999999,Data!D143&lt;=9999999999),IF(COUNTIFS(Data!D$1:'Data'!D143,Data!D143)&lt;=1,0,1),1),1))</f>
        <v/>
      </c>
      <c r="E153" s="36" t="str">
        <f>IF(Data!B143="","",IF(ISNUMBER(MATCH(Data!E143,Data_Val!$A$2:$A$3,0)),0,1))</f>
        <v/>
      </c>
      <c r="F153" s="36" t="str">
        <f ca="1">IF(Data!B143="","",IF(ISNUMBER(Data!F143),IF(AND(Data!F143&gt;(TODAY()-(Data_Val!$H$3*365.25)),Data!F143&lt;=(TODAY()-(Data_Val!$H$2*365.25))),0,1),1))</f>
        <v/>
      </c>
      <c r="G153" s="12" t="str">
        <f>IF(Data!B143="","",IF(AND(Data!G143="",Data!H143&lt;&gt;""),1,IF(ISNUMBER(MATCH(Data!G143,Data_Val!$C$2:$C$5,0)),0,1)))</f>
        <v/>
      </c>
      <c r="H153" s="12" t="str">
        <f>IF(Data!B143="","",IF(AND(Data!G143&lt;&gt;"",Data!H143=""),1,IF(Data!G143="",1,IF(ISNUMBER(MATCH(Data!H143,Data_Val!$D$2:$D$35,0)),0,1))))</f>
        <v/>
      </c>
      <c r="I153" s="38" t="str">
        <f>IF(Data!G143="","",IF(Data!G143=Data_Val!$C$2,IF(Data!I143="",0,1),0))</f>
        <v/>
      </c>
      <c r="J153" s="38" t="str">
        <f>IF(Data!I143="","",IF(ISNUMBER(MATCH(Data!J143,Data_Val!$A$2:$A$3,0)),0,1))</f>
        <v/>
      </c>
      <c r="K153" s="38" t="str">
        <f ca="1">IF(Data!I143="","",IF(ISNUMBER(Data!K143),IF(AND(Data!K143&gt;(TODAY()-(Data_Val!$K$3*365.25)),Data!K143&lt;=(TODAY()-(Data_Val!$K$2*365.25))),0,1),1))</f>
        <v/>
      </c>
      <c r="L153" s="16" t="str">
        <f>IF(Data!G143="","",IF(Data!G143=Data_Val!$C$2,IF(Data!L143="",0,1),0))</f>
        <v/>
      </c>
      <c r="M153" s="16" t="str">
        <f>IF(Data!L143="","",IF(ISNUMBER(MATCH(Data!M143,Data_Val!$A$2:$A$3,0)),0,1))</f>
        <v/>
      </c>
      <c r="N153" s="43" t="str">
        <f ca="1">IF(Data!L143="","",IF(ISNUMBER(Data!N143),IF(AND(Data!N143&gt;(TODAY()-(Data_Val!$L$3*365.25)),Data!N143&lt;=(TODAY()-(Data_Val!$L$2*365.25))),0,1),1))</f>
        <v/>
      </c>
      <c r="O153" s="18" t="str">
        <f>IF(Data!$G143="","",IF(Data!$G143=Data_Val!$C$2,IF(Data!O143="",0,1),0))</f>
        <v/>
      </c>
      <c r="P153" s="18" t="str">
        <f>IF(Data!O143="","",IF(ISNUMBER(MATCH(Data!P143,Data_Val!$A$2:$A$3,0)),0,1))</f>
        <v/>
      </c>
      <c r="Q153" s="44" t="str">
        <f ca="1">IF(Data!O143="","",IF(ISNUMBER(Data!Q143),IF(AND(Data!Q143&gt;(TODAY()-(Data_Val!$L$3*365.25)),Data!Q143&lt;=(TODAY()-(Data_Val!$L$2*365.25))),0,1),1))</f>
        <v/>
      </c>
    </row>
    <row r="154" spans="1:17" ht="12" customHeight="1" x14ac:dyDescent="0.25">
      <c r="A154" s="36" t="str">
        <f>IF(Data!B144="","",IF(COUNTIFS(Data!A$1:'Data'!A144,Data!A144)&lt;=1,0,1))</f>
        <v/>
      </c>
      <c r="B154" s="36"/>
      <c r="C154" s="36" t="str">
        <f>IF(Data!C144="","",(IF(ISNUMBER(MATCH("*@*.?*",Data!C144,0)),0,1)+IF(COUNTIFS(Data!C$1:'Data'!C144,Data!C144)&gt;1,1,0)))</f>
        <v/>
      </c>
      <c r="D154" s="36" t="str">
        <f>IF(Data!B144="","",IF(ISNUMBER(Data!D144),IF(AND(Data!D144&gt;999999999,Data!D144&lt;=9999999999),IF(COUNTIFS(Data!D$1:'Data'!D144,Data!D144)&lt;=1,0,1),1),1))</f>
        <v/>
      </c>
      <c r="E154" s="36" t="str">
        <f>IF(Data!B144="","",IF(ISNUMBER(MATCH(Data!E144,Data_Val!$A$2:$A$3,0)),0,1))</f>
        <v/>
      </c>
      <c r="F154" s="36" t="str">
        <f ca="1">IF(Data!B144="","",IF(ISNUMBER(Data!F144),IF(AND(Data!F144&gt;(TODAY()-(Data_Val!$H$3*365.25)),Data!F144&lt;=(TODAY()-(Data_Val!$H$2*365.25))),0,1),1))</f>
        <v/>
      </c>
      <c r="G154" s="12" t="str">
        <f>IF(Data!B144="","",IF(AND(Data!G144="",Data!H144&lt;&gt;""),1,IF(ISNUMBER(MATCH(Data!G144,Data_Val!$C$2:$C$5,0)),0,1)))</f>
        <v/>
      </c>
      <c r="H154" s="12" t="str">
        <f>IF(Data!B144="","",IF(AND(Data!G144&lt;&gt;"",Data!H144=""),1,IF(Data!G144="",1,IF(ISNUMBER(MATCH(Data!H144,Data_Val!$D$2:$D$35,0)),0,1))))</f>
        <v/>
      </c>
      <c r="I154" s="38" t="str">
        <f>IF(Data!G144="","",IF(Data!G144=Data_Val!$C$2,IF(Data!I144="",0,1),0))</f>
        <v/>
      </c>
      <c r="J154" s="38" t="str">
        <f>IF(Data!I144="","",IF(ISNUMBER(MATCH(Data!J144,Data_Val!$A$2:$A$3,0)),0,1))</f>
        <v/>
      </c>
      <c r="K154" s="38" t="str">
        <f ca="1">IF(Data!I144="","",IF(ISNUMBER(Data!K144),IF(AND(Data!K144&gt;(TODAY()-(Data_Val!$K$3*365.25)),Data!K144&lt;=(TODAY()-(Data_Val!$K$2*365.25))),0,1),1))</f>
        <v/>
      </c>
      <c r="L154" s="16" t="str">
        <f>IF(Data!G144="","",IF(Data!G144=Data_Val!$C$2,IF(Data!L144="",0,1),0))</f>
        <v/>
      </c>
      <c r="M154" s="16" t="str">
        <f>IF(Data!L144="","",IF(ISNUMBER(MATCH(Data!M144,Data_Val!$A$2:$A$3,0)),0,1))</f>
        <v/>
      </c>
      <c r="N154" s="43" t="str">
        <f ca="1">IF(Data!L144="","",IF(ISNUMBER(Data!N144),IF(AND(Data!N144&gt;(TODAY()-(Data_Val!$L$3*365.25)),Data!N144&lt;=(TODAY()-(Data_Val!$L$2*365.25))),0,1),1))</f>
        <v/>
      </c>
      <c r="O154" s="18" t="str">
        <f>IF(Data!$G144="","",IF(Data!$G144=Data_Val!$C$2,IF(Data!O144="",0,1),0))</f>
        <v/>
      </c>
      <c r="P154" s="18" t="str">
        <f>IF(Data!O144="","",IF(ISNUMBER(MATCH(Data!P144,Data_Val!$A$2:$A$3,0)),0,1))</f>
        <v/>
      </c>
      <c r="Q154" s="44" t="str">
        <f ca="1">IF(Data!O144="","",IF(ISNUMBER(Data!Q144),IF(AND(Data!Q144&gt;(TODAY()-(Data_Val!$L$3*365.25)),Data!Q144&lt;=(TODAY()-(Data_Val!$L$2*365.25))),0,1),1))</f>
        <v/>
      </c>
    </row>
    <row r="155" spans="1:17" ht="12" customHeight="1" x14ac:dyDescent="0.25">
      <c r="A155" s="36" t="str">
        <f>IF(Data!B145="","",IF(COUNTIFS(Data!A$1:'Data'!A145,Data!A145)&lt;=1,0,1))</f>
        <v/>
      </c>
      <c r="B155" s="36"/>
      <c r="C155" s="36" t="str">
        <f>IF(Data!C145="","",(IF(ISNUMBER(MATCH("*@*.?*",Data!C145,0)),0,1)+IF(COUNTIFS(Data!C$1:'Data'!C145,Data!C145)&gt;1,1,0)))</f>
        <v/>
      </c>
      <c r="D155" s="36" t="str">
        <f>IF(Data!B145="","",IF(ISNUMBER(Data!D145),IF(AND(Data!D145&gt;999999999,Data!D145&lt;=9999999999),IF(COUNTIFS(Data!D$1:'Data'!D145,Data!D145)&lt;=1,0,1),1),1))</f>
        <v/>
      </c>
      <c r="E155" s="36" t="str">
        <f>IF(Data!B145="","",IF(ISNUMBER(MATCH(Data!E145,Data_Val!$A$2:$A$3,0)),0,1))</f>
        <v/>
      </c>
      <c r="F155" s="36" t="str">
        <f ca="1">IF(Data!B145="","",IF(ISNUMBER(Data!F145),IF(AND(Data!F145&gt;(TODAY()-(Data_Val!$H$3*365.25)),Data!F145&lt;=(TODAY()-(Data_Val!$H$2*365.25))),0,1),1))</f>
        <v/>
      </c>
      <c r="G155" s="12" t="str">
        <f>IF(Data!B145="","",IF(AND(Data!G145="",Data!H145&lt;&gt;""),1,IF(ISNUMBER(MATCH(Data!G145,Data_Val!$C$2:$C$5,0)),0,1)))</f>
        <v/>
      </c>
      <c r="H155" s="12" t="str">
        <f>IF(Data!B145="","",IF(AND(Data!G145&lt;&gt;"",Data!H145=""),1,IF(Data!G145="",1,IF(ISNUMBER(MATCH(Data!H145,Data_Val!$D$2:$D$35,0)),0,1))))</f>
        <v/>
      </c>
      <c r="I155" s="38" t="str">
        <f>IF(Data!G145="","",IF(Data!G145=Data_Val!$C$2,IF(Data!I145="",0,1),0))</f>
        <v/>
      </c>
      <c r="J155" s="38" t="str">
        <f>IF(Data!I145="","",IF(ISNUMBER(MATCH(Data!J145,Data_Val!$A$2:$A$3,0)),0,1))</f>
        <v/>
      </c>
      <c r="K155" s="38" t="str">
        <f ca="1">IF(Data!I145="","",IF(ISNUMBER(Data!K145),IF(AND(Data!K145&gt;(TODAY()-(Data_Val!$K$3*365.25)),Data!K145&lt;=(TODAY()-(Data_Val!$K$2*365.25))),0,1),1))</f>
        <v/>
      </c>
      <c r="L155" s="16" t="str">
        <f>IF(Data!G145="","",IF(Data!G145=Data_Val!$C$2,IF(Data!L145="",0,1),0))</f>
        <v/>
      </c>
      <c r="M155" s="16" t="str">
        <f>IF(Data!L145="","",IF(ISNUMBER(MATCH(Data!M145,Data_Val!$A$2:$A$3,0)),0,1))</f>
        <v/>
      </c>
      <c r="N155" s="43" t="str">
        <f ca="1">IF(Data!L145="","",IF(ISNUMBER(Data!N145),IF(AND(Data!N145&gt;(TODAY()-(Data_Val!$L$3*365.25)),Data!N145&lt;=(TODAY()-(Data_Val!$L$2*365.25))),0,1),1))</f>
        <v/>
      </c>
      <c r="O155" s="18" t="str">
        <f>IF(Data!$G145="","",IF(Data!$G145=Data_Val!$C$2,IF(Data!O145="",0,1),0))</f>
        <v/>
      </c>
      <c r="P155" s="18" t="str">
        <f>IF(Data!O145="","",IF(ISNUMBER(MATCH(Data!P145,Data_Val!$A$2:$A$3,0)),0,1))</f>
        <v/>
      </c>
      <c r="Q155" s="44" t="str">
        <f ca="1">IF(Data!O145="","",IF(ISNUMBER(Data!Q145),IF(AND(Data!Q145&gt;(TODAY()-(Data_Val!$L$3*365.25)),Data!Q145&lt;=(TODAY()-(Data_Val!$L$2*365.25))),0,1),1))</f>
        <v/>
      </c>
    </row>
    <row r="156" spans="1:17" ht="12" customHeight="1" x14ac:dyDescent="0.25">
      <c r="A156" s="36" t="str">
        <f>IF(Data!B146="","",IF(COUNTIFS(Data!A$1:'Data'!A146,Data!A146)&lt;=1,0,1))</f>
        <v/>
      </c>
      <c r="B156" s="36"/>
      <c r="C156" s="36" t="str">
        <f>IF(Data!C146="","",(IF(ISNUMBER(MATCH("*@*.?*",Data!C146,0)),0,1)+IF(COUNTIFS(Data!C$1:'Data'!C146,Data!C146)&gt;1,1,0)))</f>
        <v/>
      </c>
      <c r="D156" s="36" t="str">
        <f>IF(Data!B146="","",IF(ISNUMBER(Data!D146),IF(AND(Data!D146&gt;999999999,Data!D146&lt;=9999999999),IF(COUNTIFS(Data!D$1:'Data'!D146,Data!D146)&lt;=1,0,1),1),1))</f>
        <v/>
      </c>
      <c r="E156" s="36" t="str">
        <f>IF(Data!B146="","",IF(ISNUMBER(MATCH(Data!E146,Data_Val!$A$2:$A$3,0)),0,1))</f>
        <v/>
      </c>
      <c r="F156" s="36" t="str">
        <f ca="1">IF(Data!B146="","",IF(ISNUMBER(Data!F146),IF(AND(Data!F146&gt;(TODAY()-(Data_Val!$H$3*365.25)),Data!F146&lt;=(TODAY()-(Data_Val!$H$2*365.25))),0,1),1))</f>
        <v/>
      </c>
      <c r="G156" s="12" t="str">
        <f>IF(Data!B146="","",IF(AND(Data!G146="",Data!H146&lt;&gt;""),1,IF(ISNUMBER(MATCH(Data!G146,Data_Val!$C$2:$C$5,0)),0,1)))</f>
        <v/>
      </c>
      <c r="H156" s="12" t="str">
        <f>IF(Data!B146="","",IF(AND(Data!G146&lt;&gt;"",Data!H146=""),1,IF(Data!G146="",1,IF(ISNUMBER(MATCH(Data!H146,Data_Val!$D$2:$D$35,0)),0,1))))</f>
        <v/>
      </c>
      <c r="I156" s="38" t="str">
        <f>IF(Data!G146="","",IF(Data!G146=Data_Val!$C$2,IF(Data!I146="",0,1),0))</f>
        <v/>
      </c>
      <c r="J156" s="38" t="str">
        <f>IF(Data!I146="","",IF(ISNUMBER(MATCH(Data!J146,Data_Val!$A$2:$A$3,0)),0,1))</f>
        <v/>
      </c>
      <c r="K156" s="38" t="str">
        <f ca="1">IF(Data!I146="","",IF(ISNUMBER(Data!K146),IF(AND(Data!K146&gt;(TODAY()-(Data_Val!$K$3*365.25)),Data!K146&lt;=(TODAY()-(Data_Val!$K$2*365.25))),0,1),1))</f>
        <v/>
      </c>
      <c r="L156" s="16" t="str">
        <f>IF(Data!G146="","",IF(Data!G146=Data_Val!$C$2,IF(Data!L146="",0,1),0))</f>
        <v/>
      </c>
      <c r="M156" s="16" t="str">
        <f>IF(Data!L146="","",IF(ISNUMBER(MATCH(Data!M146,Data_Val!$A$2:$A$3,0)),0,1))</f>
        <v/>
      </c>
      <c r="N156" s="43" t="str">
        <f ca="1">IF(Data!L146="","",IF(ISNUMBER(Data!N146),IF(AND(Data!N146&gt;(TODAY()-(Data_Val!$L$3*365.25)),Data!N146&lt;=(TODAY()-(Data_Val!$L$2*365.25))),0,1),1))</f>
        <v/>
      </c>
      <c r="O156" s="18" t="str">
        <f>IF(Data!$G146="","",IF(Data!$G146=Data_Val!$C$2,IF(Data!O146="",0,1),0))</f>
        <v/>
      </c>
      <c r="P156" s="18" t="str">
        <f>IF(Data!O146="","",IF(ISNUMBER(MATCH(Data!P146,Data_Val!$A$2:$A$3,0)),0,1))</f>
        <v/>
      </c>
      <c r="Q156" s="44" t="str">
        <f ca="1">IF(Data!O146="","",IF(ISNUMBER(Data!Q146),IF(AND(Data!Q146&gt;(TODAY()-(Data_Val!$L$3*365.25)),Data!Q146&lt;=(TODAY()-(Data_Val!$L$2*365.25))),0,1),1))</f>
        <v/>
      </c>
    </row>
    <row r="157" spans="1:17" ht="12" customHeight="1" x14ac:dyDescent="0.25">
      <c r="A157" s="36" t="str">
        <f>IF(Data!B147="","",IF(COUNTIFS(Data!A$1:'Data'!A147,Data!A147)&lt;=1,0,1))</f>
        <v/>
      </c>
      <c r="B157" s="36"/>
      <c r="C157" s="36" t="str">
        <f>IF(Data!C147="","",(IF(ISNUMBER(MATCH("*@*.?*",Data!C147,0)),0,1)+IF(COUNTIFS(Data!C$1:'Data'!C147,Data!C147)&gt;1,1,0)))</f>
        <v/>
      </c>
      <c r="D157" s="36" t="str">
        <f>IF(Data!B147="","",IF(ISNUMBER(Data!D147),IF(AND(Data!D147&gt;999999999,Data!D147&lt;=9999999999),IF(COUNTIFS(Data!D$1:'Data'!D147,Data!D147)&lt;=1,0,1),1),1))</f>
        <v/>
      </c>
      <c r="E157" s="36" t="str">
        <f>IF(Data!B147="","",IF(ISNUMBER(MATCH(Data!E147,Data_Val!$A$2:$A$3,0)),0,1))</f>
        <v/>
      </c>
      <c r="F157" s="36" t="str">
        <f ca="1">IF(Data!B147="","",IF(ISNUMBER(Data!F147),IF(AND(Data!F147&gt;(TODAY()-(Data_Val!$H$3*365.25)),Data!F147&lt;=(TODAY()-(Data_Val!$H$2*365.25))),0,1),1))</f>
        <v/>
      </c>
      <c r="G157" s="12" t="str">
        <f>IF(Data!B147="","",IF(AND(Data!G147="",Data!H147&lt;&gt;""),1,IF(ISNUMBER(MATCH(Data!G147,Data_Val!$C$2:$C$5,0)),0,1)))</f>
        <v/>
      </c>
      <c r="H157" s="12" t="str">
        <f>IF(Data!B147="","",IF(AND(Data!G147&lt;&gt;"",Data!H147=""),1,IF(Data!G147="",1,IF(ISNUMBER(MATCH(Data!H147,Data_Val!$D$2:$D$35,0)),0,1))))</f>
        <v/>
      </c>
      <c r="I157" s="38" t="str">
        <f>IF(Data!G147="","",IF(Data!G147=Data_Val!$C$2,IF(Data!I147="",0,1),0))</f>
        <v/>
      </c>
      <c r="J157" s="38" t="str">
        <f>IF(Data!I147="","",IF(ISNUMBER(MATCH(Data!J147,Data_Val!$A$2:$A$3,0)),0,1))</f>
        <v/>
      </c>
      <c r="K157" s="38" t="str">
        <f ca="1">IF(Data!I147="","",IF(ISNUMBER(Data!K147),IF(AND(Data!K147&gt;(TODAY()-(Data_Val!$K$3*365.25)),Data!K147&lt;=(TODAY()-(Data_Val!$K$2*365.25))),0,1),1))</f>
        <v/>
      </c>
      <c r="L157" s="16" t="str">
        <f>IF(Data!G147="","",IF(Data!G147=Data_Val!$C$2,IF(Data!L147="",0,1),0))</f>
        <v/>
      </c>
      <c r="M157" s="16" t="str">
        <f>IF(Data!L147="","",IF(ISNUMBER(MATCH(Data!M147,Data_Val!$A$2:$A$3,0)),0,1))</f>
        <v/>
      </c>
      <c r="N157" s="43" t="str">
        <f ca="1">IF(Data!L147="","",IF(ISNUMBER(Data!N147),IF(AND(Data!N147&gt;(TODAY()-(Data_Val!$L$3*365.25)),Data!N147&lt;=(TODAY()-(Data_Val!$L$2*365.25))),0,1),1))</f>
        <v/>
      </c>
      <c r="O157" s="18" t="str">
        <f>IF(Data!$G147="","",IF(Data!$G147=Data_Val!$C$2,IF(Data!O147="",0,1),0))</f>
        <v/>
      </c>
      <c r="P157" s="18" t="str">
        <f>IF(Data!O147="","",IF(ISNUMBER(MATCH(Data!P147,Data_Val!$A$2:$A$3,0)),0,1))</f>
        <v/>
      </c>
      <c r="Q157" s="44" t="str">
        <f ca="1">IF(Data!O147="","",IF(ISNUMBER(Data!Q147),IF(AND(Data!Q147&gt;(TODAY()-(Data_Val!$L$3*365.25)),Data!Q147&lt;=(TODAY()-(Data_Val!$L$2*365.25))),0,1),1))</f>
        <v/>
      </c>
    </row>
    <row r="158" spans="1:17" ht="12" customHeight="1" x14ac:dyDescent="0.25">
      <c r="A158" s="36" t="str">
        <f>IF(Data!B148="","",IF(COUNTIFS(Data!A$1:'Data'!A148,Data!A148)&lt;=1,0,1))</f>
        <v/>
      </c>
      <c r="B158" s="36"/>
      <c r="C158" s="36" t="str">
        <f>IF(Data!C148="","",(IF(ISNUMBER(MATCH("*@*.?*",Data!C148,0)),0,1)+IF(COUNTIFS(Data!C$1:'Data'!C148,Data!C148)&gt;1,1,0)))</f>
        <v/>
      </c>
      <c r="D158" s="36" t="str">
        <f>IF(Data!B148="","",IF(ISNUMBER(Data!D148),IF(AND(Data!D148&gt;999999999,Data!D148&lt;=9999999999),IF(COUNTIFS(Data!D$1:'Data'!D148,Data!D148)&lt;=1,0,1),1),1))</f>
        <v/>
      </c>
      <c r="E158" s="36" t="str">
        <f>IF(Data!B148="","",IF(ISNUMBER(MATCH(Data!E148,Data_Val!$A$2:$A$3,0)),0,1))</f>
        <v/>
      </c>
      <c r="F158" s="36" t="str">
        <f ca="1">IF(Data!B148="","",IF(ISNUMBER(Data!F148),IF(AND(Data!F148&gt;(TODAY()-(Data_Val!$H$3*365.25)),Data!F148&lt;=(TODAY()-(Data_Val!$H$2*365.25))),0,1),1))</f>
        <v/>
      </c>
      <c r="G158" s="12" t="str">
        <f>IF(Data!B148="","",IF(AND(Data!G148="",Data!H148&lt;&gt;""),1,IF(ISNUMBER(MATCH(Data!G148,Data_Val!$C$2:$C$5,0)),0,1)))</f>
        <v/>
      </c>
      <c r="H158" s="12" t="str">
        <f>IF(Data!B148="","",IF(AND(Data!G148&lt;&gt;"",Data!H148=""),1,IF(Data!G148="",1,IF(ISNUMBER(MATCH(Data!H148,Data_Val!$D$2:$D$35,0)),0,1))))</f>
        <v/>
      </c>
      <c r="I158" s="38" t="str">
        <f>IF(Data!G148="","",IF(Data!G148=Data_Val!$C$2,IF(Data!I148="",0,1),0))</f>
        <v/>
      </c>
      <c r="J158" s="38" t="str">
        <f>IF(Data!I148="","",IF(ISNUMBER(MATCH(Data!J148,Data_Val!$A$2:$A$3,0)),0,1))</f>
        <v/>
      </c>
      <c r="K158" s="38" t="str">
        <f ca="1">IF(Data!I148="","",IF(ISNUMBER(Data!K148),IF(AND(Data!K148&gt;(TODAY()-(Data_Val!$K$3*365.25)),Data!K148&lt;=(TODAY()-(Data_Val!$K$2*365.25))),0,1),1))</f>
        <v/>
      </c>
      <c r="L158" s="16" t="str">
        <f>IF(Data!G148="","",IF(Data!G148=Data_Val!$C$2,IF(Data!L148="",0,1),0))</f>
        <v/>
      </c>
      <c r="M158" s="16" t="str">
        <f>IF(Data!L148="","",IF(ISNUMBER(MATCH(Data!M148,Data_Val!$A$2:$A$3,0)),0,1))</f>
        <v/>
      </c>
      <c r="N158" s="43" t="str">
        <f ca="1">IF(Data!L148="","",IF(ISNUMBER(Data!N148),IF(AND(Data!N148&gt;(TODAY()-(Data_Val!$L$3*365.25)),Data!N148&lt;=(TODAY()-(Data_Val!$L$2*365.25))),0,1),1))</f>
        <v/>
      </c>
      <c r="O158" s="18" t="str">
        <f>IF(Data!$G148="","",IF(Data!$G148=Data_Val!$C$2,IF(Data!O148="",0,1),0))</f>
        <v/>
      </c>
      <c r="P158" s="18" t="str">
        <f>IF(Data!O148="","",IF(ISNUMBER(MATCH(Data!P148,Data_Val!$A$2:$A$3,0)),0,1))</f>
        <v/>
      </c>
      <c r="Q158" s="44" t="str">
        <f ca="1">IF(Data!O148="","",IF(ISNUMBER(Data!Q148),IF(AND(Data!Q148&gt;(TODAY()-(Data_Val!$L$3*365.25)),Data!Q148&lt;=(TODAY()-(Data_Val!$L$2*365.25))),0,1),1))</f>
        <v/>
      </c>
    </row>
    <row r="159" spans="1:17" ht="12" customHeight="1" x14ac:dyDescent="0.25">
      <c r="A159" s="36" t="str">
        <f>IF(Data!B149="","",IF(COUNTIFS(Data!A$1:'Data'!A149,Data!A149)&lt;=1,0,1))</f>
        <v/>
      </c>
      <c r="B159" s="36"/>
      <c r="C159" s="36" t="str">
        <f>IF(Data!C149="","",(IF(ISNUMBER(MATCH("*@*.?*",Data!C149,0)),0,1)+IF(COUNTIFS(Data!C$1:'Data'!C149,Data!C149)&gt;1,1,0)))</f>
        <v/>
      </c>
      <c r="D159" s="36" t="str">
        <f>IF(Data!B149="","",IF(ISNUMBER(Data!D149),IF(AND(Data!D149&gt;999999999,Data!D149&lt;=9999999999),IF(COUNTIFS(Data!D$1:'Data'!D149,Data!D149)&lt;=1,0,1),1),1))</f>
        <v/>
      </c>
      <c r="E159" s="36" t="str">
        <f>IF(Data!B149="","",IF(ISNUMBER(MATCH(Data!E149,Data_Val!$A$2:$A$3,0)),0,1))</f>
        <v/>
      </c>
      <c r="F159" s="36" t="str">
        <f ca="1">IF(Data!B149="","",IF(ISNUMBER(Data!F149),IF(AND(Data!F149&gt;(TODAY()-(Data_Val!$H$3*365.25)),Data!F149&lt;=(TODAY()-(Data_Val!$H$2*365.25))),0,1),1))</f>
        <v/>
      </c>
      <c r="G159" s="12" t="str">
        <f>IF(Data!B149="","",IF(AND(Data!G149="",Data!H149&lt;&gt;""),1,IF(ISNUMBER(MATCH(Data!G149,Data_Val!$C$2:$C$5,0)),0,1)))</f>
        <v/>
      </c>
      <c r="H159" s="12" t="str">
        <f>IF(Data!B149="","",IF(AND(Data!G149&lt;&gt;"",Data!H149=""),1,IF(Data!G149="",1,IF(ISNUMBER(MATCH(Data!H149,Data_Val!$D$2:$D$35,0)),0,1))))</f>
        <v/>
      </c>
      <c r="I159" s="38" t="str">
        <f>IF(Data!G149="","",IF(Data!G149=Data_Val!$C$2,IF(Data!I149="",0,1),0))</f>
        <v/>
      </c>
      <c r="J159" s="38" t="str">
        <f>IF(Data!I149="","",IF(ISNUMBER(MATCH(Data!J149,Data_Val!$A$2:$A$3,0)),0,1))</f>
        <v/>
      </c>
      <c r="K159" s="38" t="str">
        <f ca="1">IF(Data!I149="","",IF(ISNUMBER(Data!K149),IF(AND(Data!K149&gt;(TODAY()-(Data_Val!$K$3*365.25)),Data!K149&lt;=(TODAY()-(Data_Val!$K$2*365.25))),0,1),1))</f>
        <v/>
      </c>
      <c r="L159" s="16" t="str">
        <f>IF(Data!G149="","",IF(Data!G149=Data_Val!$C$2,IF(Data!L149="",0,1),0))</f>
        <v/>
      </c>
      <c r="M159" s="16" t="str">
        <f>IF(Data!L149="","",IF(ISNUMBER(MATCH(Data!M149,Data_Val!$A$2:$A$3,0)),0,1))</f>
        <v/>
      </c>
      <c r="N159" s="43" t="str">
        <f ca="1">IF(Data!L149="","",IF(ISNUMBER(Data!N149),IF(AND(Data!N149&gt;(TODAY()-(Data_Val!$L$3*365.25)),Data!N149&lt;=(TODAY()-(Data_Val!$L$2*365.25))),0,1),1))</f>
        <v/>
      </c>
      <c r="O159" s="18" t="str">
        <f>IF(Data!$G149="","",IF(Data!$G149=Data_Val!$C$2,IF(Data!O149="",0,1),0))</f>
        <v/>
      </c>
      <c r="P159" s="18" t="str">
        <f>IF(Data!O149="","",IF(ISNUMBER(MATCH(Data!P149,Data_Val!$A$2:$A$3,0)),0,1))</f>
        <v/>
      </c>
      <c r="Q159" s="44" t="str">
        <f ca="1">IF(Data!O149="","",IF(ISNUMBER(Data!Q149),IF(AND(Data!Q149&gt;(TODAY()-(Data_Val!$L$3*365.25)),Data!Q149&lt;=(TODAY()-(Data_Val!$L$2*365.25))),0,1),1))</f>
        <v/>
      </c>
    </row>
    <row r="160" spans="1:17" ht="12" customHeight="1" x14ac:dyDescent="0.25">
      <c r="A160" s="36" t="str">
        <f>IF(Data!B150="","",IF(COUNTIFS(Data!A$1:'Data'!A150,Data!A150)&lt;=1,0,1))</f>
        <v/>
      </c>
      <c r="B160" s="36"/>
      <c r="C160" s="36" t="str">
        <f>IF(Data!C150="","",(IF(ISNUMBER(MATCH("*@*.?*",Data!C150,0)),0,1)+IF(COUNTIFS(Data!C$1:'Data'!C150,Data!C150)&gt;1,1,0)))</f>
        <v/>
      </c>
      <c r="D160" s="36" t="str">
        <f>IF(Data!B150="","",IF(ISNUMBER(Data!D150),IF(AND(Data!D150&gt;999999999,Data!D150&lt;=9999999999),IF(COUNTIFS(Data!D$1:'Data'!D150,Data!D150)&lt;=1,0,1),1),1))</f>
        <v/>
      </c>
      <c r="E160" s="36" t="str">
        <f>IF(Data!B150="","",IF(ISNUMBER(MATCH(Data!E150,Data_Val!$A$2:$A$3,0)),0,1))</f>
        <v/>
      </c>
      <c r="F160" s="36" t="str">
        <f ca="1">IF(Data!B150="","",IF(ISNUMBER(Data!F150),IF(AND(Data!F150&gt;(TODAY()-(Data_Val!$H$3*365.25)),Data!F150&lt;=(TODAY()-(Data_Val!$H$2*365.25))),0,1),1))</f>
        <v/>
      </c>
      <c r="G160" s="12" t="str">
        <f>IF(Data!B150="","",IF(AND(Data!G150="",Data!H150&lt;&gt;""),1,IF(ISNUMBER(MATCH(Data!G150,Data_Val!$C$2:$C$5,0)),0,1)))</f>
        <v/>
      </c>
      <c r="H160" s="12" t="str">
        <f>IF(Data!B150="","",IF(AND(Data!G150&lt;&gt;"",Data!H150=""),1,IF(Data!G150="",1,IF(ISNUMBER(MATCH(Data!H150,Data_Val!$D$2:$D$35,0)),0,1))))</f>
        <v/>
      </c>
      <c r="I160" s="38" t="str">
        <f>IF(Data!G150="","",IF(Data!G150=Data_Val!$C$2,IF(Data!I150="",0,1),0))</f>
        <v/>
      </c>
      <c r="J160" s="38" t="str">
        <f>IF(Data!I150="","",IF(ISNUMBER(MATCH(Data!J150,Data_Val!$A$2:$A$3,0)),0,1))</f>
        <v/>
      </c>
      <c r="K160" s="38" t="str">
        <f ca="1">IF(Data!I150="","",IF(ISNUMBER(Data!K150),IF(AND(Data!K150&gt;(TODAY()-(Data_Val!$K$3*365.25)),Data!K150&lt;=(TODAY()-(Data_Val!$K$2*365.25))),0,1),1))</f>
        <v/>
      </c>
      <c r="L160" s="16" t="str">
        <f>IF(Data!G150="","",IF(Data!G150=Data_Val!$C$2,IF(Data!L150="",0,1),0))</f>
        <v/>
      </c>
      <c r="M160" s="16" t="str">
        <f>IF(Data!L150="","",IF(ISNUMBER(MATCH(Data!M150,Data_Val!$A$2:$A$3,0)),0,1))</f>
        <v/>
      </c>
      <c r="N160" s="43" t="str">
        <f ca="1">IF(Data!L150="","",IF(ISNUMBER(Data!N150),IF(AND(Data!N150&gt;(TODAY()-(Data_Val!$L$3*365.25)),Data!N150&lt;=(TODAY()-(Data_Val!$L$2*365.25))),0,1),1))</f>
        <v/>
      </c>
      <c r="O160" s="18" t="str">
        <f>IF(Data!$G150="","",IF(Data!$G150=Data_Val!$C$2,IF(Data!O150="",0,1),0))</f>
        <v/>
      </c>
      <c r="P160" s="18" t="str">
        <f>IF(Data!O150="","",IF(ISNUMBER(MATCH(Data!P150,Data_Val!$A$2:$A$3,0)),0,1))</f>
        <v/>
      </c>
      <c r="Q160" s="44" t="str">
        <f ca="1">IF(Data!O150="","",IF(ISNUMBER(Data!Q150),IF(AND(Data!Q150&gt;(TODAY()-(Data_Val!$L$3*365.25)),Data!Q150&lt;=(TODAY()-(Data_Val!$L$2*365.25))),0,1),1))</f>
        <v/>
      </c>
    </row>
    <row r="161" spans="1:17" ht="12" customHeight="1" x14ac:dyDescent="0.25">
      <c r="A161" s="36" t="str">
        <f>IF(Data!B151="","",IF(COUNTIFS(Data!A$1:'Data'!A151,Data!A151)&lt;=1,0,1))</f>
        <v/>
      </c>
      <c r="B161" s="36"/>
      <c r="C161" s="36" t="str">
        <f>IF(Data!C151="","",(IF(ISNUMBER(MATCH("*@*.?*",Data!C151,0)),0,1)+IF(COUNTIFS(Data!C$1:'Data'!C151,Data!C151)&gt;1,1,0)))</f>
        <v/>
      </c>
      <c r="D161" s="36" t="str">
        <f>IF(Data!B151="","",IF(ISNUMBER(Data!D151),IF(AND(Data!D151&gt;999999999,Data!D151&lt;=9999999999),IF(COUNTIFS(Data!D$1:'Data'!D151,Data!D151)&lt;=1,0,1),1),1))</f>
        <v/>
      </c>
      <c r="E161" s="36" t="str">
        <f>IF(Data!B151="","",IF(ISNUMBER(MATCH(Data!E151,Data_Val!$A$2:$A$3,0)),0,1))</f>
        <v/>
      </c>
      <c r="F161" s="36" t="str">
        <f ca="1">IF(Data!B151="","",IF(ISNUMBER(Data!F151),IF(AND(Data!F151&gt;(TODAY()-(Data_Val!$H$3*365.25)),Data!F151&lt;=(TODAY()-(Data_Val!$H$2*365.25))),0,1),1))</f>
        <v/>
      </c>
      <c r="G161" s="12" t="str">
        <f>IF(Data!B151="","",IF(AND(Data!G151="",Data!H151&lt;&gt;""),1,IF(ISNUMBER(MATCH(Data!G151,Data_Val!$C$2:$C$5,0)),0,1)))</f>
        <v/>
      </c>
      <c r="H161" s="12" t="str">
        <f>IF(Data!B151="","",IF(AND(Data!G151&lt;&gt;"",Data!H151=""),1,IF(Data!G151="",1,IF(ISNUMBER(MATCH(Data!H151,Data_Val!$D$2:$D$35,0)),0,1))))</f>
        <v/>
      </c>
      <c r="I161" s="38" t="str">
        <f>IF(Data!G151="","",IF(Data!G151=Data_Val!$C$2,IF(Data!I151="",0,1),0))</f>
        <v/>
      </c>
      <c r="J161" s="38" t="str">
        <f>IF(Data!I151="","",IF(ISNUMBER(MATCH(Data!J151,Data_Val!$A$2:$A$3,0)),0,1))</f>
        <v/>
      </c>
      <c r="K161" s="38" t="str">
        <f ca="1">IF(Data!I151="","",IF(ISNUMBER(Data!K151),IF(AND(Data!K151&gt;(TODAY()-(Data_Val!$K$3*365.25)),Data!K151&lt;=(TODAY()-(Data_Val!$K$2*365.25))),0,1),1))</f>
        <v/>
      </c>
      <c r="L161" s="16" t="str">
        <f>IF(Data!G151="","",IF(Data!G151=Data_Val!$C$2,IF(Data!L151="",0,1),0))</f>
        <v/>
      </c>
      <c r="M161" s="16" t="str">
        <f>IF(Data!L151="","",IF(ISNUMBER(MATCH(Data!M151,Data_Val!$A$2:$A$3,0)),0,1))</f>
        <v/>
      </c>
      <c r="N161" s="43" t="str">
        <f ca="1">IF(Data!L151="","",IF(ISNUMBER(Data!N151),IF(AND(Data!N151&gt;(TODAY()-(Data_Val!$L$3*365.25)),Data!N151&lt;=(TODAY()-(Data_Val!$L$2*365.25))),0,1),1))</f>
        <v/>
      </c>
      <c r="O161" s="18" t="str">
        <f>IF(Data!$G151="","",IF(Data!$G151=Data_Val!$C$2,IF(Data!O151="",0,1),0))</f>
        <v/>
      </c>
      <c r="P161" s="18" t="str">
        <f>IF(Data!O151="","",IF(ISNUMBER(MATCH(Data!P151,Data_Val!$A$2:$A$3,0)),0,1))</f>
        <v/>
      </c>
      <c r="Q161" s="44" t="str">
        <f ca="1">IF(Data!O151="","",IF(ISNUMBER(Data!Q151),IF(AND(Data!Q151&gt;(TODAY()-(Data_Val!$L$3*365.25)),Data!Q151&lt;=(TODAY()-(Data_Val!$L$2*365.25))),0,1),1))</f>
        <v/>
      </c>
    </row>
    <row r="162" spans="1:17" ht="12" customHeight="1" x14ac:dyDescent="0.25">
      <c r="A162" s="36" t="str">
        <f>IF(Data!B152="","",IF(COUNTIFS(Data!A$1:'Data'!A152,Data!A152)&lt;=1,0,1))</f>
        <v/>
      </c>
      <c r="B162" s="36"/>
      <c r="C162" s="36" t="str">
        <f>IF(Data!C152="","",(IF(ISNUMBER(MATCH("*@*.?*",Data!C152,0)),0,1)+IF(COUNTIFS(Data!C$1:'Data'!C152,Data!C152)&gt;1,1,0)))</f>
        <v/>
      </c>
      <c r="D162" s="36" t="str">
        <f>IF(Data!B152="","",IF(ISNUMBER(Data!D152),IF(AND(Data!D152&gt;999999999,Data!D152&lt;=9999999999),IF(COUNTIFS(Data!D$1:'Data'!D152,Data!D152)&lt;=1,0,1),1),1))</f>
        <v/>
      </c>
      <c r="E162" s="36" t="str">
        <f>IF(Data!B152="","",IF(ISNUMBER(MATCH(Data!E152,Data_Val!$A$2:$A$3,0)),0,1))</f>
        <v/>
      </c>
      <c r="F162" s="36" t="str">
        <f ca="1">IF(Data!B152="","",IF(ISNUMBER(Data!F152),IF(AND(Data!F152&gt;(TODAY()-(Data_Val!$H$3*365.25)),Data!F152&lt;=(TODAY()-(Data_Val!$H$2*365.25))),0,1),1))</f>
        <v/>
      </c>
      <c r="G162" s="12" t="str">
        <f>IF(Data!B152="","",IF(AND(Data!G152="",Data!H152&lt;&gt;""),1,IF(ISNUMBER(MATCH(Data!G152,Data_Val!$C$2:$C$5,0)),0,1)))</f>
        <v/>
      </c>
      <c r="H162" s="12" t="str">
        <f>IF(Data!B152="","",IF(AND(Data!G152&lt;&gt;"",Data!H152=""),1,IF(Data!G152="",1,IF(ISNUMBER(MATCH(Data!H152,Data_Val!$D$2:$D$35,0)),0,1))))</f>
        <v/>
      </c>
      <c r="I162" s="38" t="str">
        <f>IF(Data!G152="","",IF(Data!G152=Data_Val!$C$2,IF(Data!I152="",0,1),0))</f>
        <v/>
      </c>
      <c r="J162" s="38" t="str">
        <f>IF(Data!I152="","",IF(ISNUMBER(MATCH(Data!J152,Data_Val!$A$2:$A$3,0)),0,1))</f>
        <v/>
      </c>
      <c r="K162" s="38" t="str">
        <f ca="1">IF(Data!I152="","",IF(ISNUMBER(Data!K152),IF(AND(Data!K152&gt;(TODAY()-(Data_Val!$K$3*365.25)),Data!K152&lt;=(TODAY()-(Data_Val!$K$2*365.25))),0,1),1))</f>
        <v/>
      </c>
      <c r="L162" s="16" t="str">
        <f>IF(Data!G152="","",IF(Data!G152=Data_Val!$C$2,IF(Data!L152="",0,1),0))</f>
        <v/>
      </c>
      <c r="M162" s="16" t="str">
        <f>IF(Data!L152="","",IF(ISNUMBER(MATCH(Data!M152,Data_Val!$A$2:$A$3,0)),0,1))</f>
        <v/>
      </c>
      <c r="N162" s="43" t="str">
        <f ca="1">IF(Data!L152="","",IF(ISNUMBER(Data!N152),IF(AND(Data!N152&gt;(TODAY()-(Data_Val!$L$3*365.25)),Data!N152&lt;=(TODAY()-(Data_Val!$L$2*365.25))),0,1),1))</f>
        <v/>
      </c>
      <c r="O162" s="18" t="str">
        <f>IF(Data!$G152="","",IF(Data!$G152=Data_Val!$C$2,IF(Data!O152="",0,1),0))</f>
        <v/>
      </c>
      <c r="P162" s="18" t="str">
        <f>IF(Data!O152="","",IF(ISNUMBER(MATCH(Data!P152,Data_Val!$A$2:$A$3,0)),0,1))</f>
        <v/>
      </c>
      <c r="Q162" s="44" t="str">
        <f ca="1">IF(Data!O152="","",IF(ISNUMBER(Data!Q152),IF(AND(Data!Q152&gt;(TODAY()-(Data_Val!$L$3*365.25)),Data!Q152&lt;=(TODAY()-(Data_Val!$L$2*365.25))),0,1),1))</f>
        <v/>
      </c>
    </row>
    <row r="163" spans="1:17" ht="12" customHeight="1" x14ac:dyDescent="0.25">
      <c r="A163" s="36" t="str">
        <f>IF(Data!B153="","",IF(COUNTIFS(Data!A$1:'Data'!A153,Data!A153)&lt;=1,0,1))</f>
        <v/>
      </c>
      <c r="B163" s="36"/>
      <c r="C163" s="36" t="str">
        <f>IF(Data!C153="","",(IF(ISNUMBER(MATCH("*@*.?*",Data!C153,0)),0,1)+IF(COUNTIFS(Data!C$1:'Data'!C153,Data!C153)&gt;1,1,0)))</f>
        <v/>
      </c>
      <c r="D163" s="36" t="str">
        <f>IF(Data!B153="","",IF(ISNUMBER(Data!D153),IF(AND(Data!D153&gt;999999999,Data!D153&lt;=9999999999),IF(COUNTIFS(Data!D$1:'Data'!D153,Data!D153)&lt;=1,0,1),1),1))</f>
        <v/>
      </c>
      <c r="E163" s="36" t="str">
        <f>IF(Data!B153="","",IF(ISNUMBER(MATCH(Data!E153,Data_Val!$A$2:$A$3,0)),0,1))</f>
        <v/>
      </c>
      <c r="F163" s="36" t="str">
        <f ca="1">IF(Data!B153="","",IF(ISNUMBER(Data!F153),IF(AND(Data!F153&gt;(TODAY()-(Data_Val!$H$3*365.25)),Data!F153&lt;=(TODAY()-(Data_Val!$H$2*365.25))),0,1),1))</f>
        <v/>
      </c>
      <c r="G163" s="12" t="str">
        <f>IF(Data!B153="","",IF(AND(Data!G153="",Data!H153&lt;&gt;""),1,IF(ISNUMBER(MATCH(Data!G153,Data_Val!$C$2:$C$5,0)),0,1)))</f>
        <v/>
      </c>
      <c r="H163" s="12" t="str">
        <f>IF(Data!B153="","",IF(AND(Data!G153&lt;&gt;"",Data!H153=""),1,IF(Data!G153="",1,IF(ISNUMBER(MATCH(Data!H153,Data_Val!$D$2:$D$35,0)),0,1))))</f>
        <v/>
      </c>
      <c r="I163" s="38" t="str">
        <f>IF(Data!G153="","",IF(Data!G153=Data_Val!$C$2,IF(Data!I153="",0,1),0))</f>
        <v/>
      </c>
      <c r="J163" s="38" t="str">
        <f>IF(Data!I153="","",IF(ISNUMBER(MATCH(Data!J153,Data_Val!$A$2:$A$3,0)),0,1))</f>
        <v/>
      </c>
      <c r="K163" s="38" t="str">
        <f ca="1">IF(Data!I153="","",IF(ISNUMBER(Data!K153),IF(AND(Data!K153&gt;(TODAY()-(Data_Val!$K$3*365.25)),Data!K153&lt;=(TODAY()-(Data_Val!$K$2*365.25))),0,1),1))</f>
        <v/>
      </c>
      <c r="L163" s="16" t="str">
        <f>IF(Data!G153="","",IF(Data!G153=Data_Val!$C$2,IF(Data!L153="",0,1),0))</f>
        <v/>
      </c>
      <c r="M163" s="16" t="str">
        <f>IF(Data!L153="","",IF(ISNUMBER(MATCH(Data!M153,Data_Val!$A$2:$A$3,0)),0,1))</f>
        <v/>
      </c>
      <c r="N163" s="43" t="str">
        <f ca="1">IF(Data!L153="","",IF(ISNUMBER(Data!N153),IF(AND(Data!N153&gt;(TODAY()-(Data_Val!$L$3*365.25)),Data!N153&lt;=(TODAY()-(Data_Val!$L$2*365.25))),0,1),1))</f>
        <v/>
      </c>
      <c r="O163" s="18" t="str">
        <f>IF(Data!$G153="","",IF(Data!$G153=Data_Val!$C$2,IF(Data!O153="",0,1),0))</f>
        <v/>
      </c>
      <c r="P163" s="18" t="str">
        <f>IF(Data!O153="","",IF(ISNUMBER(MATCH(Data!P153,Data_Val!$A$2:$A$3,0)),0,1))</f>
        <v/>
      </c>
      <c r="Q163" s="44" t="str">
        <f ca="1">IF(Data!O153="","",IF(ISNUMBER(Data!Q153),IF(AND(Data!Q153&gt;(TODAY()-(Data_Val!$L$3*365.25)),Data!Q153&lt;=(TODAY()-(Data_Val!$L$2*365.25))),0,1),1))</f>
        <v/>
      </c>
    </row>
    <row r="164" spans="1:17" ht="12" customHeight="1" x14ac:dyDescent="0.25">
      <c r="A164" s="36" t="str">
        <f>IF(Data!B154="","",IF(COUNTIFS(Data!A$1:'Data'!A154,Data!A154)&lt;=1,0,1))</f>
        <v/>
      </c>
      <c r="B164" s="36"/>
      <c r="C164" s="36" t="str">
        <f>IF(Data!C154="","",(IF(ISNUMBER(MATCH("*@*.?*",Data!C154,0)),0,1)+IF(COUNTIFS(Data!C$1:'Data'!C154,Data!C154)&gt;1,1,0)))</f>
        <v/>
      </c>
      <c r="D164" s="36" t="str">
        <f>IF(Data!B154="","",IF(ISNUMBER(Data!D154),IF(AND(Data!D154&gt;999999999,Data!D154&lt;=9999999999),IF(COUNTIFS(Data!D$1:'Data'!D154,Data!D154)&lt;=1,0,1),1),1))</f>
        <v/>
      </c>
      <c r="E164" s="36" t="str">
        <f>IF(Data!B154="","",IF(ISNUMBER(MATCH(Data!E154,Data_Val!$A$2:$A$3,0)),0,1))</f>
        <v/>
      </c>
      <c r="F164" s="36" t="str">
        <f ca="1">IF(Data!B154="","",IF(ISNUMBER(Data!F154),IF(AND(Data!F154&gt;(TODAY()-(Data_Val!$H$3*365.25)),Data!F154&lt;=(TODAY()-(Data_Val!$H$2*365.25))),0,1),1))</f>
        <v/>
      </c>
      <c r="G164" s="12" t="str">
        <f>IF(Data!B154="","",IF(AND(Data!G154="",Data!H154&lt;&gt;""),1,IF(ISNUMBER(MATCH(Data!G154,Data_Val!$C$2:$C$5,0)),0,1)))</f>
        <v/>
      </c>
      <c r="H164" s="12" t="str">
        <f>IF(Data!B154="","",IF(AND(Data!G154&lt;&gt;"",Data!H154=""),1,IF(Data!G154="",1,IF(ISNUMBER(MATCH(Data!H154,Data_Val!$D$2:$D$35,0)),0,1))))</f>
        <v/>
      </c>
      <c r="I164" s="38" t="str">
        <f>IF(Data!G154="","",IF(Data!G154=Data_Val!$C$2,IF(Data!I154="",0,1),0))</f>
        <v/>
      </c>
      <c r="J164" s="38" t="str">
        <f>IF(Data!I154="","",IF(ISNUMBER(MATCH(Data!J154,Data_Val!$A$2:$A$3,0)),0,1))</f>
        <v/>
      </c>
      <c r="K164" s="38" t="str">
        <f ca="1">IF(Data!I154="","",IF(ISNUMBER(Data!K154),IF(AND(Data!K154&gt;(TODAY()-(Data_Val!$K$3*365.25)),Data!K154&lt;=(TODAY()-(Data_Val!$K$2*365.25))),0,1),1))</f>
        <v/>
      </c>
      <c r="L164" s="16" t="str">
        <f>IF(Data!G154="","",IF(Data!G154=Data_Val!$C$2,IF(Data!L154="",0,1),0))</f>
        <v/>
      </c>
      <c r="M164" s="16" t="str">
        <f>IF(Data!L154="","",IF(ISNUMBER(MATCH(Data!M154,Data_Val!$A$2:$A$3,0)),0,1))</f>
        <v/>
      </c>
      <c r="N164" s="43" t="str">
        <f ca="1">IF(Data!L154="","",IF(ISNUMBER(Data!N154),IF(AND(Data!N154&gt;(TODAY()-(Data_Val!$L$3*365.25)),Data!N154&lt;=(TODAY()-(Data_Val!$L$2*365.25))),0,1),1))</f>
        <v/>
      </c>
      <c r="O164" s="18" t="str">
        <f>IF(Data!$G154="","",IF(Data!$G154=Data_Val!$C$2,IF(Data!O154="",0,1),0))</f>
        <v/>
      </c>
      <c r="P164" s="18" t="str">
        <f>IF(Data!O154="","",IF(ISNUMBER(MATCH(Data!P154,Data_Val!$A$2:$A$3,0)),0,1))</f>
        <v/>
      </c>
      <c r="Q164" s="44" t="str">
        <f ca="1">IF(Data!O154="","",IF(ISNUMBER(Data!Q154),IF(AND(Data!Q154&gt;(TODAY()-(Data_Val!$L$3*365.25)),Data!Q154&lt;=(TODAY()-(Data_Val!$L$2*365.25))),0,1),1))</f>
        <v/>
      </c>
    </row>
    <row r="165" spans="1:17" ht="12" customHeight="1" x14ac:dyDescent="0.25">
      <c r="A165" s="36" t="str">
        <f>IF(Data!B155="","",IF(COUNTIFS(Data!A$1:'Data'!A155,Data!A155)&lt;=1,0,1))</f>
        <v/>
      </c>
      <c r="B165" s="36"/>
      <c r="C165" s="36" t="str">
        <f>IF(Data!C155="","",(IF(ISNUMBER(MATCH("*@*.?*",Data!C155,0)),0,1)+IF(COUNTIFS(Data!C$1:'Data'!C155,Data!C155)&gt;1,1,0)))</f>
        <v/>
      </c>
      <c r="D165" s="36" t="str">
        <f>IF(Data!B155="","",IF(ISNUMBER(Data!D155),IF(AND(Data!D155&gt;999999999,Data!D155&lt;=9999999999),IF(COUNTIFS(Data!D$1:'Data'!D155,Data!D155)&lt;=1,0,1),1),1))</f>
        <v/>
      </c>
      <c r="E165" s="36" t="str">
        <f>IF(Data!B155="","",IF(ISNUMBER(MATCH(Data!E155,Data_Val!$A$2:$A$3,0)),0,1))</f>
        <v/>
      </c>
      <c r="F165" s="36" t="str">
        <f ca="1">IF(Data!B155="","",IF(ISNUMBER(Data!F155),IF(AND(Data!F155&gt;(TODAY()-(Data_Val!$H$3*365.25)),Data!F155&lt;=(TODAY()-(Data_Val!$H$2*365.25))),0,1),1))</f>
        <v/>
      </c>
      <c r="G165" s="12" t="str">
        <f>IF(Data!B155="","",IF(AND(Data!G155="",Data!H155&lt;&gt;""),1,IF(ISNUMBER(MATCH(Data!G155,Data_Val!$C$2:$C$5,0)),0,1)))</f>
        <v/>
      </c>
      <c r="H165" s="12" t="str">
        <f>IF(Data!B155="","",IF(AND(Data!G155&lt;&gt;"",Data!H155=""),1,IF(Data!G155="",1,IF(ISNUMBER(MATCH(Data!H155,Data_Val!$D$2:$D$35,0)),0,1))))</f>
        <v/>
      </c>
      <c r="I165" s="38" t="str">
        <f>IF(Data!G155="","",IF(Data!G155=Data_Val!$C$2,IF(Data!I155="",0,1),0))</f>
        <v/>
      </c>
      <c r="J165" s="38" t="str">
        <f>IF(Data!I155="","",IF(ISNUMBER(MATCH(Data!J155,Data_Val!$A$2:$A$3,0)),0,1))</f>
        <v/>
      </c>
      <c r="K165" s="38" t="str">
        <f ca="1">IF(Data!I155="","",IF(ISNUMBER(Data!K155),IF(AND(Data!K155&gt;(TODAY()-(Data_Val!$K$3*365.25)),Data!K155&lt;=(TODAY()-(Data_Val!$K$2*365.25))),0,1),1))</f>
        <v/>
      </c>
      <c r="L165" s="16" t="str">
        <f>IF(Data!G155="","",IF(Data!G155=Data_Val!$C$2,IF(Data!L155="",0,1),0))</f>
        <v/>
      </c>
      <c r="M165" s="16" t="str">
        <f>IF(Data!L155="","",IF(ISNUMBER(MATCH(Data!M155,Data_Val!$A$2:$A$3,0)),0,1))</f>
        <v/>
      </c>
      <c r="N165" s="43" t="str">
        <f ca="1">IF(Data!L155="","",IF(ISNUMBER(Data!N155),IF(AND(Data!N155&gt;(TODAY()-(Data_Val!$L$3*365.25)),Data!N155&lt;=(TODAY()-(Data_Val!$L$2*365.25))),0,1),1))</f>
        <v/>
      </c>
      <c r="O165" s="18" t="str">
        <f>IF(Data!$G155="","",IF(Data!$G155=Data_Val!$C$2,IF(Data!O155="",0,1),0))</f>
        <v/>
      </c>
      <c r="P165" s="18" t="str">
        <f>IF(Data!O155="","",IF(ISNUMBER(MATCH(Data!P155,Data_Val!$A$2:$A$3,0)),0,1))</f>
        <v/>
      </c>
      <c r="Q165" s="44" t="str">
        <f ca="1">IF(Data!O155="","",IF(ISNUMBER(Data!Q155),IF(AND(Data!Q155&gt;(TODAY()-(Data_Val!$L$3*365.25)),Data!Q155&lt;=(TODAY()-(Data_Val!$L$2*365.25))),0,1),1))</f>
        <v/>
      </c>
    </row>
    <row r="166" spans="1:17" ht="12" customHeight="1" x14ac:dyDescent="0.25">
      <c r="A166" s="36" t="str">
        <f>IF(Data!B156="","",IF(COUNTIFS(Data!A$1:'Data'!A156,Data!A156)&lt;=1,0,1))</f>
        <v/>
      </c>
      <c r="B166" s="36"/>
      <c r="C166" s="36" t="str">
        <f>IF(Data!C156="","",(IF(ISNUMBER(MATCH("*@*.?*",Data!C156,0)),0,1)+IF(COUNTIFS(Data!C$1:'Data'!C156,Data!C156)&gt;1,1,0)))</f>
        <v/>
      </c>
      <c r="D166" s="36" t="str">
        <f>IF(Data!B156="","",IF(ISNUMBER(Data!D156),IF(AND(Data!D156&gt;999999999,Data!D156&lt;=9999999999),IF(COUNTIFS(Data!D$1:'Data'!D156,Data!D156)&lt;=1,0,1),1),1))</f>
        <v/>
      </c>
      <c r="E166" s="36" t="str">
        <f>IF(Data!B156="","",IF(ISNUMBER(MATCH(Data!E156,Data_Val!$A$2:$A$3,0)),0,1))</f>
        <v/>
      </c>
      <c r="F166" s="36" t="str">
        <f ca="1">IF(Data!B156="","",IF(ISNUMBER(Data!F156),IF(AND(Data!F156&gt;(TODAY()-(Data_Val!$H$3*365.25)),Data!F156&lt;=(TODAY()-(Data_Val!$H$2*365.25))),0,1),1))</f>
        <v/>
      </c>
      <c r="G166" s="12" t="str">
        <f>IF(Data!B156="","",IF(AND(Data!G156="",Data!H156&lt;&gt;""),1,IF(ISNUMBER(MATCH(Data!G156,Data_Val!$C$2:$C$5,0)),0,1)))</f>
        <v/>
      </c>
      <c r="H166" s="12" t="str">
        <f>IF(Data!B156="","",IF(AND(Data!G156&lt;&gt;"",Data!H156=""),1,IF(Data!G156="",1,IF(ISNUMBER(MATCH(Data!H156,Data_Val!$D$2:$D$35,0)),0,1))))</f>
        <v/>
      </c>
      <c r="I166" s="38" t="str">
        <f>IF(Data!G156="","",IF(Data!G156=Data_Val!$C$2,IF(Data!I156="",0,1),0))</f>
        <v/>
      </c>
      <c r="J166" s="38" t="str">
        <f>IF(Data!I156="","",IF(ISNUMBER(MATCH(Data!J156,Data_Val!$A$2:$A$3,0)),0,1))</f>
        <v/>
      </c>
      <c r="K166" s="38" t="str">
        <f ca="1">IF(Data!I156="","",IF(ISNUMBER(Data!K156),IF(AND(Data!K156&gt;(TODAY()-(Data_Val!$K$3*365.25)),Data!K156&lt;=(TODAY()-(Data_Val!$K$2*365.25))),0,1),1))</f>
        <v/>
      </c>
      <c r="L166" s="16" t="str">
        <f>IF(Data!G156="","",IF(Data!G156=Data_Val!$C$2,IF(Data!L156="",0,1),0))</f>
        <v/>
      </c>
      <c r="M166" s="16" t="str">
        <f>IF(Data!L156="","",IF(ISNUMBER(MATCH(Data!M156,Data_Val!$A$2:$A$3,0)),0,1))</f>
        <v/>
      </c>
      <c r="N166" s="43" t="str">
        <f ca="1">IF(Data!L156="","",IF(ISNUMBER(Data!N156),IF(AND(Data!N156&gt;(TODAY()-(Data_Val!$L$3*365.25)),Data!N156&lt;=(TODAY()-(Data_Val!$L$2*365.25))),0,1),1))</f>
        <v/>
      </c>
      <c r="O166" s="18" t="str">
        <f>IF(Data!$G156="","",IF(Data!$G156=Data_Val!$C$2,IF(Data!O156="",0,1),0))</f>
        <v/>
      </c>
      <c r="P166" s="18" t="str">
        <f>IF(Data!O156="","",IF(ISNUMBER(MATCH(Data!P156,Data_Val!$A$2:$A$3,0)),0,1))</f>
        <v/>
      </c>
      <c r="Q166" s="44" t="str">
        <f ca="1">IF(Data!O156="","",IF(ISNUMBER(Data!Q156),IF(AND(Data!Q156&gt;(TODAY()-(Data_Val!$L$3*365.25)),Data!Q156&lt;=(TODAY()-(Data_Val!$L$2*365.25))),0,1),1))</f>
        <v/>
      </c>
    </row>
    <row r="167" spans="1:17" ht="12" customHeight="1" x14ac:dyDescent="0.25">
      <c r="A167" s="36" t="str">
        <f>IF(Data!B157="","",IF(COUNTIFS(Data!A$1:'Data'!A157,Data!A157)&lt;=1,0,1))</f>
        <v/>
      </c>
      <c r="B167" s="36"/>
      <c r="C167" s="36" t="str">
        <f>IF(Data!C157="","",(IF(ISNUMBER(MATCH("*@*.?*",Data!C157,0)),0,1)+IF(COUNTIFS(Data!C$1:'Data'!C157,Data!C157)&gt;1,1,0)))</f>
        <v/>
      </c>
      <c r="D167" s="36" t="str">
        <f>IF(Data!B157="","",IF(ISNUMBER(Data!D157),IF(AND(Data!D157&gt;999999999,Data!D157&lt;=9999999999),IF(COUNTIFS(Data!D$1:'Data'!D157,Data!D157)&lt;=1,0,1),1),1))</f>
        <v/>
      </c>
      <c r="E167" s="36" t="str">
        <f>IF(Data!B157="","",IF(ISNUMBER(MATCH(Data!E157,Data_Val!$A$2:$A$3,0)),0,1))</f>
        <v/>
      </c>
      <c r="F167" s="36" t="str">
        <f ca="1">IF(Data!B157="","",IF(ISNUMBER(Data!F157),IF(AND(Data!F157&gt;(TODAY()-(Data_Val!$H$3*365.25)),Data!F157&lt;=(TODAY()-(Data_Val!$H$2*365.25))),0,1),1))</f>
        <v/>
      </c>
      <c r="G167" s="12" t="str">
        <f>IF(Data!B157="","",IF(AND(Data!G157="",Data!H157&lt;&gt;""),1,IF(ISNUMBER(MATCH(Data!G157,Data_Val!$C$2:$C$5,0)),0,1)))</f>
        <v/>
      </c>
      <c r="H167" s="12" t="str">
        <f>IF(Data!B157="","",IF(AND(Data!G157&lt;&gt;"",Data!H157=""),1,IF(Data!G157="",1,IF(ISNUMBER(MATCH(Data!H157,Data_Val!$D$2:$D$35,0)),0,1))))</f>
        <v/>
      </c>
      <c r="I167" s="38" t="str">
        <f>IF(Data!G157="","",IF(Data!G157=Data_Val!$C$2,IF(Data!I157="",0,1),0))</f>
        <v/>
      </c>
      <c r="J167" s="38" t="str">
        <f>IF(Data!I157="","",IF(ISNUMBER(MATCH(Data!J157,Data_Val!$A$2:$A$3,0)),0,1))</f>
        <v/>
      </c>
      <c r="K167" s="38" t="str">
        <f ca="1">IF(Data!I157="","",IF(ISNUMBER(Data!K157),IF(AND(Data!K157&gt;(TODAY()-(Data_Val!$K$3*365.25)),Data!K157&lt;=(TODAY()-(Data_Val!$K$2*365.25))),0,1),1))</f>
        <v/>
      </c>
      <c r="L167" s="16" t="str">
        <f>IF(Data!G157="","",IF(Data!G157=Data_Val!$C$2,IF(Data!L157="",0,1),0))</f>
        <v/>
      </c>
      <c r="M167" s="16" t="str">
        <f>IF(Data!L157="","",IF(ISNUMBER(MATCH(Data!M157,Data_Val!$A$2:$A$3,0)),0,1))</f>
        <v/>
      </c>
      <c r="N167" s="43" t="str">
        <f ca="1">IF(Data!L157="","",IF(ISNUMBER(Data!N157),IF(AND(Data!N157&gt;(TODAY()-(Data_Val!$L$3*365.25)),Data!N157&lt;=(TODAY()-(Data_Val!$L$2*365.25))),0,1),1))</f>
        <v/>
      </c>
      <c r="O167" s="18" t="str">
        <f>IF(Data!$G157="","",IF(Data!$G157=Data_Val!$C$2,IF(Data!O157="",0,1),0))</f>
        <v/>
      </c>
      <c r="P167" s="18" t="str">
        <f>IF(Data!O157="","",IF(ISNUMBER(MATCH(Data!P157,Data_Val!$A$2:$A$3,0)),0,1))</f>
        <v/>
      </c>
      <c r="Q167" s="44" t="str">
        <f ca="1">IF(Data!O157="","",IF(ISNUMBER(Data!Q157),IF(AND(Data!Q157&gt;(TODAY()-(Data_Val!$L$3*365.25)),Data!Q157&lt;=(TODAY()-(Data_Val!$L$2*365.25))),0,1),1))</f>
        <v/>
      </c>
    </row>
    <row r="168" spans="1:17" ht="12" customHeight="1" x14ac:dyDescent="0.25">
      <c r="A168" s="36" t="str">
        <f>IF(Data!B158="","",IF(COUNTIFS(Data!A$1:'Data'!A158,Data!A158)&lt;=1,0,1))</f>
        <v/>
      </c>
      <c r="B168" s="36"/>
      <c r="C168" s="36" t="str">
        <f>IF(Data!C158="","",(IF(ISNUMBER(MATCH("*@*.?*",Data!C158,0)),0,1)+IF(COUNTIFS(Data!C$1:'Data'!C158,Data!C158)&gt;1,1,0)))</f>
        <v/>
      </c>
      <c r="D168" s="36" t="str">
        <f>IF(Data!B158="","",IF(ISNUMBER(Data!D158),IF(AND(Data!D158&gt;999999999,Data!D158&lt;=9999999999),IF(COUNTIFS(Data!D$1:'Data'!D158,Data!D158)&lt;=1,0,1),1),1))</f>
        <v/>
      </c>
      <c r="E168" s="36" t="str">
        <f>IF(Data!B158="","",IF(ISNUMBER(MATCH(Data!E158,Data_Val!$A$2:$A$3,0)),0,1))</f>
        <v/>
      </c>
      <c r="F168" s="36" t="str">
        <f ca="1">IF(Data!B158="","",IF(ISNUMBER(Data!F158),IF(AND(Data!F158&gt;(TODAY()-(Data_Val!$H$3*365.25)),Data!F158&lt;=(TODAY()-(Data_Val!$H$2*365.25))),0,1),1))</f>
        <v/>
      </c>
      <c r="G168" s="12" t="str">
        <f>IF(Data!B158="","",IF(AND(Data!G158="",Data!H158&lt;&gt;""),1,IF(ISNUMBER(MATCH(Data!G158,Data_Val!$C$2:$C$5,0)),0,1)))</f>
        <v/>
      </c>
      <c r="H168" s="12" t="str">
        <f>IF(Data!B158="","",IF(AND(Data!G158&lt;&gt;"",Data!H158=""),1,IF(Data!G158="",1,IF(ISNUMBER(MATCH(Data!H158,Data_Val!$D$2:$D$35,0)),0,1))))</f>
        <v/>
      </c>
      <c r="I168" s="38" t="str">
        <f>IF(Data!G158="","",IF(Data!G158=Data_Val!$C$2,IF(Data!I158="",0,1),0))</f>
        <v/>
      </c>
      <c r="J168" s="38" t="str">
        <f>IF(Data!I158="","",IF(ISNUMBER(MATCH(Data!J158,Data_Val!$A$2:$A$3,0)),0,1))</f>
        <v/>
      </c>
      <c r="K168" s="38" t="str">
        <f ca="1">IF(Data!I158="","",IF(ISNUMBER(Data!K158),IF(AND(Data!K158&gt;(TODAY()-(Data_Val!$K$3*365.25)),Data!K158&lt;=(TODAY()-(Data_Val!$K$2*365.25))),0,1),1))</f>
        <v/>
      </c>
      <c r="L168" s="16" t="str">
        <f>IF(Data!G158="","",IF(Data!G158=Data_Val!$C$2,IF(Data!L158="",0,1),0))</f>
        <v/>
      </c>
      <c r="M168" s="16" t="str">
        <f>IF(Data!L158="","",IF(ISNUMBER(MATCH(Data!M158,Data_Val!$A$2:$A$3,0)),0,1))</f>
        <v/>
      </c>
      <c r="N168" s="43" t="str">
        <f ca="1">IF(Data!L158="","",IF(ISNUMBER(Data!N158),IF(AND(Data!N158&gt;(TODAY()-(Data_Val!$L$3*365.25)),Data!N158&lt;=(TODAY()-(Data_Val!$L$2*365.25))),0,1),1))</f>
        <v/>
      </c>
      <c r="O168" s="18" t="str">
        <f>IF(Data!$G158="","",IF(Data!$G158=Data_Val!$C$2,IF(Data!O158="",0,1),0))</f>
        <v/>
      </c>
      <c r="P168" s="18" t="str">
        <f>IF(Data!O158="","",IF(ISNUMBER(MATCH(Data!P158,Data_Val!$A$2:$A$3,0)),0,1))</f>
        <v/>
      </c>
      <c r="Q168" s="44" t="str">
        <f ca="1">IF(Data!O158="","",IF(ISNUMBER(Data!Q158),IF(AND(Data!Q158&gt;(TODAY()-(Data_Val!$L$3*365.25)),Data!Q158&lt;=(TODAY()-(Data_Val!$L$2*365.25))),0,1),1))</f>
        <v/>
      </c>
    </row>
    <row r="169" spans="1:17" ht="12" customHeight="1" x14ac:dyDescent="0.25">
      <c r="A169" s="36" t="str">
        <f>IF(Data!B159="","",IF(COUNTIFS(Data!A$1:'Data'!A159,Data!A159)&lt;=1,0,1))</f>
        <v/>
      </c>
      <c r="B169" s="36"/>
      <c r="C169" s="36" t="str">
        <f>IF(Data!C159="","",(IF(ISNUMBER(MATCH("*@*.?*",Data!C159,0)),0,1)+IF(COUNTIFS(Data!C$1:'Data'!C159,Data!C159)&gt;1,1,0)))</f>
        <v/>
      </c>
      <c r="D169" s="36" t="str">
        <f>IF(Data!B159="","",IF(ISNUMBER(Data!D159),IF(AND(Data!D159&gt;999999999,Data!D159&lt;=9999999999),IF(COUNTIFS(Data!D$1:'Data'!D159,Data!D159)&lt;=1,0,1),1),1))</f>
        <v/>
      </c>
      <c r="E169" s="36" t="str">
        <f>IF(Data!B159="","",IF(ISNUMBER(MATCH(Data!E159,Data_Val!$A$2:$A$3,0)),0,1))</f>
        <v/>
      </c>
      <c r="F169" s="36" t="str">
        <f ca="1">IF(Data!B159="","",IF(ISNUMBER(Data!F159),IF(AND(Data!F159&gt;(TODAY()-(Data_Val!$H$3*365.25)),Data!F159&lt;=(TODAY()-(Data_Val!$H$2*365.25))),0,1),1))</f>
        <v/>
      </c>
      <c r="G169" s="12" t="str">
        <f>IF(Data!B159="","",IF(AND(Data!G159="",Data!H159&lt;&gt;""),1,IF(ISNUMBER(MATCH(Data!G159,Data_Val!$C$2:$C$5,0)),0,1)))</f>
        <v/>
      </c>
      <c r="H169" s="12" t="str">
        <f>IF(Data!B159="","",IF(AND(Data!G159&lt;&gt;"",Data!H159=""),1,IF(Data!G159="",1,IF(ISNUMBER(MATCH(Data!H159,Data_Val!$D$2:$D$35,0)),0,1))))</f>
        <v/>
      </c>
      <c r="I169" s="38" t="str">
        <f>IF(Data!G159="","",IF(Data!G159=Data_Val!$C$2,IF(Data!I159="",0,1),0))</f>
        <v/>
      </c>
      <c r="J169" s="38" t="str">
        <f>IF(Data!I159="","",IF(ISNUMBER(MATCH(Data!J159,Data_Val!$A$2:$A$3,0)),0,1))</f>
        <v/>
      </c>
      <c r="K169" s="38" t="str">
        <f ca="1">IF(Data!I159="","",IF(ISNUMBER(Data!K159),IF(AND(Data!K159&gt;(TODAY()-(Data_Val!$K$3*365.25)),Data!K159&lt;=(TODAY()-(Data_Val!$K$2*365.25))),0,1),1))</f>
        <v/>
      </c>
      <c r="L169" s="16" t="str">
        <f>IF(Data!G159="","",IF(Data!G159=Data_Val!$C$2,IF(Data!L159="",0,1),0))</f>
        <v/>
      </c>
      <c r="M169" s="16" t="str">
        <f>IF(Data!L159="","",IF(ISNUMBER(MATCH(Data!M159,Data_Val!$A$2:$A$3,0)),0,1))</f>
        <v/>
      </c>
      <c r="N169" s="43" t="str">
        <f ca="1">IF(Data!L159="","",IF(ISNUMBER(Data!N159),IF(AND(Data!N159&gt;(TODAY()-(Data_Val!$L$3*365.25)),Data!N159&lt;=(TODAY()-(Data_Val!$L$2*365.25))),0,1),1))</f>
        <v/>
      </c>
      <c r="O169" s="18" t="str">
        <f>IF(Data!$G159="","",IF(Data!$G159=Data_Val!$C$2,IF(Data!O159="",0,1),0))</f>
        <v/>
      </c>
      <c r="P169" s="18" t="str">
        <f>IF(Data!O159="","",IF(ISNUMBER(MATCH(Data!P159,Data_Val!$A$2:$A$3,0)),0,1))</f>
        <v/>
      </c>
      <c r="Q169" s="44" t="str">
        <f ca="1">IF(Data!O159="","",IF(ISNUMBER(Data!Q159),IF(AND(Data!Q159&gt;(TODAY()-(Data_Val!$L$3*365.25)),Data!Q159&lt;=(TODAY()-(Data_Val!$L$2*365.25))),0,1),1))</f>
        <v/>
      </c>
    </row>
    <row r="170" spans="1:17" ht="12" customHeight="1" x14ac:dyDescent="0.25">
      <c r="A170" s="36" t="str">
        <f>IF(Data!B160="","",IF(COUNTIFS(Data!A$1:'Data'!A160,Data!A160)&lt;=1,0,1))</f>
        <v/>
      </c>
      <c r="B170" s="36"/>
      <c r="C170" s="36" t="str">
        <f>IF(Data!C160="","",(IF(ISNUMBER(MATCH("*@*.?*",Data!C160,0)),0,1)+IF(COUNTIFS(Data!C$1:'Data'!C160,Data!C160)&gt;1,1,0)))</f>
        <v/>
      </c>
      <c r="D170" s="36" t="str">
        <f>IF(Data!B160="","",IF(ISNUMBER(Data!D160),IF(AND(Data!D160&gt;999999999,Data!D160&lt;=9999999999),IF(COUNTIFS(Data!D$1:'Data'!D160,Data!D160)&lt;=1,0,1),1),1))</f>
        <v/>
      </c>
      <c r="E170" s="36" t="str">
        <f>IF(Data!B160="","",IF(ISNUMBER(MATCH(Data!E160,Data_Val!$A$2:$A$3,0)),0,1))</f>
        <v/>
      </c>
      <c r="F170" s="36" t="str">
        <f ca="1">IF(Data!B160="","",IF(ISNUMBER(Data!F160),IF(AND(Data!F160&gt;(TODAY()-(Data_Val!$H$3*365.25)),Data!F160&lt;=(TODAY()-(Data_Val!$H$2*365.25))),0,1),1))</f>
        <v/>
      </c>
      <c r="G170" s="12" t="str">
        <f>IF(Data!B160="","",IF(AND(Data!G160="",Data!H160&lt;&gt;""),1,IF(ISNUMBER(MATCH(Data!G160,Data_Val!$C$2:$C$5,0)),0,1)))</f>
        <v/>
      </c>
      <c r="H170" s="12" t="str">
        <f>IF(Data!B160="","",IF(AND(Data!G160&lt;&gt;"",Data!H160=""),1,IF(Data!G160="",1,IF(ISNUMBER(MATCH(Data!H160,Data_Val!$D$2:$D$35,0)),0,1))))</f>
        <v/>
      </c>
      <c r="I170" s="38" t="str">
        <f>IF(Data!G160="","",IF(Data!G160=Data_Val!$C$2,IF(Data!I160="",0,1),0))</f>
        <v/>
      </c>
      <c r="J170" s="38" t="str">
        <f>IF(Data!I160="","",IF(ISNUMBER(MATCH(Data!J160,Data_Val!$A$2:$A$3,0)),0,1))</f>
        <v/>
      </c>
      <c r="K170" s="38" t="str">
        <f ca="1">IF(Data!I160="","",IF(ISNUMBER(Data!K160),IF(AND(Data!K160&gt;(TODAY()-(Data_Val!$K$3*365.25)),Data!K160&lt;=(TODAY()-(Data_Val!$K$2*365.25))),0,1),1))</f>
        <v/>
      </c>
      <c r="L170" s="16" t="str">
        <f>IF(Data!G160="","",IF(Data!G160=Data_Val!$C$2,IF(Data!L160="",0,1),0))</f>
        <v/>
      </c>
      <c r="M170" s="16" t="str">
        <f>IF(Data!L160="","",IF(ISNUMBER(MATCH(Data!M160,Data_Val!$A$2:$A$3,0)),0,1))</f>
        <v/>
      </c>
      <c r="N170" s="43" t="str">
        <f ca="1">IF(Data!L160="","",IF(ISNUMBER(Data!N160),IF(AND(Data!N160&gt;(TODAY()-(Data_Val!$L$3*365.25)),Data!N160&lt;=(TODAY()-(Data_Val!$L$2*365.25))),0,1),1))</f>
        <v/>
      </c>
      <c r="O170" s="18" t="str">
        <f>IF(Data!$G160="","",IF(Data!$G160=Data_Val!$C$2,IF(Data!O160="",0,1),0))</f>
        <v/>
      </c>
      <c r="P170" s="18" t="str">
        <f>IF(Data!O160="","",IF(ISNUMBER(MATCH(Data!P160,Data_Val!$A$2:$A$3,0)),0,1))</f>
        <v/>
      </c>
      <c r="Q170" s="44" t="str">
        <f ca="1">IF(Data!O160="","",IF(ISNUMBER(Data!Q160),IF(AND(Data!Q160&gt;(TODAY()-(Data_Val!$L$3*365.25)),Data!Q160&lt;=(TODAY()-(Data_Val!$L$2*365.25))),0,1),1))</f>
        <v/>
      </c>
    </row>
    <row r="171" spans="1:17" ht="12" customHeight="1" x14ac:dyDescent="0.25">
      <c r="A171" s="36" t="str">
        <f>IF(Data!B161="","",IF(COUNTIFS(Data!A$1:'Data'!A161,Data!A161)&lt;=1,0,1))</f>
        <v/>
      </c>
      <c r="B171" s="36"/>
      <c r="C171" s="36" t="str">
        <f>IF(Data!C161="","",(IF(ISNUMBER(MATCH("*@*.?*",Data!C161,0)),0,1)+IF(COUNTIFS(Data!C$1:'Data'!C161,Data!C161)&gt;1,1,0)))</f>
        <v/>
      </c>
      <c r="D171" s="36" t="str">
        <f>IF(Data!B161="","",IF(ISNUMBER(Data!D161),IF(AND(Data!D161&gt;999999999,Data!D161&lt;=9999999999),IF(COUNTIFS(Data!D$1:'Data'!D161,Data!D161)&lt;=1,0,1),1),1))</f>
        <v/>
      </c>
      <c r="E171" s="36" t="str">
        <f>IF(Data!B161="","",IF(ISNUMBER(MATCH(Data!E161,Data_Val!$A$2:$A$3,0)),0,1))</f>
        <v/>
      </c>
      <c r="F171" s="36" t="str">
        <f ca="1">IF(Data!B161="","",IF(ISNUMBER(Data!F161),IF(AND(Data!F161&gt;(TODAY()-(Data_Val!$H$3*365.25)),Data!F161&lt;=(TODAY()-(Data_Val!$H$2*365.25))),0,1),1))</f>
        <v/>
      </c>
      <c r="G171" s="12" t="str">
        <f>IF(Data!B161="","",IF(AND(Data!G161="",Data!H161&lt;&gt;""),1,IF(ISNUMBER(MATCH(Data!G161,Data_Val!$C$2:$C$5,0)),0,1)))</f>
        <v/>
      </c>
      <c r="H171" s="12" t="str">
        <f>IF(Data!B161="","",IF(AND(Data!G161&lt;&gt;"",Data!H161=""),1,IF(Data!G161="",1,IF(ISNUMBER(MATCH(Data!H161,Data_Val!$D$2:$D$35,0)),0,1))))</f>
        <v/>
      </c>
      <c r="I171" s="38" t="str">
        <f>IF(Data!G161="","",IF(Data!G161=Data_Val!$C$2,IF(Data!I161="",0,1),0))</f>
        <v/>
      </c>
      <c r="J171" s="38" t="str">
        <f>IF(Data!I161="","",IF(ISNUMBER(MATCH(Data!J161,Data_Val!$A$2:$A$3,0)),0,1))</f>
        <v/>
      </c>
      <c r="K171" s="38" t="str">
        <f ca="1">IF(Data!I161="","",IF(ISNUMBER(Data!K161),IF(AND(Data!K161&gt;(TODAY()-(Data_Val!$K$3*365.25)),Data!K161&lt;=(TODAY()-(Data_Val!$K$2*365.25))),0,1),1))</f>
        <v/>
      </c>
      <c r="L171" s="16" t="str">
        <f>IF(Data!G161="","",IF(Data!G161=Data_Val!$C$2,IF(Data!L161="",0,1),0))</f>
        <v/>
      </c>
      <c r="M171" s="16" t="str">
        <f>IF(Data!L161="","",IF(ISNUMBER(MATCH(Data!M161,Data_Val!$A$2:$A$3,0)),0,1))</f>
        <v/>
      </c>
      <c r="N171" s="43" t="str">
        <f ca="1">IF(Data!L161="","",IF(ISNUMBER(Data!N161),IF(AND(Data!N161&gt;(TODAY()-(Data_Val!$L$3*365.25)),Data!N161&lt;=(TODAY()-(Data_Val!$L$2*365.25))),0,1),1))</f>
        <v/>
      </c>
      <c r="O171" s="18" t="str">
        <f>IF(Data!$G161="","",IF(Data!$G161=Data_Val!$C$2,IF(Data!O161="",0,1),0))</f>
        <v/>
      </c>
      <c r="P171" s="18" t="str">
        <f>IF(Data!O161="","",IF(ISNUMBER(MATCH(Data!P161,Data_Val!$A$2:$A$3,0)),0,1))</f>
        <v/>
      </c>
      <c r="Q171" s="44" t="str">
        <f ca="1">IF(Data!O161="","",IF(ISNUMBER(Data!Q161),IF(AND(Data!Q161&gt;(TODAY()-(Data_Val!$L$3*365.25)),Data!Q161&lt;=(TODAY()-(Data_Val!$L$2*365.25))),0,1),1))</f>
        <v/>
      </c>
    </row>
    <row r="172" spans="1:17" ht="12" customHeight="1" x14ac:dyDescent="0.25">
      <c r="A172" s="36" t="str">
        <f>IF(Data!B162="","",IF(COUNTIFS(Data!A$1:'Data'!A162,Data!A162)&lt;=1,0,1))</f>
        <v/>
      </c>
      <c r="B172" s="36"/>
      <c r="C172" s="36" t="str">
        <f>IF(Data!C162="","",(IF(ISNUMBER(MATCH("*@*.?*",Data!C162,0)),0,1)+IF(COUNTIFS(Data!C$1:'Data'!C162,Data!C162)&gt;1,1,0)))</f>
        <v/>
      </c>
      <c r="D172" s="36" t="str">
        <f>IF(Data!B162="","",IF(ISNUMBER(Data!D162),IF(AND(Data!D162&gt;999999999,Data!D162&lt;=9999999999),IF(COUNTIFS(Data!D$1:'Data'!D162,Data!D162)&lt;=1,0,1),1),1))</f>
        <v/>
      </c>
      <c r="E172" s="36" t="str">
        <f>IF(Data!B162="","",IF(ISNUMBER(MATCH(Data!E162,Data_Val!$A$2:$A$3,0)),0,1))</f>
        <v/>
      </c>
      <c r="F172" s="36" t="str">
        <f ca="1">IF(Data!B162="","",IF(ISNUMBER(Data!F162),IF(AND(Data!F162&gt;(TODAY()-(Data_Val!$H$3*365.25)),Data!F162&lt;=(TODAY()-(Data_Val!$H$2*365.25))),0,1),1))</f>
        <v/>
      </c>
      <c r="G172" s="12" t="str">
        <f>IF(Data!B162="","",IF(AND(Data!G162="",Data!H162&lt;&gt;""),1,IF(ISNUMBER(MATCH(Data!G162,Data_Val!$C$2:$C$5,0)),0,1)))</f>
        <v/>
      </c>
      <c r="H172" s="12" t="str">
        <f>IF(Data!B162="","",IF(AND(Data!G162&lt;&gt;"",Data!H162=""),1,IF(Data!G162="",1,IF(ISNUMBER(MATCH(Data!H162,Data_Val!$D$2:$D$35,0)),0,1))))</f>
        <v/>
      </c>
      <c r="I172" s="38" t="str">
        <f>IF(Data!G162="","",IF(Data!G162=Data_Val!$C$2,IF(Data!I162="",0,1),0))</f>
        <v/>
      </c>
      <c r="J172" s="38" t="str">
        <f>IF(Data!I162="","",IF(ISNUMBER(MATCH(Data!J162,Data_Val!$A$2:$A$3,0)),0,1))</f>
        <v/>
      </c>
      <c r="K172" s="38" t="str">
        <f ca="1">IF(Data!I162="","",IF(ISNUMBER(Data!K162),IF(AND(Data!K162&gt;(TODAY()-(Data_Val!$K$3*365.25)),Data!K162&lt;=(TODAY()-(Data_Val!$K$2*365.25))),0,1),1))</f>
        <v/>
      </c>
      <c r="L172" s="16" t="str">
        <f>IF(Data!G162="","",IF(Data!G162=Data_Val!$C$2,IF(Data!L162="",0,1),0))</f>
        <v/>
      </c>
      <c r="M172" s="16" t="str">
        <f>IF(Data!L162="","",IF(ISNUMBER(MATCH(Data!M162,Data_Val!$A$2:$A$3,0)),0,1))</f>
        <v/>
      </c>
      <c r="N172" s="43" t="str">
        <f ca="1">IF(Data!L162="","",IF(ISNUMBER(Data!N162),IF(AND(Data!N162&gt;(TODAY()-(Data_Val!$L$3*365.25)),Data!N162&lt;=(TODAY()-(Data_Val!$L$2*365.25))),0,1),1))</f>
        <v/>
      </c>
      <c r="O172" s="18" t="str">
        <f>IF(Data!$G162="","",IF(Data!$G162=Data_Val!$C$2,IF(Data!O162="",0,1),0))</f>
        <v/>
      </c>
      <c r="P172" s="18" t="str">
        <f>IF(Data!O162="","",IF(ISNUMBER(MATCH(Data!P162,Data_Val!$A$2:$A$3,0)),0,1))</f>
        <v/>
      </c>
      <c r="Q172" s="44" t="str">
        <f ca="1">IF(Data!O162="","",IF(ISNUMBER(Data!Q162),IF(AND(Data!Q162&gt;(TODAY()-(Data_Val!$L$3*365.25)),Data!Q162&lt;=(TODAY()-(Data_Val!$L$2*365.25))),0,1),1))</f>
        <v/>
      </c>
    </row>
    <row r="173" spans="1:17" ht="12" customHeight="1" x14ac:dyDescent="0.25">
      <c r="A173" s="36" t="str">
        <f>IF(Data!B163="","",IF(COUNTIFS(Data!A$1:'Data'!A163,Data!A163)&lt;=1,0,1))</f>
        <v/>
      </c>
      <c r="B173" s="36"/>
      <c r="C173" s="36" t="str">
        <f>IF(Data!C163="","",(IF(ISNUMBER(MATCH("*@*.?*",Data!C163,0)),0,1)+IF(COUNTIFS(Data!C$1:'Data'!C163,Data!C163)&gt;1,1,0)))</f>
        <v/>
      </c>
      <c r="D173" s="36" t="str">
        <f>IF(Data!B163="","",IF(ISNUMBER(Data!D163),IF(AND(Data!D163&gt;999999999,Data!D163&lt;=9999999999),IF(COUNTIFS(Data!D$1:'Data'!D163,Data!D163)&lt;=1,0,1),1),1))</f>
        <v/>
      </c>
      <c r="E173" s="36" t="str">
        <f>IF(Data!B163="","",IF(ISNUMBER(MATCH(Data!E163,Data_Val!$A$2:$A$3,0)),0,1))</f>
        <v/>
      </c>
      <c r="F173" s="36" t="str">
        <f ca="1">IF(Data!B163="","",IF(ISNUMBER(Data!F163),IF(AND(Data!F163&gt;(TODAY()-(Data_Val!$H$3*365.25)),Data!F163&lt;=(TODAY()-(Data_Val!$H$2*365.25))),0,1),1))</f>
        <v/>
      </c>
      <c r="G173" s="12" t="str">
        <f>IF(Data!B163="","",IF(AND(Data!G163="",Data!H163&lt;&gt;""),1,IF(ISNUMBER(MATCH(Data!G163,Data_Val!$C$2:$C$5,0)),0,1)))</f>
        <v/>
      </c>
      <c r="H173" s="12" t="str">
        <f>IF(Data!B163="","",IF(AND(Data!G163&lt;&gt;"",Data!H163=""),1,IF(Data!G163="",1,IF(ISNUMBER(MATCH(Data!H163,Data_Val!$D$2:$D$35,0)),0,1))))</f>
        <v/>
      </c>
      <c r="I173" s="38" t="str">
        <f>IF(Data!G163="","",IF(Data!G163=Data_Val!$C$2,IF(Data!I163="",0,1),0))</f>
        <v/>
      </c>
      <c r="J173" s="38" t="str">
        <f>IF(Data!I163="","",IF(ISNUMBER(MATCH(Data!J163,Data_Val!$A$2:$A$3,0)),0,1))</f>
        <v/>
      </c>
      <c r="K173" s="38" t="str">
        <f ca="1">IF(Data!I163="","",IF(ISNUMBER(Data!K163),IF(AND(Data!K163&gt;(TODAY()-(Data_Val!$K$3*365.25)),Data!K163&lt;=(TODAY()-(Data_Val!$K$2*365.25))),0,1),1))</f>
        <v/>
      </c>
      <c r="L173" s="16" t="str">
        <f>IF(Data!G163="","",IF(Data!G163=Data_Val!$C$2,IF(Data!L163="",0,1),0))</f>
        <v/>
      </c>
      <c r="M173" s="16" t="str">
        <f>IF(Data!L163="","",IF(ISNUMBER(MATCH(Data!M163,Data_Val!$A$2:$A$3,0)),0,1))</f>
        <v/>
      </c>
      <c r="N173" s="43" t="str">
        <f ca="1">IF(Data!L163="","",IF(ISNUMBER(Data!N163),IF(AND(Data!N163&gt;(TODAY()-(Data_Val!$L$3*365.25)),Data!N163&lt;=(TODAY()-(Data_Val!$L$2*365.25))),0,1),1))</f>
        <v/>
      </c>
      <c r="O173" s="18" t="str">
        <f>IF(Data!$G163="","",IF(Data!$G163=Data_Val!$C$2,IF(Data!O163="",0,1),0))</f>
        <v/>
      </c>
      <c r="P173" s="18" t="str">
        <f>IF(Data!O163="","",IF(ISNUMBER(MATCH(Data!P163,Data_Val!$A$2:$A$3,0)),0,1))</f>
        <v/>
      </c>
      <c r="Q173" s="44" t="str">
        <f ca="1">IF(Data!O163="","",IF(ISNUMBER(Data!Q163),IF(AND(Data!Q163&gt;(TODAY()-(Data_Val!$L$3*365.25)),Data!Q163&lt;=(TODAY()-(Data_Val!$L$2*365.25))),0,1),1))</f>
        <v/>
      </c>
    </row>
    <row r="174" spans="1:17" ht="12" customHeight="1" x14ac:dyDescent="0.25">
      <c r="A174" s="36" t="str">
        <f>IF(Data!B164="","",IF(COUNTIFS(Data!A$1:'Data'!A164,Data!A164)&lt;=1,0,1))</f>
        <v/>
      </c>
      <c r="B174" s="36"/>
      <c r="C174" s="36" t="str">
        <f>IF(Data!C164="","",(IF(ISNUMBER(MATCH("*@*.?*",Data!C164,0)),0,1)+IF(COUNTIFS(Data!C$1:'Data'!C164,Data!C164)&gt;1,1,0)))</f>
        <v/>
      </c>
      <c r="D174" s="36" t="str">
        <f>IF(Data!B164="","",IF(ISNUMBER(Data!D164),IF(AND(Data!D164&gt;999999999,Data!D164&lt;=9999999999),IF(COUNTIFS(Data!D$1:'Data'!D164,Data!D164)&lt;=1,0,1),1),1))</f>
        <v/>
      </c>
      <c r="E174" s="36" t="str">
        <f>IF(Data!B164="","",IF(ISNUMBER(MATCH(Data!E164,Data_Val!$A$2:$A$3,0)),0,1))</f>
        <v/>
      </c>
      <c r="F174" s="36" t="str">
        <f ca="1">IF(Data!B164="","",IF(ISNUMBER(Data!F164),IF(AND(Data!F164&gt;(TODAY()-(Data_Val!$H$3*365.25)),Data!F164&lt;=(TODAY()-(Data_Val!$H$2*365.25))),0,1),1))</f>
        <v/>
      </c>
      <c r="G174" s="12" t="str">
        <f>IF(Data!B164="","",IF(AND(Data!G164="",Data!H164&lt;&gt;""),1,IF(ISNUMBER(MATCH(Data!G164,Data_Val!$C$2:$C$5,0)),0,1)))</f>
        <v/>
      </c>
      <c r="H174" s="12" t="str">
        <f>IF(Data!B164="","",IF(AND(Data!G164&lt;&gt;"",Data!H164=""),1,IF(Data!G164="",1,IF(ISNUMBER(MATCH(Data!H164,Data_Val!$D$2:$D$35,0)),0,1))))</f>
        <v/>
      </c>
      <c r="I174" s="38" t="str">
        <f>IF(Data!G164="","",IF(Data!G164=Data_Val!$C$2,IF(Data!I164="",0,1),0))</f>
        <v/>
      </c>
      <c r="J174" s="38" t="str">
        <f>IF(Data!I164="","",IF(ISNUMBER(MATCH(Data!J164,Data_Val!$A$2:$A$3,0)),0,1))</f>
        <v/>
      </c>
      <c r="K174" s="38" t="str">
        <f ca="1">IF(Data!I164="","",IF(ISNUMBER(Data!K164),IF(AND(Data!K164&gt;(TODAY()-(Data_Val!$K$3*365.25)),Data!K164&lt;=(TODAY()-(Data_Val!$K$2*365.25))),0,1),1))</f>
        <v/>
      </c>
      <c r="L174" s="16" t="str">
        <f>IF(Data!G164="","",IF(Data!G164=Data_Val!$C$2,IF(Data!L164="",0,1),0))</f>
        <v/>
      </c>
      <c r="M174" s="16" t="str">
        <f>IF(Data!L164="","",IF(ISNUMBER(MATCH(Data!M164,Data_Val!$A$2:$A$3,0)),0,1))</f>
        <v/>
      </c>
      <c r="N174" s="43" t="str">
        <f ca="1">IF(Data!L164="","",IF(ISNUMBER(Data!N164),IF(AND(Data!N164&gt;(TODAY()-(Data_Val!$L$3*365.25)),Data!N164&lt;=(TODAY()-(Data_Val!$L$2*365.25))),0,1),1))</f>
        <v/>
      </c>
      <c r="O174" s="18" t="str">
        <f>IF(Data!$G164="","",IF(Data!$G164=Data_Val!$C$2,IF(Data!O164="",0,1),0))</f>
        <v/>
      </c>
      <c r="P174" s="18" t="str">
        <f>IF(Data!O164="","",IF(ISNUMBER(MATCH(Data!P164,Data_Val!$A$2:$A$3,0)),0,1))</f>
        <v/>
      </c>
      <c r="Q174" s="44" t="str">
        <f ca="1">IF(Data!O164="","",IF(ISNUMBER(Data!Q164),IF(AND(Data!Q164&gt;(TODAY()-(Data_Val!$L$3*365.25)),Data!Q164&lt;=(TODAY()-(Data_Val!$L$2*365.25))),0,1),1))</f>
        <v/>
      </c>
    </row>
    <row r="175" spans="1:17" ht="12" customHeight="1" x14ac:dyDescent="0.25">
      <c r="A175" s="36" t="str">
        <f>IF(Data!B165="","",IF(COUNTIFS(Data!A$1:'Data'!A165,Data!A165)&lt;=1,0,1))</f>
        <v/>
      </c>
      <c r="B175" s="36"/>
      <c r="C175" s="36" t="str">
        <f>IF(Data!C165="","",(IF(ISNUMBER(MATCH("*@*.?*",Data!C165,0)),0,1)+IF(COUNTIFS(Data!C$1:'Data'!C165,Data!C165)&gt;1,1,0)))</f>
        <v/>
      </c>
      <c r="D175" s="36" t="str">
        <f>IF(Data!B165="","",IF(ISNUMBER(Data!D165),IF(AND(Data!D165&gt;999999999,Data!D165&lt;=9999999999),IF(COUNTIFS(Data!D$1:'Data'!D165,Data!D165)&lt;=1,0,1),1),1))</f>
        <v/>
      </c>
      <c r="E175" s="36" t="str">
        <f>IF(Data!B165="","",IF(ISNUMBER(MATCH(Data!E165,Data_Val!$A$2:$A$3,0)),0,1))</f>
        <v/>
      </c>
      <c r="F175" s="36" t="str">
        <f ca="1">IF(Data!B165="","",IF(ISNUMBER(Data!F165),IF(AND(Data!F165&gt;(TODAY()-(Data_Val!$H$3*365.25)),Data!F165&lt;=(TODAY()-(Data_Val!$H$2*365.25))),0,1),1))</f>
        <v/>
      </c>
      <c r="G175" s="12" t="str">
        <f>IF(Data!B165="","",IF(AND(Data!G165="",Data!H165&lt;&gt;""),1,IF(ISNUMBER(MATCH(Data!G165,Data_Val!$C$2:$C$5,0)),0,1)))</f>
        <v/>
      </c>
      <c r="H175" s="12" t="str">
        <f>IF(Data!B165="","",IF(AND(Data!G165&lt;&gt;"",Data!H165=""),1,IF(Data!G165="",1,IF(ISNUMBER(MATCH(Data!H165,Data_Val!$D$2:$D$35,0)),0,1))))</f>
        <v/>
      </c>
      <c r="I175" s="38" t="str">
        <f>IF(Data!G165="","",IF(Data!G165=Data_Val!$C$2,IF(Data!I165="",0,1),0))</f>
        <v/>
      </c>
      <c r="J175" s="38" t="str">
        <f>IF(Data!I165="","",IF(ISNUMBER(MATCH(Data!J165,Data_Val!$A$2:$A$3,0)),0,1))</f>
        <v/>
      </c>
      <c r="K175" s="38" t="str">
        <f ca="1">IF(Data!I165="","",IF(ISNUMBER(Data!K165),IF(AND(Data!K165&gt;(TODAY()-(Data_Val!$K$3*365.25)),Data!K165&lt;=(TODAY()-(Data_Val!$K$2*365.25))),0,1),1))</f>
        <v/>
      </c>
      <c r="L175" s="16" t="str">
        <f>IF(Data!G165="","",IF(Data!G165=Data_Val!$C$2,IF(Data!L165="",0,1),0))</f>
        <v/>
      </c>
      <c r="M175" s="16" t="str">
        <f>IF(Data!L165="","",IF(ISNUMBER(MATCH(Data!M165,Data_Val!$A$2:$A$3,0)),0,1))</f>
        <v/>
      </c>
      <c r="N175" s="43" t="str">
        <f ca="1">IF(Data!L165="","",IF(ISNUMBER(Data!N165),IF(AND(Data!N165&gt;(TODAY()-(Data_Val!$L$3*365.25)),Data!N165&lt;=(TODAY()-(Data_Val!$L$2*365.25))),0,1),1))</f>
        <v/>
      </c>
      <c r="O175" s="18" t="str">
        <f>IF(Data!$G165="","",IF(Data!$G165=Data_Val!$C$2,IF(Data!O165="",0,1),0))</f>
        <v/>
      </c>
      <c r="P175" s="18" t="str">
        <f>IF(Data!O165="","",IF(ISNUMBER(MATCH(Data!P165,Data_Val!$A$2:$A$3,0)),0,1))</f>
        <v/>
      </c>
      <c r="Q175" s="44" t="str">
        <f ca="1">IF(Data!O165="","",IF(ISNUMBER(Data!Q165),IF(AND(Data!Q165&gt;(TODAY()-(Data_Val!$L$3*365.25)),Data!Q165&lt;=(TODAY()-(Data_Val!$L$2*365.25))),0,1),1))</f>
        <v/>
      </c>
    </row>
    <row r="176" spans="1:17" ht="12" customHeight="1" x14ac:dyDescent="0.25">
      <c r="A176" s="36" t="str">
        <f>IF(Data!B166="","",IF(COUNTIFS(Data!A$1:'Data'!A166,Data!A166)&lt;=1,0,1))</f>
        <v/>
      </c>
      <c r="B176" s="36"/>
      <c r="C176" s="36" t="str">
        <f>IF(Data!C166="","",(IF(ISNUMBER(MATCH("*@*.?*",Data!C166,0)),0,1)+IF(COUNTIFS(Data!C$1:'Data'!C166,Data!C166)&gt;1,1,0)))</f>
        <v/>
      </c>
      <c r="D176" s="36" t="str">
        <f>IF(Data!B166="","",IF(ISNUMBER(Data!D166),IF(AND(Data!D166&gt;999999999,Data!D166&lt;=9999999999),IF(COUNTIFS(Data!D$1:'Data'!D166,Data!D166)&lt;=1,0,1),1),1))</f>
        <v/>
      </c>
      <c r="E176" s="36" t="str">
        <f>IF(Data!B166="","",IF(ISNUMBER(MATCH(Data!E166,Data_Val!$A$2:$A$3,0)),0,1))</f>
        <v/>
      </c>
      <c r="F176" s="36" t="str">
        <f ca="1">IF(Data!B166="","",IF(ISNUMBER(Data!F166),IF(AND(Data!F166&gt;(TODAY()-(Data_Val!$H$3*365.25)),Data!F166&lt;=(TODAY()-(Data_Val!$H$2*365.25))),0,1),1))</f>
        <v/>
      </c>
      <c r="G176" s="12" t="str">
        <f>IF(Data!B166="","",IF(AND(Data!G166="",Data!H166&lt;&gt;""),1,IF(ISNUMBER(MATCH(Data!G166,Data_Val!$C$2:$C$5,0)),0,1)))</f>
        <v/>
      </c>
      <c r="H176" s="12" t="str">
        <f>IF(Data!B166="","",IF(AND(Data!G166&lt;&gt;"",Data!H166=""),1,IF(Data!G166="",1,IF(ISNUMBER(MATCH(Data!H166,Data_Val!$D$2:$D$35,0)),0,1))))</f>
        <v/>
      </c>
      <c r="I176" s="38" t="str">
        <f>IF(Data!G166="","",IF(Data!G166=Data_Val!$C$2,IF(Data!I166="",0,1),0))</f>
        <v/>
      </c>
      <c r="J176" s="38" t="str">
        <f>IF(Data!I166="","",IF(ISNUMBER(MATCH(Data!J166,Data_Val!$A$2:$A$3,0)),0,1))</f>
        <v/>
      </c>
      <c r="K176" s="38" t="str">
        <f ca="1">IF(Data!I166="","",IF(ISNUMBER(Data!K166),IF(AND(Data!K166&gt;(TODAY()-(Data_Val!$K$3*365.25)),Data!K166&lt;=(TODAY()-(Data_Val!$K$2*365.25))),0,1),1))</f>
        <v/>
      </c>
      <c r="L176" s="16" t="str">
        <f>IF(Data!G166="","",IF(Data!G166=Data_Val!$C$2,IF(Data!L166="",0,1),0))</f>
        <v/>
      </c>
      <c r="M176" s="16" t="str">
        <f>IF(Data!L166="","",IF(ISNUMBER(MATCH(Data!M166,Data_Val!$A$2:$A$3,0)),0,1))</f>
        <v/>
      </c>
      <c r="N176" s="43" t="str">
        <f ca="1">IF(Data!L166="","",IF(ISNUMBER(Data!N166),IF(AND(Data!N166&gt;(TODAY()-(Data_Val!$L$3*365.25)),Data!N166&lt;=(TODAY()-(Data_Val!$L$2*365.25))),0,1),1))</f>
        <v/>
      </c>
      <c r="O176" s="18" t="str">
        <f>IF(Data!$G166="","",IF(Data!$G166=Data_Val!$C$2,IF(Data!O166="",0,1),0))</f>
        <v/>
      </c>
      <c r="P176" s="18" t="str">
        <f>IF(Data!O166="","",IF(ISNUMBER(MATCH(Data!P166,Data_Val!$A$2:$A$3,0)),0,1))</f>
        <v/>
      </c>
      <c r="Q176" s="44" t="str">
        <f ca="1">IF(Data!O166="","",IF(ISNUMBER(Data!Q166),IF(AND(Data!Q166&gt;(TODAY()-(Data_Val!$L$3*365.25)),Data!Q166&lt;=(TODAY()-(Data_Val!$L$2*365.25))),0,1),1))</f>
        <v/>
      </c>
    </row>
    <row r="177" spans="1:17" ht="12" customHeight="1" x14ac:dyDescent="0.25">
      <c r="A177" s="36" t="str">
        <f>IF(Data!B167="","",IF(COUNTIFS(Data!A$1:'Data'!A167,Data!A167)&lt;=1,0,1))</f>
        <v/>
      </c>
      <c r="B177" s="36"/>
      <c r="C177" s="36" t="str">
        <f>IF(Data!C167="","",(IF(ISNUMBER(MATCH("*@*.?*",Data!C167,0)),0,1)+IF(COUNTIFS(Data!C$1:'Data'!C167,Data!C167)&gt;1,1,0)))</f>
        <v/>
      </c>
      <c r="D177" s="36" t="str">
        <f>IF(Data!B167="","",IF(ISNUMBER(Data!D167),IF(AND(Data!D167&gt;999999999,Data!D167&lt;=9999999999),IF(COUNTIFS(Data!D$1:'Data'!D167,Data!D167)&lt;=1,0,1),1),1))</f>
        <v/>
      </c>
      <c r="E177" s="36" t="str">
        <f>IF(Data!B167="","",IF(ISNUMBER(MATCH(Data!E167,Data_Val!$A$2:$A$3,0)),0,1))</f>
        <v/>
      </c>
      <c r="F177" s="36" t="str">
        <f ca="1">IF(Data!B167="","",IF(ISNUMBER(Data!F167),IF(AND(Data!F167&gt;(TODAY()-(Data_Val!$H$3*365.25)),Data!F167&lt;=(TODAY()-(Data_Val!$H$2*365.25))),0,1),1))</f>
        <v/>
      </c>
      <c r="G177" s="12" t="str">
        <f>IF(Data!B167="","",IF(AND(Data!G167="",Data!H167&lt;&gt;""),1,IF(ISNUMBER(MATCH(Data!G167,Data_Val!$C$2:$C$5,0)),0,1)))</f>
        <v/>
      </c>
      <c r="H177" s="12" t="str">
        <f>IF(Data!B167="","",IF(AND(Data!G167&lt;&gt;"",Data!H167=""),1,IF(Data!G167="",1,IF(ISNUMBER(MATCH(Data!H167,Data_Val!$D$2:$D$35,0)),0,1))))</f>
        <v/>
      </c>
      <c r="I177" s="38" t="str">
        <f>IF(Data!G167="","",IF(Data!G167=Data_Val!$C$2,IF(Data!I167="",0,1),0))</f>
        <v/>
      </c>
      <c r="J177" s="38" t="str">
        <f>IF(Data!I167="","",IF(ISNUMBER(MATCH(Data!J167,Data_Val!$A$2:$A$3,0)),0,1))</f>
        <v/>
      </c>
      <c r="K177" s="38" t="str">
        <f ca="1">IF(Data!I167="","",IF(ISNUMBER(Data!K167),IF(AND(Data!K167&gt;(TODAY()-(Data_Val!$K$3*365.25)),Data!K167&lt;=(TODAY()-(Data_Val!$K$2*365.25))),0,1),1))</f>
        <v/>
      </c>
      <c r="L177" s="16" t="str">
        <f>IF(Data!G167="","",IF(Data!G167=Data_Val!$C$2,IF(Data!L167="",0,1),0))</f>
        <v/>
      </c>
      <c r="M177" s="16" t="str">
        <f>IF(Data!L167="","",IF(ISNUMBER(MATCH(Data!M167,Data_Val!$A$2:$A$3,0)),0,1))</f>
        <v/>
      </c>
      <c r="N177" s="43" t="str">
        <f ca="1">IF(Data!L167="","",IF(ISNUMBER(Data!N167),IF(AND(Data!N167&gt;(TODAY()-(Data_Val!$L$3*365.25)),Data!N167&lt;=(TODAY()-(Data_Val!$L$2*365.25))),0,1),1))</f>
        <v/>
      </c>
      <c r="O177" s="18" t="str">
        <f>IF(Data!$G167="","",IF(Data!$G167=Data_Val!$C$2,IF(Data!O167="",0,1),0))</f>
        <v/>
      </c>
      <c r="P177" s="18" t="str">
        <f>IF(Data!O167="","",IF(ISNUMBER(MATCH(Data!P167,Data_Val!$A$2:$A$3,0)),0,1))</f>
        <v/>
      </c>
      <c r="Q177" s="44" t="str">
        <f ca="1">IF(Data!O167="","",IF(ISNUMBER(Data!Q167),IF(AND(Data!Q167&gt;(TODAY()-(Data_Val!$L$3*365.25)),Data!Q167&lt;=(TODAY()-(Data_Val!$L$2*365.25))),0,1),1))</f>
        <v/>
      </c>
    </row>
    <row r="178" spans="1:17" ht="12" customHeight="1" x14ac:dyDescent="0.25">
      <c r="A178" s="36" t="str">
        <f>IF(Data!B168="","",IF(COUNTIFS(Data!A$1:'Data'!A168,Data!A168)&lt;=1,0,1))</f>
        <v/>
      </c>
      <c r="B178" s="36"/>
      <c r="C178" s="36" t="str">
        <f>IF(Data!C168="","",(IF(ISNUMBER(MATCH("*@*.?*",Data!C168,0)),0,1)+IF(COUNTIFS(Data!C$1:'Data'!C168,Data!C168)&gt;1,1,0)))</f>
        <v/>
      </c>
      <c r="D178" s="36" t="str">
        <f>IF(Data!B168="","",IF(ISNUMBER(Data!D168),IF(AND(Data!D168&gt;999999999,Data!D168&lt;=9999999999),IF(COUNTIFS(Data!D$1:'Data'!D168,Data!D168)&lt;=1,0,1),1),1))</f>
        <v/>
      </c>
      <c r="E178" s="36" t="str">
        <f>IF(Data!B168="","",IF(ISNUMBER(MATCH(Data!E168,Data_Val!$A$2:$A$3,0)),0,1))</f>
        <v/>
      </c>
      <c r="F178" s="36" t="str">
        <f ca="1">IF(Data!B168="","",IF(ISNUMBER(Data!F168),IF(AND(Data!F168&gt;(TODAY()-(Data_Val!$H$3*365.25)),Data!F168&lt;=(TODAY()-(Data_Val!$H$2*365.25))),0,1),1))</f>
        <v/>
      </c>
      <c r="G178" s="12" t="str">
        <f>IF(Data!B168="","",IF(AND(Data!G168="",Data!H168&lt;&gt;""),1,IF(ISNUMBER(MATCH(Data!G168,Data_Val!$C$2:$C$5,0)),0,1)))</f>
        <v/>
      </c>
      <c r="H178" s="12" t="str">
        <f>IF(Data!B168="","",IF(AND(Data!G168&lt;&gt;"",Data!H168=""),1,IF(Data!G168="",1,IF(ISNUMBER(MATCH(Data!H168,Data_Val!$D$2:$D$35,0)),0,1))))</f>
        <v/>
      </c>
      <c r="I178" s="38" t="str">
        <f>IF(Data!G168="","",IF(Data!G168=Data_Val!$C$2,IF(Data!I168="",0,1),0))</f>
        <v/>
      </c>
      <c r="J178" s="38" t="str">
        <f>IF(Data!I168="","",IF(ISNUMBER(MATCH(Data!J168,Data_Val!$A$2:$A$3,0)),0,1))</f>
        <v/>
      </c>
      <c r="K178" s="38" t="str">
        <f ca="1">IF(Data!I168="","",IF(ISNUMBER(Data!K168),IF(AND(Data!K168&gt;(TODAY()-(Data_Val!$K$3*365.25)),Data!K168&lt;=(TODAY()-(Data_Val!$K$2*365.25))),0,1),1))</f>
        <v/>
      </c>
      <c r="L178" s="16" t="str">
        <f>IF(Data!G168="","",IF(Data!G168=Data_Val!$C$2,IF(Data!L168="",0,1),0))</f>
        <v/>
      </c>
      <c r="M178" s="16" t="str">
        <f>IF(Data!L168="","",IF(ISNUMBER(MATCH(Data!M168,Data_Val!$A$2:$A$3,0)),0,1))</f>
        <v/>
      </c>
      <c r="N178" s="43" t="str">
        <f ca="1">IF(Data!L168="","",IF(ISNUMBER(Data!N168),IF(AND(Data!N168&gt;(TODAY()-(Data_Val!$L$3*365.25)),Data!N168&lt;=(TODAY()-(Data_Val!$L$2*365.25))),0,1),1))</f>
        <v/>
      </c>
      <c r="O178" s="18" t="str">
        <f>IF(Data!$G168="","",IF(Data!$G168=Data_Val!$C$2,IF(Data!O168="",0,1),0))</f>
        <v/>
      </c>
      <c r="P178" s="18" t="str">
        <f>IF(Data!O168="","",IF(ISNUMBER(MATCH(Data!P168,Data_Val!$A$2:$A$3,0)),0,1))</f>
        <v/>
      </c>
      <c r="Q178" s="44" t="str">
        <f ca="1">IF(Data!O168="","",IF(ISNUMBER(Data!Q168),IF(AND(Data!Q168&gt;(TODAY()-(Data_Val!$L$3*365.25)),Data!Q168&lt;=(TODAY()-(Data_Val!$L$2*365.25))),0,1),1))</f>
        <v/>
      </c>
    </row>
    <row r="179" spans="1:17" ht="12" customHeight="1" x14ac:dyDescent="0.25">
      <c r="A179" s="36" t="str">
        <f>IF(Data!B169="","",IF(COUNTIFS(Data!A$1:'Data'!A169,Data!A169)&lt;=1,0,1))</f>
        <v/>
      </c>
      <c r="B179" s="36"/>
      <c r="C179" s="36" t="str">
        <f>IF(Data!C169="","",(IF(ISNUMBER(MATCH("*@*.?*",Data!C169,0)),0,1)+IF(COUNTIFS(Data!C$1:'Data'!C169,Data!C169)&gt;1,1,0)))</f>
        <v/>
      </c>
      <c r="D179" s="36" t="str">
        <f>IF(Data!B169="","",IF(ISNUMBER(Data!D169),IF(AND(Data!D169&gt;999999999,Data!D169&lt;=9999999999),IF(COUNTIFS(Data!D$1:'Data'!D169,Data!D169)&lt;=1,0,1),1),1))</f>
        <v/>
      </c>
      <c r="E179" s="36" t="str">
        <f>IF(Data!B169="","",IF(ISNUMBER(MATCH(Data!E169,Data_Val!$A$2:$A$3,0)),0,1))</f>
        <v/>
      </c>
      <c r="F179" s="36" t="str">
        <f ca="1">IF(Data!B169="","",IF(ISNUMBER(Data!F169),IF(AND(Data!F169&gt;(TODAY()-(Data_Val!$H$3*365.25)),Data!F169&lt;=(TODAY()-(Data_Val!$H$2*365.25))),0,1),1))</f>
        <v/>
      </c>
      <c r="G179" s="12" t="str">
        <f>IF(Data!B169="","",IF(AND(Data!G169="",Data!H169&lt;&gt;""),1,IF(ISNUMBER(MATCH(Data!G169,Data_Val!$C$2:$C$5,0)),0,1)))</f>
        <v/>
      </c>
      <c r="H179" s="12" t="str">
        <f>IF(Data!B169="","",IF(AND(Data!G169&lt;&gt;"",Data!H169=""),1,IF(Data!G169="",1,IF(ISNUMBER(MATCH(Data!H169,Data_Val!$D$2:$D$35,0)),0,1))))</f>
        <v/>
      </c>
      <c r="I179" s="38" t="str">
        <f>IF(Data!G169="","",IF(Data!G169=Data_Val!$C$2,IF(Data!I169="",0,1),0))</f>
        <v/>
      </c>
      <c r="J179" s="38" t="str">
        <f>IF(Data!I169="","",IF(ISNUMBER(MATCH(Data!J169,Data_Val!$A$2:$A$3,0)),0,1))</f>
        <v/>
      </c>
      <c r="K179" s="38" t="str">
        <f ca="1">IF(Data!I169="","",IF(ISNUMBER(Data!K169),IF(AND(Data!K169&gt;(TODAY()-(Data_Val!$K$3*365.25)),Data!K169&lt;=(TODAY()-(Data_Val!$K$2*365.25))),0,1),1))</f>
        <v/>
      </c>
      <c r="L179" s="16" t="str">
        <f>IF(Data!G169="","",IF(Data!G169=Data_Val!$C$2,IF(Data!L169="",0,1),0))</f>
        <v/>
      </c>
      <c r="M179" s="16" t="str">
        <f>IF(Data!L169="","",IF(ISNUMBER(MATCH(Data!M169,Data_Val!$A$2:$A$3,0)),0,1))</f>
        <v/>
      </c>
      <c r="N179" s="43" t="str">
        <f ca="1">IF(Data!L169="","",IF(ISNUMBER(Data!N169),IF(AND(Data!N169&gt;(TODAY()-(Data_Val!$L$3*365.25)),Data!N169&lt;=(TODAY()-(Data_Val!$L$2*365.25))),0,1),1))</f>
        <v/>
      </c>
      <c r="O179" s="18" t="str">
        <f>IF(Data!$G169="","",IF(Data!$G169=Data_Val!$C$2,IF(Data!O169="",0,1),0))</f>
        <v/>
      </c>
      <c r="P179" s="18" t="str">
        <f>IF(Data!O169="","",IF(ISNUMBER(MATCH(Data!P169,Data_Val!$A$2:$A$3,0)),0,1))</f>
        <v/>
      </c>
      <c r="Q179" s="44" t="str">
        <f ca="1">IF(Data!O169="","",IF(ISNUMBER(Data!Q169),IF(AND(Data!Q169&gt;(TODAY()-(Data_Val!$L$3*365.25)),Data!Q169&lt;=(TODAY()-(Data_Val!$L$2*365.25))),0,1),1))</f>
        <v/>
      </c>
    </row>
    <row r="180" spans="1:17" ht="12" customHeight="1" x14ac:dyDescent="0.25">
      <c r="A180" s="36" t="str">
        <f>IF(Data!B170="","",IF(COUNTIFS(Data!A$1:'Data'!A170,Data!A170)&lt;=1,0,1))</f>
        <v/>
      </c>
      <c r="B180" s="36"/>
      <c r="C180" s="36" t="str">
        <f>IF(Data!C170="","",(IF(ISNUMBER(MATCH("*@*.?*",Data!C170,0)),0,1)+IF(COUNTIFS(Data!C$1:'Data'!C170,Data!C170)&gt;1,1,0)))</f>
        <v/>
      </c>
      <c r="D180" s="36" t="str">
        <f>IF(Data!B170="","",IF(ISNUMBER(Data!D170),IF(AND(Data!D170&gt;999999999,Data!D170&lt;=9999999999),IF(COUNTIFS(Data!D$1:'Data'!D170,Data!D170)&lt;=1,0,1),1),1))</f>
        <v/>
      </c>
      <c r="E180" s="36" t="str">
        <f>IF(Data!B170="","",IF(ISNUMBER(MATCH(Data!E170,Data_Val!$A$2:$A$3,0)),0,1))</f>
        <v/>
      </c>
      <c r="F180" s="36" t="str">
        <f ca="1">IF(Data!B170="","",IF(ISNUMBER(Data!F170),IF(AND(Data!F170&gt;(TODAY()-(Data_Val!$H$3*365.25)),Data!F170&lt;=(TODAY()-(Data_Val!$H$2*365.25))),0,1),1))</f>
        <v/>
      </c>
      <c r="G180" s="12" t="str">
        <f>IF(Data!B170="","",IF(AND(Data!G170="",Data!H170&lt;&gt;""),1,IF(ISNUMBER(MATCH(Data!G170,Data_Val!$C$2:$C$5,0)),0,1)))</f>
        <v/>
      </c>
      <c r="H180" s="12" t="str">
        <f>IF(Data!B170="","",IF(AND(Data!G170&lt;&gt;"",Data!H170=""),1,IF(Data!G170="",1,IF(ISNUMBER(MATCH(Data!H170,Data_Val!$D$2:$D$35,0)),0,1))))</f>
        <v/>
      </c>
      <c r="I180" s="38" t="str">
        <f>IF(Data!G170="","",IF(Data!G170=Data_Val!$C$2,IF(Data!I170="",0,1),0))</f>
        <v/>
      </c>
      <c r="J180" s="38" t="str">
        <f>IF(Data!I170="","",IF(ISNUMBER(MATCH(Data!J170,Data_Val!$A$2:$A$3,0)),0,1))</f>
        <v/>
      </c>
      <c r="K180" s="38" t="str">
        <f ca="1">IF(Data!I170="","",IF(ISNUMBER(Data!K170),IF(AND(Data!K170&gt;(TODAY()-(Data_Val!$K$3*365.25)),Data!K170&lt;=(TODAY()-(Data_Val!$K$2*365.25))),0,1),1))</f>
        <v/>
      </c>
      <c r="L180" s="16" t="str">
        <f>IF(Data!G170="","",IF(Data!G170=Data_Val!$C$2,IF(Data!L170="",0,1),0))</f>
        <v/>
      </c>
      <c r="M180" s="16" t="str">
        <f>IF(Data!L170="","",IF(ISNUMBER(MATCH(Data!M170,Data_Val!$A$2:$A$3,0)),0,1))</f>
        <v/>
      </c>
      <c r="N180" s="43" t="str">
        <f ca="1">IF(Data!L170="","",IF(ISNUMBER(Data!N170),IF(AND(Data!N170&gt;(TODAY()-(Data_Val!$L$3*365.25)),Data!N170&lt;=(TODAY()-(Data_Val!$L$2*365.25))),0,1),1))</f>
        <v/>
      </c>
      <c r="O180" s="18" t="str">
        <f>IF(Data!$G170="","",IF(Data!$G170=Data_Val!$C$2,IF(Data!O170="",0,1),0))</f>
        <v/>
      </c>
      <c r="P180" s="18" t="str">
        <f>IF(Data!O170="","",IF(ISNUMBER(MATCH(Data!P170,Data_Val!$A$2:$A$3,0)),0,1))</f>
        <v/>
      </c>
      <c r="Q180" s="44" t="str">
        <f ca="1">IF(Data!O170="","",IF(ISNUMBER(Data!Q170),IF(AND(Data!Q170&gt;(TODAY()-(Data_Val!$L$3*365.25)),Data!Q170&lt;=(TODAY()-(Data_Val!$L$2*365.25))),0,1),1))</f>
        <v/>
      </c>
    </row>
    <row r="181" spans="1:17" ht="12" customHeight="1" x14ac:dyDescent="0.25">
      <c r="A181" s="36" t="str">
        <f>IF(Data!B171="","",IF(COUNTIFS(Data!A$1:'Data'!A171,Data!A171)&lt;=1,0,1))</f>
        <v/>
      </c>
      <c r="B181" s="36"/>
      <c r="C181" s="36" t="str">
        <f>IF(Data!C171="","",(IF(ISNUMBER(MATCH("*@*.?*",Data!C171,0)),0,1)+IF(COUNTIFS(Data!C$1:'Data'!C171,Data!C171)&gt;1,1,0)))</f>
        <v/>
      </c>
      <c r="D181" s="36" t="str">
        <f>IF(Data!B171="","",IF(ISNUMBER(Data!D171),IF(AND(Data!D171&gt;999999999,Data!D171&lt;=9999999999),IF(COUNTIFS(Data!D$1:'Data'!D171,Data!D171)&lt;=1,0,1),1),1))</f>
        <v/>
      </c>
      <c r="E181" s="36" t="str">
        <f>IF(Data!B171="","",IF(ISNUMBER(MATCH(Data!E171,Data_Val!$A$2:$A$3,0)),0,1))</f>
        <v/>
      </c>
      <c r="F181" s="36" t="str">
        <f ca="1">IF(Data!B171="","",IF(ISNUMBER(Data!F171),IF(AND(Data!F171&gt;(TODAY()-(Data_Val!$H$3*365.25)),Data!F171&lt;=(TODAY()-(Data_Val!$H$2*365.25))),0,1),1))</f>
        <v/>
      </c>
      <c r="G181" s="12" t="str">
        <f>IF(Data!B171="","",IF(AND(Data!G171="",Data!H171&lt;&gt;""),1,IF(ISNUMBER(MATCH(Data!G171,Data_Val!$C$2:$C$5,0)),0,1)))</f>
        <v/>
      </c>
      <c r="H181" s="12" t="str">
        <f>IF(Data!B171="","",IF(AND(Data!G171&lt;&gt;"",Data!H171=""),1,IF(Data!G171="",1,IF(ISNUMBER(MATCH(Data!H171,Data_Val!$D$2:$D$35,0)),0,1))))</f>
        <v/>
      </c>
      <c r="I181" s="38" t="str">
        <f>IF(Data!G171="","",IF(Data!G171=Data_Val!$C$2,IF(Data!I171="",0,1),0))</f>
        <v/>
      </c>
      <c r="J181" s="38" t="str">
        <f>IF(Data!I171="","",IF(ISNUMBER(MATCH(Data!J171,Data_Val!$A$2:$A$3,0)),0,1))</f>
        <v/>
      </c>
      <c r="K181" s="38" t="str">
        <f ca="1">IF(Data!I171="","",IF(ISNUMBER(Data!K171),IF(AND(Data!K171&gt;(TODAY()-(Data_Val!$K$3*365.25)),Data!K171&lt;=(TODAY()-(Data_Val!$K$2*365.25))),0,1),1))</f>
        <v/>
      </c>
      <c r="L181" s="16" t="str">
        <f>IF(Data!G171="","",IF(Data!G171=Data_Val!$C$2,IF(Data!L171="",0,1),0))</f>
        <v/>
      </c>
      <c r="M181" s="16" t="str">
        <f>IF(Data!L171="","",IF(ISNUMBER(MATCH(Data!M171,Data_Val!$A$2:$A$3,0)),0,1))</f>
        <v/>
      </c>
      <c r="N181" s="43" t="str">
        <f ca="1">IF(Data!L171="","",IF(ISNUMBER(Data!N171),IF(AND(Data!N171&gt;(TODAY()-(Data_Val!$L$3*365.25)),Data!N171&lt;=(TODAY()-(Data_Val!$L$2*365.25))),0,1),1))</f>
        <v/>
      </c>
      <c r="O181" s="18" t="str">
        <f>IF(Data!$G171="","",IF(Data!$G171=Data_Val!$C$2,IF(Data!O171="",0,1),0))</f>
        <v/>
      </c>
      <c r="P181" s="18" t="str">
        <f>IF(Data!O171="","",IF(ISNUMBER(MATCH(Data!P171,Data_Val!$A$2:$A$3,0)),0,1))</f>
        <v/>
      </c>
      <c r="Q181" s="44" t="str">
        <f ca="1">IF(Data!O171="","",IF(ISNUMBER(Data!Q171),IF(AND(Data!Q171&gt;(TODAY()-(Data_Val!$L$3*365.25)),Data!Q171&lt;=(TODAY()-(Data_Val!$L$2*365.25))),0,1),1))</f>
        <v/>
      </c>
    </row>
    <row r="182" spans="1:17" ht="12" customHeight="1" x14ac:dyDescent="0.25">
      <c r="A182" s="36" t="str">
        <f>IF(Data!B172="","",IF(COUNTIFS(Data!A$1:'Data'!A172,Data!A172)&lt;=1,0,1))</f>
        <v/>
      </c>
      <c r="B182" s="36"/>
      <c r="C182" s="36" t="str">
        <f>IF(Data!C172="","",(IF(ISNUMBER(MATCH("*@*.?*",Data!C172,0)),0,1)+IF(COUNTIFS(Data!C$1:'Data'!C172,Data!C172)&gt;1,1,0)))</f>
        <v/>
      </c>
      <c r="D182" s="36" t="str">
        <f>IF(Data!B172="","",IF(ISNUMBER(Data!D172),IF(AND(Data!D172&gt;999999999,Data!D172&lt;=9999999999),IF(COUNTIFS(Data!D$1:'Data'!D172,Data!D172)&lt;=1,0,1),1),1))</f>
        <v/>
      </c>
      <c r="E182" s="36" t="str">
        <f>IF(Data!B172="","",IF(ISNUMBER(MATCH(Data!E172,Data_Val!$A$2:$A$3,0)),0,1))</f>
        <v/>
      </c>
      <c r="F182" s="36" t="str">
        <f ca="1">IF(Data!B172="","",IF(ISNUMBER(Data!F172),IF(AND(Data!F172&gt;(TODAY()-(Data_Val!$H$3*365.25)),Data!F172&lt;=(TODAY()-(Data_Val!$H$2*365.25))),0,1),1))</f>
        <v/>
      </c>
      <c r="G182" s="12" t="str">
        <f>IF(Data!B172="","",IF(AND(Data!G172="",Data!H172&lt;&gt;""),1,IF(ISNUMBER(MATCH(Data!G172,Data_Val!$C$2:$C$5,0)),0,1)))</f>
        <v/>
      </c>
      <c r="H182" s="12" t="str">
        <f>IF(Data!B172="","",IF(AND(Data!G172&lt;&gt;"",Data!H172=""),1,IF(Data!G172="",1,IF(ISNUMBER(MATCH(Data!H172,Data_Val!$D$2:$D$35,0)),0,1))))</f>
        <v/>
      </c>
      <c r="I182" s="38" t="str">
        <f>IF(Data!G172="","",IF(Data!G172=Data_Val!$C$2,IF(Data!I172="",0,1),0))</f>
        <v/>
      </c>
      <c r="J182" s="38" t="str">
        <f>IF(Data!I172="","",IF(ISNUMBER(MATCH(Data!J172,Data_Val!$A$2:$A$3,0)),0,1))</f>
        <v/>
      </c>
      <c r="K182" s="38" t="str">
        <f ca="1">IF(Data!I172="","",IF(ISNUMBER(Data!K172),IF(AND(Data!K172&gt;(TODAY()-(Data_Val!$K$3*365.25)),Data!K172&lt;=(TODAY()-(Data_Val!$K$2*365.25))),0,1),1))</f>
        <v/>
      </c>
      <c r="L182" s="16" t="str">
        <f>IF(Data!G172="","",IF(Data!G172=Data_Val!$C$2,IF(Data!L172="",0,1),0))</f>
        <v/>
      </c>
      <c r="M182" s="16" t="str">
        <f>IF(Data!L172="","",IF(ISNUMBER(MATCH(Data!M172,Data_Val!$A$2:$A$3,0)),0,1))</f>
        <v/>
      </c>
      <c r="N182" s="43" t="str">
        <f ca="1">IF(Data!L172="","",IF(ISNUMBER(Data!N172),IF(AND(Data!N172&gt;(TODAY()-(Data_Val!$L$3*365.25)),Data!N172&lt;=(TODAY()-(Data_Val!$L$2*365.25))),0,1),1))</f>
        <v/>
      </c>
      <c r="O182" s="18" t="str">
        <f>IF(Data!$G172="","",IF(Data!$G172=Data_Val!$C$2,IF(Data!O172="",0,1),0))</f>
        <v/>
      </c>
      <c r="P182" s="18" t="str">
        <f>IF(Data!O172="","",IF(ISNUMBER(MATCH(Data!P172,Data_Val!$A$2:$A$3,0)),0,1))</f>
        <v/>
      </c>
      <c r="Q182" s="44" t="str">
        <f ca="1">IF(Data!O172="","",IF(ISNUMBER(Data!Q172),IF(AND(Data!Q172&gt;(TODAY()-(Data_Val!$L$3*365.25)),Data!Q172&lt;=(TODAY()-(Data_Val!$L$2*365.25))),0,1),1))</f>
        <v/>
      </c>
    </row>
    <row r="183" spans="1:17" ht="12" customHeight="1" x14ac:dyDescent="0.25">
      <c r="A183" s="36" t="str">
        <f>IF(Data!B173="","",IF(COUNTIFS(Data!A$1:'Data'!A173,Data!A173)&lt;=1,0,1))</f>
        <v/>
      </c>
      <c r="B183" s="36"/>
      <c r="C183" s="36" t="str">
        <f>IF(Data!C173="","",(IF(ISNUMBER(MATCH("*@*.?*",Data!C173,0)),0,1)+IF(COUNTIFS(Data!C$1:'Data'!C173,Data!C173)&gt;1,1,0)))</f>
        <v/>
      </c>
      <c r="D183" s="36" t="str">
        <f>IF(Data!B173="","",IF(ISNUMBER(Data!D173),IF(AND(Data!D173&gt;999999999,Data!D173&lt;=9999999999),IF(COUNTIFS(Data!D$1:'Data'!D173,Data!D173)&lt;=1,0,1),1),1))</f>
        <v/>
      </c>
      <c r="E183" s="36" t="str">
        <f>IF(Data!B173="","",IF(ISNUMBER(MATCH(Data!E173,Data_Val!$A$2:$A$3,0)),0,1))</f>
        <v/>
      </c>
      <c r="F183" s="36" t="str">
        <f ca="1">IF(Data!B173="","",IF(ISNUMBER(Data!F173),IF(AND(Data!F173&gt;(TODAY()-(Data_Val!$H$3*365.25)),Data!F173&lt;=(TODAY()-(Data_Val!$H$2*365.25))),0,1),1))</f>
        <v/>
      </c>
      <c r="G183" s="12" t="str">
        <f>IF(Data!B173="","",IF(AND(Data!G173="",Data!H173&lt;&gt;""),1,IF(ISNUMBER(MATCH(Data!G173,Data_Val!$C$2:$C$5,0)),0,1)))</f>
        <v/>
      </c>
      <c r="H183" s="12" t="str">
        <f>IF(Data!B173="","",IF(AND(Data!G173&lt;&gt;"",Data!H173=""),1,IF(Data!G173="",1,IF(ISNUMBER(MATCH(Data!H173,Data_Val!$D$2:$D$35,0)),0,1))))</f>
        <v/>
      </c>
      <c r="I183" s="38" t="str">
        <f>IF(Data!G173="","",IF(Data!G173=Data_Val!$C$2,IF(Data!I173="",0,1),0))</f>
        <v/>
      </c>
      <c r="J183" s="38" t="str">
        <f>IF(Data!I173="","",IF(ISNUMBER(MATCH(Data!J173,Data_Val!$A$2:$A$3,0)),0,1))</f>
        <v/>
      </c>
      <c r="K183" s="38" t="str">
        <f ca="1">IF(Data!I173="","",IF(ISNUMBER(Data!K173),IF(AND(Data!K173&gt;(TODAY()-(Data_Val!$K$3*365.25)),Data!K173&lt;=(TODAY()-(Data_Val!$K$2*365.25))),0,1),1))</f>
        <v/>
      </c>
      <c r="L183" s="16" t="str">
        <f>IF(Data!G173="","",IF(Data!G173=Data_Val!$C$2,IF(Data!L173="",0,1),0))</f>
        <v/>
      </c>
      <c r="M183" s="16" t="str">
        <f>IF(Data!L173="","",IF(ISNUMBER(MATCH(Data!M173,Data_Val!$A$2:$A$3,0)),0,1))</f>
        <v/>
      </c>
      <c r="N183" s="43" t="str">
        <f ca="1">IF(Data!L173="","",IF(ISNUMBER(Data!N173),IF(AND(Data!N173&gt;(TODAY()-(Data_Val!$L$3*365.25)),Data!N173&lt;=(TODAY()-(Data_Val!$L$2*365.25))),0,1),1))</f>
        <v/>
      </c>
      <c r="O183" s="18" t="str">
        <f>IF(Data!$G173="","",IF(Data!$G173=Data_Val!$C$2,IF(Data!O173="",0,1),0))</f>
        <v/>
      </c>
      <c r="P183" s="18" t="str">
        <f>IF(Data!O173="","",IF(ISNUMBER(MATCH(Data!P173,Data_Val!$A$2:$A$3,0)),0,1))</f>
        <v/>
      </c>
      <c r="Q183" s="44" t="str">
        <f ca="1">IF(Data!O173="","",IF(ISNUMBER(Data!Q173),IF(AND(Data!Q173&gt;(TODAY()-(Data_Val!$L$3*365.25)),Data!Q173&lt;=(TODAY()-(Data_Val!$L$2*365.25))),0,1),1))</f>
        <v/>
      </c>
    </row>
    <row r="184" spans="1:17" ht="12" customHeight="1" x14ac:dyDescent="0.25">
      <c r="A184" s="36" t="str">
        <f>IF(Data!B174="","",IF(COUNTIFS(Data!A$1:'Data'!A174,Data!A174)&lt;=1,0,1))</f>
        <v/>
      </c>
      <c r="B184" s="36"/>
      <c r="C184" s="36" t="str">
        <f>IF(Data!C174="","",(IF(ISNUMBER(MATCH("*@*.?*",Data!C174,0)),0,1)+IF(COUNTIFS(Data!C$1:'Data'!C174,Data!C174)&gt;1,1,0)))</f>
        <v/>
      </c>
      <c r="D184" s="36" t="str">
        <f>IF(Data!B174="","",IF(ISNUMBER(Data!D174),IF(AND(Data!D174&gt;999999999,Data!D174&lt;=9999999999),IF(COUNTIFS(Data!D$1:'Data'!D174,Data!D174)&lt;=1,0,1),1),1))</f>
        <v/>
      </c>
      <c r="E184" s="36" t="str">
        <f>IF(Data!B174="","",IF(ISNUMBER(MATCH(Data!E174,Data_Val!$A$2:$A$3,0)),0,1))</f>
        <v/>
      </c>
      <c r="F184" s="36" t="str">
        <f ca="1">IF(Data!B174="","",IF(ISNUMBER(Data!F174),IF(AND(Data!F174&gt;(TODAY()-(Data_Val!$H$3*365.25)),Data!F174&lt;=(TODAY()-(Data_Val!$H$2*365.25))),0,1),1))</f>
        <v/>
      </c>
      <c r="G184" s="12" t="str">
        <f>IF(Data!B174="","",IF(AND(Data!G174="",Data!H174&lt;&gt;""),1,IF(ISNUMBER(MATCH(Data!G174,Data_Val!$C$2:$C$5,0)),0,1)))</f>
        <v/>
      </c>
      <c r="H184" s="12" t="str">
        <f>IF(Data!B174="","",IF(AND(Data!G174&lt;&gt;"",Data!H174=""),1,IF(Data!G174="",1,IF(ISNUMBER(MATCH(Data!H174,Data_Val!$D$2:$D$35,0)),0,1))))</f>
        <v/>
      </c>
      <c r="I184" s="38" t="str">
        <f>IF(Data!G174="","",IF(Data!G174=Data_Val!$C$2,IF(Data!I174="",0,1),0))</f>
        <v/>
      </c>
      <c r="J184" s="38" t="str">
        <f>IF(Data!I174="","",IF(ISNUMBER(MATCH(Data!J174,Data_Val!$A$2:$A$3,0)),0,1))</f>
        <v/>
      </c>
      <c r="K184" s="38" t="str">
        <f ca="1">IF(Data!I174="","",IF(ISNUMBER(Data!K174),IF(AND(Data!K174&gt;(TODAY()-(Data_Val!$K$3*365.25)),Data!K174&lt;=(TODAY()-(Data_Val!$K$2*365.25))),0,1),1))</f>
        <v/>
      </c>
      <c r="L184" s="16" t="str">
        <f>IF(Data!G174="","",IF(Data!G174=Data_Val!$C$2,IF(Data!L174="",0,1),0))</f>
        <v/>
      </c>
      <c r="M184" s="16" t="str">
        <f>IF(Data!L174="","",IF(ISNUMBER(MATCH(Data!M174,Data_Val!$A$2:$A$3,0)),0,1))</f>
        <v/>
      </c>
      <c r="N184" s="43" t="str">
        <f ca="1">IF(Data!L174="","",IF(ISNUMBER(Data!N174),IF(AND(Data!N174&gt;(TODAY()-(Data_Val!$L$3*365.25)),Data!N174&lt;=(TODAY()-(Data_Val!$L$2*365.25))),0,1),1))</f>
        <v/>
      </c>
      <c r="O184" s="18" t="str">
        <f>IF(Data!$G174="","",IF(Data!$G174=Data_Val!$C$2,IF(Data!O174="",0,1),0))</f>
        <v/>
      </c>
      <c r="P184" s="18" t="str">
        <f>IF(Data!O174="","",IF(ISNUMBER(MATCH(Data!P174,Data_Val!$A$2:$A$3,0)),0,1))</f>
        <v/>
      </c>
      <c r="Q184" s="44" t="str">
        <f ca="1">IF(Data!O174="","",IF(ISNUMBER(Data!Q174),IF(AND(Data!Q174&gt;(TODAY()-(Data_Val!$L$3*365.25)),Data!Q174&lt;=(TODAY()-(Data_Val!$L$2*365.25))),0,1),1))</f>
        <v/>
      </c>
    </row>
    <row r="185" spans="1:17" ht="12" customHeight="1" x14ac:dyDescent="0.25">
      <c r="A185" s="36" t="str">
        <f>IF(Data!B175="","",IF(COUNTIFS(Data!A$1:'Data'!A175,Data!A175)&lt;=1,0,1))</f>
        <v/>
      </c>
      <c r="B185" s="36"/>
      <c r="C185" s="36" t="str">
        <f>IF(Data!C175="","",(IF(ISNUMBER(MATCH("*@*.?*",Data!C175,0)),0,1)+IF(COUNTIFS(Data!C$1:'Data'!C175,Data!C175)&gt;1,1,0)))</f>
        <v/>
      </c>
      <c r="D185" s="36" t="str">
        <f>IF(Data!B175="","",IF(ISNUMBER(Data!D175),IF(AND(Data!D175&gt;999999999,Data!D175&lt;=9999999999),IF(COUNTIFS(Data!D$1:'Data'!D175,Data!D175)&lt;=1,0,1),1),1))</f>
        <v/>
      </c>
      <c r="E185" s="36" t="str">
        <f>IF(Data!B175="","",IF(ISNUMBER(MATCH(Data!E175,Data_Val!$A$2:$A$3,0)),0,1))</f>
        <v/>
      </c>
      <c r="F185" s="36" t="str">
        <f ca="1">IF(Data!B175="","",IF(ISNUMBER(Data!F175),IF(AND(Data!F175&gt;(TODAY()-(Data_Val!$H$3*365.25)),Data!F175&lt;=(TODAY()-(Data_Val!$H$2*365.25))),0,1),1))</f>
        <v/>
      </c>
      <c r="G185" s="12" t="str">
        <f>IF(Data!B175="","",IF(AND(Data!G175="",Data!H175&lt;&gt;""),1,IF(ISNUMBER(MATCH(Data!G175,Data_Val!$C$2:$C$5,0)),0,1)))</f>
        <v/>
      </c>
      <c r="H185" s="12" t="str">
        <f>IF(Data!B175="","",IF(AND(Data!G175&lt;&gt;"",Data!H175=""),1,IF(Data!G175="",1,IF(ISNUMBER(MATCH(Data!H175,Data_Val!$D$2:$D$35,0)),0,1))))</f>
        <v/>
      </c>
      <c r="I185" s="38" t="str">
        <f>IF(Data!G175="","",IF(Data!G175=Data_Val!$C$2,IF(Data!I175="",0,1),0))</f>
        <v/>
      </c>
      <c r="J185" s="38" t="str">
        <f>IF(Data!I175="","",IF(ISNUMBER(MATCH(Data!J175,Data_Val!$A$2:$A$3,0)),0,1))</f>
        <v/>
      </c>
      <c r="K185" s="38" t="str">
        <f ca="1">IF(Data!I175="","",IF(ISNUMBER(Data!K175),IF(AND(Data!K175&gt;(TODAY()-(Data_Val!$K$3*365.25)),Data!K175&lt;=(TODAY()-(Data_Val!$K$2*365.25))),0,1),1))</f>
        <v/>
      </c>
      <c r="L185" s="16" t="str">
        <f>IF(Data!G175="","",IF(Data!G175=Data_Val!$C$2,IF(Data!L175="",0,1),0))</f>
        <v/>
      </c>
      <c r="M185" s="16" t="str">
        <f>IF(Data!L175="","",IF(ISNUMBER(MATCH(Data!M175,Data_Val!$A$2:$A$3,0)),0,1))</f>
        <v/>
      </c>
      <c r="N185" s="43" t="str">
        <f ca="1">IF(Data!L175="","",IF(ISNUMBER(Data!N175),IF(AND(Data!N175&gt;(TODAY()-(Data_Val!$L$3*365.25)),Data!N175&lt;=(TODAY()-(Data_Val!$L$2*365.25))),0,1),1))</f>
        <v/>
      </c>
      <c r="O185" s="18" t="str">
        <f>IF(Data!$G175="","",IF(Data!$G175=Data_Val!$C$2,IF(Data!O175="",0,1),0))</f>
        <v/>
      </c>
      <c r="P185" s="18" t="str">
        <f>IF(Data!O175="","",IF(ISNUMBER(MATCH(Data!P175,Data_Val!$A$2:$A$3,0)),0,1))</f>
        <v/>
      </c>
      <c r="Q185" s="44" t="str">
        <f ca="1">IF(Data!O175="","",IF(ISNUMBER(Data!Q175),IF(AND(Data!Q175&gt;(TODAY()-(Data_Val!$L$3*365.25)),Data!Q175&lt;=(TODAY()-(Data_Val!$L$2*365.25))),0,1),1))</f>
        <v/>
      </c>
    </row>
    <row r="186" spans="1:17" ht="12" customHeight="1" x14ac:dyDescent="0.25">
      <c r="A186" s="36" t="str">
        <f>IF(Data!B176="","",IF(COUNTIFS(Data!A$1:'Data'!A176,Data!A176)&lt;=1,0,1))</f>
        <v/>
      </c>
      <c r="B186" s="36"/>
      <c r="C186" s="36" t="str">
        <f>IF(Data!C176="","",(IF(ISNUMBER(MATCH("*@*.?*",Data!C176,0)),0,1)+IF(COUNTIFS(Data!C$1:'Data'!C176,Data!C176)&gt;1,1,0)))</f>
        <v/>
      </c>
      <c r="D186" s="36" t="str">
        <f>IF(Data!B176="","",IF(ISNUMBER(Data!D176),IF(AND(Data!D176&gt;999999999,Data!D176&lt;=9999999999),IF(COUNTIFS(Data!D$1:'Data'!D176,Data!D176)&lt;=1,0,1),1),1))</f>
        <v/>
      </c>
      <c r="E186" s="36" t="str">
        <f>IF(Data!B176="","",IF(ISNUMBER(MATCH(Data!E176,Data_Val!$A$2:$A$3,0)),0,1))</f>
        <v/>
      </c>
      <c r="F186" s="36" t="str">
        <f ca="1">IF(Data!B176="","",IF(ISNUMBER(Data!F176),IF(AND(Data!F176&gt;(TODAY()-(Data_Val!$H$3*365.25)),Data!F176&lt;=(TODAY()-(Data_Val!$H$2*365.25))),0,1),1))</f>
        <v/>
      </c>
      <c r="G186" s="12" t="str">
        <f>IF(Data!B176="","",IF(AND(Data!G176="",Data!H176&lt;&gt;""),1,IF(ISNUMBER(MATCH(Data!G176,Data_Val!$C$2:$C$5,0)),0,1)))</f>
        <v/>
      </c>
      <c r="H186" s="12" t="str">
        <f>IF(Data!B176="","",IF(AND(Data!G176&lt;&gt;"",Data!H176=""),1,IF(Data!G176="",1,IF(ISNUMBER(MATCH(Data!H176,Data_Val!$D$2:$D$35,0)),0,1))))</f>
        <v/>
      </c>
      <c r="I186" s="38" t="str">
        <f>IF(Data!G176="","",IF(Data!G176=Data_Val!$C$2,IF(Data!I176="",0,1),0))</f>
        <v/>
      </c>
      <c r="J186" s="38" t="str">
        <f>IF(Data!I176="","",IF(ISNUMBER(MATCH(Data!J176,Data_Val!$A$2:$A$3,0)),0,1))</f>
        <v/>
      </c>
      <c r="K186" s="38" t="str">
        <f ca="1">IF(Data!I176="","",IF(ISNUMBER(Data!K176),IF(AND(Data!K176&gt;(TODAY()-(Data_Val!$K$3*365.25)),Data!K176&lt;=(TODAY()-(Data_Val!$K$2*365.25))),0,1),1))</f>
        <v/>
      </c>
      <c r="L186" s="16" t="str">
        <f>IF(Data!G176="","",IF(Data!G176=Data_Val!$C$2,IF(Data!L176="",0,1),0))</f>
        <v/>
      </c>
      <c r="M186" s="16" t="str">
        <f>IF(Data!L176="","",IF(ISNUMBER(MATCH(Data!M176,Data_Val!$A$2:$A$3,0)),0,1))</f>
        <v/>
      </c>
      <c r="N186" s="43" t="str">
        <f ca="1">IF(Data!L176="","",IF(ISNUMBER(Data!N176),IF(AND(Data!N176&gt;(TODAY()-(Data_Val!$L$3*365.25)),Data!N176&lt;=(TODAY()-(Data_Val!$L$2*365.25))),0,1),1))</f>
        <v/>
      </c>
      <c r="O186" s="18" t="str">
        <f>IF(Data!$G176="","",IF(Data!$G176=Data_Val!$C$2,IF(Data!O176="",0,1),0))</f>
        <v/>
      </c>
      <c r="P186" s="18" t="str">
        <f>IF(Data!O176="","",IF(ISNUMBER(MATCH(Data!P176,Data_Val!$A$2:$A$3,0)),0,1))</f>
        <v/>
      </c>
      <c r="Q186" s="44" t="str">
        <f ca="1">IF(Data!O176="","",IF(ISNUMBER(Data!Q176),IF(AND(Data!Q176&gt;(TODAY()-(Data_Val!$L$3*365.25)),Data!Q176&lt;=(TODAY()-(Data_Val!$L$2*365.25))),0,1),1))</f>
        <v/>
      </c>
    </row>
    <row r="187" spans="1:17" ht="12" customHeight="1" x14ac:dyDescent="0.25">
      <c r="A187" s="36" t="str">
        <f>IF(Data!B177="","",IF(COUNTIFS(Data!A$1:'Data'!A177,Data!A177)&lt;=1,0,1))</f>
        <v/>
      </c>
      <c r="B187" s="36"/>
      <c r="C187" s="36" t="str">
        <f>IF(Data!C177="","",(IF(ISNUMBER(MATCH("*@*.?*",Data!C177,0)),0,1)+IF(COUNTIFS(Data!C$1:'Data'!C177,Data!C177)&gt;1,1,0)))</f>
        <v/>
      </c>
      <c r="D187" s="36" t="str">
        <f>IF(Data!B177="","",IF(ISNUMBER(Data!D177),IF(AND(Data!D177&gt;999999999,Data!D177&lt;=9999999999),IF(COUNTIFS(Data!D$1:'Data'!D177,Data!D177)&lt;=1,0,1),1),1))</f>
        <v/>
      </c>
      <c r="E187" s="36" t="str">
        <f>IF(Data!B177="","",IF(ISNUMBER(MATCH(Data!E177,Data_Val!$A$2:$A$3,0)),0,1))</f>
        <v/>
      </c>
      <c r="F187" s="36" t="str">
        <f ca="1">IF(Data!B177="","",IF(ISNUMBER(Data!F177),IF(AND(Data!F177&gt;(TODAY()-(Data_Val!$H$3*365.25)),Data!F177&lt;=(TODAY()-(Data_Val!$H$2*365.25))),0,1),1))</f>
        <v/>
      </c>
      <c r="G187" s="12" t="str">
        <f>IF(Data!B177="","",IF(AND(Data!G177="",Data!H177&lt;&gt;""),1,IF(ISNUMBER(MATCH(Data!G177,Data_Val!$C$2:$C$5,0)),0,1)))</f>
        <v/>
      </c>
      <c r="H187" s="12" t="str">
        <f>IF(Data!B177="","",IF(AND(Data!G177&lt;&gt;"",Data!H177=""),1,IF(Data!G177="",1,IF(ISNUMBER(MATCH(Data!H177,Data_Val!$D$2:$D$35,0)),0,1))))</f>
        <v/>
      </c>
      <c r="I187" s="38" t="str">
        <f>IF(Data!G177="","",IF(Data!G177=Data_Val!$C$2,IF(Data!I177="",0,1),0))</f>
        <v/>
      </c>
      <c r="J187" s="38" t="str">
        <f>IF(Data!I177="","",IF(ISNUMBER(MATCH(Data!J177,Data_Val!$A$2:$A$3,0)),0,1))</f>
        <v/>
      </c>
      <c r="K187" s="38" t="str">
        <f ca="1">IF(Data!I177="","",IF(ISNUMBER(Data!K177),IF(AND(Data!K177&gt;(TODAY()-(Data_Val!$K$3*365.25)),Data!K177&lt;=(TODAY()-(Data_Val!$K$2*365.25))),0,1),1))</f>
        <v/>
      </c>
      <c r="L187" s="16" t="str">
        <f>IF(Data!G177="","",IF(Data!G177=Data_Val!$C$2,IF(Data!L177="",0,1),0))</f>
        <v/>
      </c>
      <c r="M187" s="16" t="str">
        <f>IF(Data!L177="","",IF(ISNUMBER(MATCH(Data!M177,Data_Val!$A$2:$A$3,0)),0,1))</f>
        <v/>
      </c>
      <c r="N187" s="43" t="str">
        <f ca="1">IF(Data!L177="","",IF(ISNUMBER(Data!N177),IF(AND(Data!N177&gt;(TODAY()-(Data_Val!$L$3*365.25)),Data!N177&lt;=(TODAY()-(Data_Val!$L$2*365.25))),0,1),1))</f>
        <v/>
      </c>
      <c r="O187" s="18" t="str">
        <f>IF(Data!$G177="","",IF(Data!$G177=Data_Val!$C$2,IF(Data!O177="",0,1),0))</f>
        <v/>
      </c>
      <c r="P187" s="18" t="str">
        <f>IF(Data!O177="","",IF(ISNUMBER(MATCH(Data!P177,Data_Val!$A$2:$A$3,0)),0,1))</f>
        <v/>
      </c>
      <c r="Q187" s="44" t="str">
        <f ca="1">IF(Data!O177="","",IF(ISNUMBER(Data!Q177),IF(AND(Data!Q177&gt;(TODAY()-(Data_Val!$L$3*365.25)),Data!Q177&lt;=(TODAY()-(Data_Val!$L$2*365.25))),0,1),1))</f>
        <v/>
      </c>
    </row>
    <row r="188" spans="1:17" ht="12" customHeight="1" x14ac:dyDescent="0.25">
      <c r="A188" s="36" t="str">
        <f>IF(Data!B178="","",IF(COUNTIFS(Data!A$1:'Data'!A178,Data!A178)&lt;=1,0,1))</f>
        <v/>
      </c>
      <c r="B188" s="36"/>
      <c r="C188" s="36" t="str">
        <f>IF(Data!C178="","",(IF(ISNUMBER(MATCH("*@*.?*",Data!C178,0)),0,1)+IF(COUNTIFS(Data!C$1:'Data'!C178,Data!C178)&gt;1,1,0)))</f>
        <v/>
      </c>
      <c r="D188" s="36" t="str">
        <f>IF(Data!B178="","",IF(ISNUMBER(Data!D178),IF(AND(Data!D178&gt;999999999,Data!D178&lt;=9999999999),IF(COUNTIFS(Data!D$1:'Data'!D178,Data!D178)&lt;=1,0,1),1),1))</f>
        <v/>
      </c>
      <c r="E188" s="36" t="str">
        <f>IF(Data!B178="","",IF(ISNUMBER(MATCH(Data!E178,Data_Val!$A$2:$A$3,0)),0,1))</f>
        <v/>
      </c>
      <c r="F188" s="36" t="str">
        <f ca="1">IF(Data!B178="","",IF(ISNUMBER(Data!F178),IF(AND(Data!F178&gt;(TODAY()-(Data_Val!$H$3*365.25)),Data!F178&lt;=(TODAY()-(Data_Val!$H$2*365.25))),0,1),1))</f>
        <v/>
      </c>
      <c r="G188" s="12" t="str">
        <f>IF(Data!B178="","",IF(AND(Data!G178="",Data!H178&lt;&gt;""),1,IF(ISNUMBER(MATCH(Data!G178,Data_Val!$C$2:$C$5,0)),0,1)))</f>
        <v/>
      </c>
      <c r="H188" s="12" t="str">
        <f>IF(Data!B178="","",IF(AND(Data!G178&lt;&gt;"",Data!H178=""),1,IF(Data!G178="",1,IF(ISNUMBER(MATCH(Data!H178,Data_Val!$D$2:$D$35,0)),0,1))))</f>
        <v/>
      </c>
      <c r="I188" s="38" t="str">
        <f>IF(Data!G178="","",IF(Data!G178=Data_Val!$C$2,IF(Data!I178="",0,1),0))</f>
        <v/>
      </c>
      <c r="J188" s="38" t="str">
        <f>IF(Data!I178="","",IF(ISNUMBER(MATCH(Data!J178,Data_Val!$A$2:$A$3,0)),0,1))</f>
        <v/>
      </c>
      <c r="K188" s="38" t="str">
        <f ca="1">IF(Data!I178="","",IF(ISNUMBER(Data!K178),IF(AND(Data!K178&gt;(TODAY()-(Data_Val!$K$3*365.25)),Data!K178&lt;=(TODAY()-(Data_Val!$K$2*365.25))),0,1),1))</f>
        <v/>
      </c>
      <c r="L188" s="16" t="str">
        <f>IF(Data!G178="","",IF(Data!G178=Data_Val!$C$2,IF(Data!L178="",0,1),0))</f>
        <v/>
      </c>
      <c r="M188" s="16" t="str">
        <f>IF(Data!L178="","",IF(ISNUMBER(MATCH(Data!M178,Data_Val!$A$2:$A$3,0)),0,1))</f>
        <v/>
      </c>
      <c r="N188" s="43" t="str">
        <f ca="1">IF(Data!L178="","",IF(ISNUMBER(Data!N178),IF(AND(Data!N178&gt;(TODAY()-(Data_Val!$L$3*365.25)),Data!N178&lt;=(TODAY()-(Data_Val!$L$2*365.25))),0,1),1))</f>
        <v/>
      </c>
      <c r="O188" s="18" t="str">
        <f>IF(Data!$G178="","",IF(Data!$G178=Data_Val!$C$2,IF(Data!O178="",0,1),0))</f>
        <v/>
      </c>
      <c r="P188" s="18" t="str">
        <f>IF(Data!O178="","",IF(ISNUMBER(MATCH(Data!P178,Data_Val!$A$2:$A$3,0)),0,1))</f>
        <v/>
      </c>
      <c r="Q188" s="44" t="str">
        <f ca="1">IF(Data!O178="","",IF(ISNUMBER(Data!Q178),IF(AND(Data!Q178&gt;(TODAY()-(Data_Val!$L$3*365.25)),Data!Q178&lt;=(TODAY()-(Data_Val!$L$2*365.25))),0,1),1))</f>
        <v/>
      </c>
    </row>
    <row r="189" spans="1:17" ht="12" customHeight="1" x14ac:dyDescent="0.25">
      <c r="A189" s="36" t="str">
        <f>IF(Data!B179="","",IF(COUNTIFS(Data!A$1:'Data'!A179,Data!A179)&lt;=1,0,1))</f>
        <v/>
      </c>
      <c r="B189" s="36"/>
      <c r="C189" s="36" t="str">
        <f>IF(Data!C179="","",(IF(ISNUMBER(MATCH("*@*.?*",Data!C179,0)),0,1)+IF(COUNTIFS(Data!C$1:'Data'!C179,Data!C179)&gt;1,1,0)))</f>
        <v/>
      </c>
      <c r="D189" s="36" t="str">
        <f>IF(Data!B179="","",IF(ISNUMBER(Data!D179),IF(AND(Data!D179&gt;999999999,Data!D179&lt;=9999999999),IF(COUNTIFS(Data!D$1:'Data'!D179,Data!D179)&lt;=1,0,1),1),1))</f>
        <v/>
      </c>
      <c r="E189" s="36" t="str">
        <f>IF(Data!B179="","",IF(ISNUMBER(MATCH(Data!E179,Data_Val!$A$2:$A$3,0)),0,1))</f>
        <v/>
      </c>
      <c r="F189" s="36" t="str">
        <f ca="1">IF(Data!B179="","",IF(ISNUMBER(Data!F179),IF(AND(Data!F179&gt;(TODAY()-(Data_Val!$H$3*365.25)),Data!F179&lt;=(TODAY()-(Data_Val!$H$2*365.25))),0,1),1))</f>
        <v/>
      </c>
      <c r="G189" s="12" t="str">
        <f>IF(Data!B179="","",IF(AND(Data!G179="",Data!H179&lt;&gt;""),1,IF(ISNUMBER(MATCH(Data!G179,Data_Val!$C$2:$C$5,0)),0,1)))</f>
        <v/>
      </c>
      <c r="H189" s="12" t="str">
        <f>IF(Data!B179="","",IF(AND(Data!G179&lt;&gt;"",Data!H179=""),1,IF(Data!G179="",1,IF(ISNUMBER(MATCH(Data!H179,Data_Val!$D$2:$D$35,0)),0,1))))</f>
        <v/>
      </c>
      <c r="I189" s="38" t="str">
        <f>IF(Data!G179="","",IF(Data!G179=Data_Val!$C$2,IF(Data!I179="",0,1),0))</f>
        <v/>
      </c>
      <c r="J189" s="38" t="str">
        <f>IF(Data!I179="","",IF(ISNUMBER(MATCH(Data!J179,Data_Val!$A$2:$A$3,0)),0,1))</f>
        <v/>
      </c>
      <c r="K189" s="38" t="str">
        <f ca="1">IF(Data!I179="","",IF(ISNUMBER(Data!K179),IF(AND(Data!K179&gt;(TODAY()-(Data_Val!$K$3*365.25)),Data!K179&lt;=(TODAY()-(Data_Val!$K$2*365.25))),0,1),1))</f>
        <v/>
      </c>
      <c r="L189" s="16" t="str">
        <f>IF(Data!G179="","",IF(Data!G179=Data_Val!$C$2,IF(Data!L179="",0,1),0))</f>
        <v/>
      </c>
      <c r="M189" s="16" t="str">
        <f>IF(Data!L179="","",IF(ISNUMBER(MATCH(Data!M179,Data_Val!$A$2:$A$3,0)),0,1))</f>
        <v/>
      </c>
      <c r="N189" s="43" t="str">
        <f ca="1">IF(Data!L179="","",IF(ISNUMBER(Data!N179),IF(AND(Data!N179&gt;(TODAY()-(Data_Val!$L$3*365.25)),Data!N179&lt;=(TODAY()-(Data_Val!$L$2*365.25))),0,1),1))</f>
        <v/>
      </c>
      <c r="O189" s="18" t="str">
        <f>IF(Data!$G179="","",IF(Data!$G179=Data_Val!$C$2,IF(Data!O179="",0,1),0))</f>
        <v/>
      </c>
      <c r="P189" s="18" t="str">
        <f>IF(Data!O179="","",IF(ISNUMBER(MATCH(Data!P179,Data_Val!$A$2:$A$3,0)),0,1))</f>
        <v/>
      </c>
      <c r="Q189" s="44" t="str">
        <f ca="1">IF(Data!O179="","",IF(ISNUMBER(Data!Q179),IF(AND(Data!Q179&gt;(TODAY()-(Data_Val!$L$3*365.25)),Data!Q179&lt;=(TODAY()-(Data_Val!$L$2*365.25))),0,1),1))</f>
        <v/>
      </c>
    </row>
    <row r="190" spans="1:17" ht="12" customHeight="1" x14ac:dyDescent="0.25">
      <c r="A190" s="36" t="str">
        <f>IF(Data!B180="","",IF(COUNTIFS(Data!A$1:'Data'!A180,Data!A180)&lt;=1,0,1))</f>
        <v/>
      </c>
      <c r="B190" s="36"/>
      <c r="C190" s="36" t="str">
        <f>IF(Data!C180="","",(IF(ISNUMBER(MATCH("*@*.?*",Data!C180,0)),0,1)+IF(COUNTIFS(Data!C$1:'Data'!C180,Data!C180)&gt;1,1,0)))</f>
        <v/>
      </c>
      <c r="D190" s="36" t="str">
        <f>IF(Data!B180="","",IF(ISNUMBER(Data!D180),IF(AND(Data!D180&gt;999999999,Data!D180&lt;=9999999999),IF(COUNTIFS(Data!D$1:'Data'!D180,Data!D180)&lt;=1,0,1),1),1))</f>
        <v/>
      </c>
      <c r="E190" s="36" t="str">
        <f>IF(Data!B180="","",IF(ISNUMBER(MATCH(Data!E180,Data_Val!$A$2:$A$3,0)),0,1))</f>
        <v/>
      </c>
      <c r="F190" s="36" t="str">
        <f ca="1">IF(Data!B180="","",IF(ISNUMBER(Data!F180),IF(AND(Data!F180&gt;(TODAY()-(Data_Val!$H$3*365.25)),Data!F180&lt;=(TODAY()-(Data_Val!$H$2*365.25))),0,1),1))</f>
        <v/>
      </c>
      <c r="G190" s="12" t="str">
        <f>IF(Data!B180="","",IF(AND(Data!G180="",Data!H180&lt;&gt;""),1,IF(ISNUMBER(MATCH(Data!G180,Data_Val!$C$2:$C$5,0)),0,1)))</f>
        <v/>
      </c>
      <c r="H190" s="12" t="str">
        <f>IF(Data!B180="","",IF(AND(Data!G180&lt;&gt;"",Data!H180=""),1,IF(Data!G180="",1,IF(ISNUMBER(MATCH(Data!H180,Data_Val!$D$2:$D$35,0)),0,1))))</f>
        <v/>
      </c>
      <c r="I190" s="38" t="str">
        <f>IF(Data!G180="","",IF(Data!G180=Data_Val!$C$2,IF(Data!I180="",0,1),0))</f>
        <v/>
      </c>
      <c r="J190" s="38" t="str">
        <f>IF(Data!I180="","",IF(ISNUMBER(MATCH(Data!J180,Data_Val!$A$2:$A$3,0)),0,1))</f>
        <v/>
      </c>
      <c r="K190" s="38" t="str">
        <f ca="1">IF(Data!I180="","",IF(ISNUMBER(Data!K180),IF(AND(Data!K180&gt;(TODAY()-(Data_Val!$K$3*365.25)),Data!K180&lt;=(TODAY()-(Data_Val!$K$2*365.25))),0,1),1))</f>
        <v/>
      </c>
      <c r="L190" s="16" t="str">
        <f>IF(Data!G180="","",IF(Data!G180=Data_Val!$C$2,IF(Data!L180="",0,1),0))</f>
        <v/>
      </c>
      <c r="M190" s="16" t="str">
        <f>IF(Data!L180="","",IF(ISNUMBER(MATCH(Data!M180,Data_Val!$A$2:$A$3,0)),0,1))</f>
        <v/>
      </c>
      <c r="N190" s="43" t="str">
        <f ca="1">IF(Data!L180="","",IF(ISNUMBER(Data!N180),IF(AND(Data!N180&gt;(TODAY()-(Data_Val!$L$3*365.25)),Data!N180&lt;=(TODAY()-(Data_Val!$L$2*365.25))),0,1),1))</f>
        <v/>
      </c>
      <c r="O190" s="18" t="str">
        <f>IF(Data!$G180="","",IF(Data!$G180=Data_Val!$C$2,IF(Data!O180="",0,1),0))</f>
        <v/>
      </c>
      <c r="P190" s="18" t="str">
        <f>IF(Data!O180="","",IF(ISNUMBER(MATCH(Data!P180,Data_Val!$A$2:$A$3,0)),0,1))</f>
        <v/>
      </c>
      <c r="Q190" s="44" t="str">
        <f ca="1">IF(Data!O180="","",IF(ISNUMBER(Data!Q180),IF(AND(Data!Q180&gt;(TODAY()-(Data_Val!$L$3*365.25)),Data!Q180&lt;=(TODAY()-(Data_Val!$L$2*365.25))),0,1),1))</f>
        <v/>
      </c>
    </row>
    <row r="191" spans="1:17" ht="12" customHeight="1" x14ac:dyDescent="0.25">
      <c r="A191" s="36" t="str">
        <f>IF(Data!B181="","",IF(COUNTIFS(Data!A$1:'Data'!A181,Data!A181)&lt;=1,0,1))</f>
        <v/>
      </c>
      <c r="B191" s="36"/>
      <c r="C191" s="36" t="str">
        <f>IF(Data!C181="","",(IF(ISNUMBER(MATCH("*@*.?*",Data!C181,0)),0,1)+IF(COUNTIFS(Data!C$1:'Data'!C181,Data!C181)&gt;1,1,0)))</f>
        <v/>
      </c>
      <c r="D191" s="36" t="str">
        <f>IF(Data!B181="","",IF(ISNUMBER(Data!D181),IF(AND(Data!D181&gt;999999999,Data!D181&lt;=9999999999),IF(COUNTIFS(Data!D$1:'Data'!D181,Data!D181)&lt;=1,0,1),1),1))</f>
        <v/>
      </c>
      <c r="E191" s="36" t="str">
        <f>IF(Data!B181="","",IF(ISNUMBER(MATCH(Data!E181,Data_Val!$A$2:$A$3,0)),0,1))</f>
        <v/>
      </c>
      <c r="F191" s="36" t="str">
        <f ca="1">IF(Data!B181="","",IF(ISNUMBER(Data!F181),IF(AND(Data!F181&gt;(TODAY()-(Data_Val!$H$3*365.25)),Data!F181&lt;=(TODAY()-(Data_Val!$H$2*365.25))),0,1),1))</f>
        <v/>
      </c>
      <c r="G191" s="12" t="str">
        <f>IF(Data!B181="","",IF(AND(Data!G181="",Data!H181&lt;&gt;""),1,IF(ISNUMBER(MATCH(Data!G181,Data_Val!$C$2:$C$5,0)),0,1)))</f>
        <v/>
      </c>
      <c r="H191" s="12" t="str">
        <f>IF(Data!B181="","",IF(AND(Data!G181&lt;&gt;"",Data!H181=""),1,IF(Data!G181="",1,IF(ISNUMBER(MATCH(Data!H181,Data_Val!$D$2:$D$35,0)),0,1))))</f>
        <v/>
      </c>
      <c r="I191" s="38" t="str">
        <f>IF(Data!G181="","",IF(Data!G181=Data_Val!$C$2,IF(Data!I181="",0,1),0))</f>
        <v/>
      </c>
      <c r="J191" s="38" t="str">
        <f>IF(Data!I181="","",IF(ISNUMBER(MATCH(Data!J181,Data_Val!$A$2:$A$3,0)),0,1))</f>
        <v/>
      </c>
      <c r="K191" s="38" t="str">
        <f ca="1">IF(Data!I181="","",IF(ISNUMBER(Data!K181),IF(AND(Data!K181&gt;(TODAY()-(Data_Val!$K$3*365.25)),Data!K181&lt;=(TODAY()-(Data_Val!$K$2*365.25))),0,1),1))</f>
        <v/>
      </c>
      <c r="L191" s="16" t="str">
        <f>IF(Data!G181="","",IF(Data!G181=Data_Val!$C$2,IF(Data!L181="",0,1),0))</f>
        <v/>
      </c>
      <c r="M191" s="16" t="str">
        <f>IF(Data!L181="","",IF(ISNUMBER(MATCH(Data!M181,Data_Val!$A$2:$A$3,0)),0,1))</f>
        <v/>
      </c>
      <c r="N191" s="43" t="str">
        <f ca="1">IF(Data!L181="","",IF(ISNUMBER(Data!N181),IF(AND(Data!N181&gt;(TODAY()-(Data_Val!$L$3*365.25)),Data!N181&lt;=(TODAY()-(Data_Val!$L$2*365.25))),0,1),1))</f>
        <v/>
      </c>
      <c r="O191" s="18" t="str">
        <f>IF(Data!$G181="","",IF(Data!$G181=Data_Val!$C$2,IF(Data!O181="",0,1),0))</f>
        <v/>
      </c>
      <c r="P191" s="18" t="str">
        <f>IF(Data!O181="","",IF(ISNUMBER(MATCH(Data!P181,Data_Val!$A$2:$A$3,0)),0,1))</f>
        <v/>
      </c>
      <c r="Q191" s="44" t="str">
        <f ca="1">IF(Data!O181="","",IF(ISNUMBER(Data!Q181),IF(AND(Data!Q181&gt;(TODAY()-(Data_Val!$L$3*365.25)),Data!Q181&lt;=(TODAY()-(Data_Val!$L$2*365.25))),0,1),1))</f>
        <v/>
      </c>
    </row>
    <row r="192" spans="1:17" ht="12" customHeight="1" x14ac:dyDescent="0.25">
      <c r="A192" s="36" t="str">
        <f>IF(Data!B182="","",IF(COUNTIFS(Data!A$1:'Data'!A182,Data!A182)&lt;=1,0,1))</f>
        <v/>
      </c>
      <c r="B192" s="36"/>
      <c r="C192" s="36" t="str">
        <f>IF(Data!C182="","",(IF(ISNUMBER(MATCH("*@*.?*",Data!C182,0)),0,1)+IF(COUNTIFS(Data!C$1:'Data'!C182,Data!C182)&gt;1,1,0)))</f>
        <v/>
      </c>
      <c r="D192" s="36" t="str">
        <f>IF(Data!B182="","",IF(ISNUMBER(Data!D182),IF(AND(Data!D182&gt;999999999,Data!D182&lt;=9999999999),IF(COUNTIFS(Data!D$1:'Data'!D182,Data!D182)&lt;=1,0,1),1),1))</f>
        <v/>
      </c>
      <c r="E192" s="36" t="str">
        <f>IF(Data!B182="","",IF(ISNUMBER(MATCH(Data!E182,Data_Val!$A$2:$A$3,0)),0,1))</f>
        <v/>
      </c>
      <c r="F192" s="36" t="str">
        <f ca="1">IF(Data!B182="","",IF(ISNUMBER(Data!F182),IF(AND(Data!F182&gt;(TODAY()-(Data_Val!$H$3*365.25)),Data!F182&lt;=(TODAY()-(Data_Val!$H$2*365.25))),0,1),1))</f>
        <v/>
      </c>
      <c r="G192" s="12" t="str">
        <f>IF(Data!B182="","",IF(AND(Data!G182="",Data!H182&lt;&gt;""),1,IF(ISNUMBER(MATCH(Data!G182,Data_Val!$C$2:$C$5,0)),0,1)))</f>
        <v/>
      </c>
      <c r="H192" s="12" t="str">
        <f>IF(Data!B182="","",IF(AND(Data!G182&lt;&gt;"",Data!H182=""),1,IF(Data!G182="",1,IF(ISNUMBER(MATCH(Data!H182,Data_Val!$D$2:$D$35,0)),0,1))))</f>
        <v/>
      </c>
      <c r="I192" s="38" t="str">
        <f>IF(Data!G182="","",IF(Data!G182=Data_Val!$C$2,IF(Data!I182="",0,1),0))</f>
        <v/>
      </c>
      <c r="J192" s="38" t="str">
        <f>IF(Data!I182="","",IF(ISNUMBER(MATCH(Data!J182,Data_Val!$A$2:$A$3,0)),0,1))</f>
        <v/>
      </c>
      <c r="K192" s="38" t="str">
        <f ca="1">IF(Data!I182="","",IF(ISNUMBER(Data!K182),IF(AND(Data!K182&gt;(TODAY()-(Data_Val!$K$3*365.25)),Data!K182&lt;=(TODAY()-(Data_Val!$K$2*365.25))),0,1),1))</f>
        <v/>
      </c>
      <c r="L192" s="16" t="str">
        <f>IF(Data!G182="","",IF(Data!G182=Data_Val!$C$2,IF(Data!L182="",0,1),0))</f>
        <v/>
      </c>
      <c r="M192" s="16" t="str">
        <f>IF(Data!L182="","",IF(ISNUMBER(MATCH(Data!M182,Data_Val!$A$2:$A$3,0)),0,1))</f>
        <v/>
      </c>
      <c r="N192" s="43" t="str">
        <f ca="1">IF(Data!L182="","",IF(ISNUMBER(Data!N182),IF(AND(Data!N182&gt;(TODAY()-(Data_Val!$L$3*365.25)),Data!N182&lt;=(TODAY()-(Data_Val!$L$2*365.25))),0,1),1))</f>
        <v/>
      </c>
      <c r="O192" s="18" t="str">
        <f>IF(Data!$G182="","",IF(Data!$G182=Data_Val!$C$2,IF(Data!O182="",0,1),0))</f>
        <v/>
      </c>
      <c r="P192" s="18" t="str">
        <f>IF(Data!O182="","",IF(ISNUMBER(MATCH(Data!P182,Data_Val!$A$2:$A$3,0)),0,1))</f>
        <v/>
      </c>
      <c r="Q192" s="44" t="str">
        <f ca="1">IF(Data!O182="","",IF(ISNUMBER(Data!Q182),IF(AND(Data!Q182&gt;(TODAY()-(Data_Val!$L$3*365.25)),Data!Q182&lt;=(TODAY()-(Data_Val!$L$2*365.25))),0,1),1))</f>
        <v/>
      </c>
    </row>
    <row r="193" spans="1:17" ht="12" customHeight="1" x14ac:dyDescent="0.25">
      <c r="A193" s="36" t="str">
        <f>IF(Data!B183="","",IF(COUNTIFS(Data!A$1:'Data'!A183,Data!A183)&lt;=1,0,1))</f>
        <v/>
      </c>
      <c r="B193" s="36"/>
      <c r="C193" s="36" t="str">
        <f>IF(Data!C183="","",(IF(ISNUMBER(MATCH("*@*.?*",Data!C183,0)),0,1)+IF(COUNTIFS(Data!C$1:'Data'!C183,Data!C183)&gt;1,1,0)))</f>
        <v/>
      </c>
      <c r="D193" s="36" t="str">
        <f>IF(Data!B183="","",IF(ISNUMBER(Data!D183),IF(AND(Data!D183&gt;999999999,Data!D183&lt;=9999999999),IF(COUNTIFS(Data!D$1:'Data'!D183,Data!D183)&lt;=1,0,1),1),1))</f>
        <v/>
      </c>
      <c r="E193" s="36" t="str">
        <f>IF(Data!B183="","",IF(ISNUMBER(MATCH(Data!E183,Data_Val!$A$2:$A$3,0)),0,1))</f>
        <v/>
      </c>
      <c r="F193" s="36" t="str">
        <f ca="1">IF(Data!B183="","",IF(ISNUMBER(Data!F183),IF(AND(Data!F183&gt;(TODAY()-(Data_Val!$H$3*365.25)),Data!F183&lt;=(TODAY()-(Data_Val!$H$2*365.25))),0,1),1))</f>
        <v/>
      </c>
      <c r="G193" s="12" t="str">
        <f>IF(Data!B183="","",IF(AND(Data!G183="",Data!H183&lt;&gt;""),1,IF(ISNUMBER(MATCH(Data!G183,Data_Val!$C$2:$C$5,0)),0,1)))</f>
        <v/>
      </c>
      <c r="H193" s="12" t="str">
        <f>IF(Data!B183="","",IF(AND(Data!G183&lt;&gt;"",Data!H183=""),1,IF(Data!G183="",1,IF(ISNUMBER(MATCH(Data!H183,Data_Val!$D$2:$D$35,0)),0,1))))</f>
        <v/>
      </c>
      <c r="I193" s="38" t="str">
        <f>IF(Data!G183="","",IF(Data!G183=Data_Val!$C$2,IF(Data!I183="",0,1),0))</f>
        <v/>
      </c>
      <c r="J193" s="38" t="str">
        <f>IF(Data!I183="","",IF(ISNUMBER(MATCH(Data!J183,Data_Val!$A$2:$A$3,0)),0,1))</f>
        <v/>
      </c>
      <c r="K193" s="38" t="str">
        <f ca="1">IF(Data!I183="","",IF(ISNUMBER(Data!K183),IF(AND(Data!K183&gt;(TODAY()-(Data_Val!$K$3*365.25)),Data!K183&lt;=(TODAY()-(Data_Val!$K$2*365.25))),0,1),1))</f>
        <v/>
      </c>
      <c r="L193" s="16" t="str">
        <f>IF(Data!G183="","",IF(Data!G183=Data_Val!$C$2,IF(Data!L183="",0,1),0))</f>
        <v/>
      </c>
      <c r="M193" s="16" t="str">
        <f>IF(Data!L183="","",IF(ISNUMBER(MATCH(Data!M183,Data_Val!$A$2:$A$3,0)),0,1))</f>
        <v/>
      </c>
      <c r="N193" s="43" t="str">
        <f ca="1">IF(Data!L183="","",IF(ISNUMBER(Data!N183),IF(AND(Data!N183&gt;(TODAY()-(Data_Val!$L$3*365.25)),Data!N183&lt;=(TODAY()-(Data_Val!$L$2*365.25))),0,1),1))</f>
        <v/>
      </c>
      <c r="O193" s="18" t="str">
        <f>IF(Data!$G183="","",IF(Data!$G183=Data_Val!$C$2,IF(Data!O183="",0,1),0))</f>
        <v/>
      </c>
      <c r="P193" s="18" t="str">
        <f>IF(Data!O183="","",IF(ISNUMBER(MATCH(Data!P183,Data_Val!$A$2:$A$3,0)),0,1))</f>
        <v/>
      </c>
      <c r="Q193" s="44" t="str">
        <f ca="1">IF(Data!O183="","",IF(ISNUMBER(Data!Q183),IF(AND(Data!Q183&gt;(TODAY()-(Data_Val!$L$3*365.25)),Data!Q183&lt;=(TODAY()-(Data_Val!$L$2*365.25))),0,1),1))</f>
        <v/>
      </c>
    </row>
    <row r="194" spans="1:17" ht="12" customHeight="1" x14ac:dyDescent="0.25">
      <c r="A194" s="36" t="str">
        <f>IF(Data!B184="","",IF(COUNTIFS(Data!A$1:'Data'!A184,Data!A184)&lt;=1,0,1))</f>
        <v/>
      </c>
      <c r="B194" s="36"/>
      <c r="C194" s="36" t="str">
        <f>IF(Data!C184="","",(IF(ISNUMBER(MATCH("*@*.?*",Data!C184,0)),0,1)+IF(COUNTIFS(Data!C$1:'Data'!C184,Data!C184)&gt;1,1,0)))</f>
        <v/>
      </c>
      <c r="D194" s="36" t="str">
        <f>IF(Data!B184="","",IF(ISNUMBER(Data!D184),IF(AND(Data!D184&gt;999999999,Data!D184&lt;=9999999999),IF(COUNTIFS(Data!D$1:'Data'!D184,Data!D184)&lt;=1,0,1),1),1))</f>
        <v/>
      </c>
      <c r="E194" s="36" t="str">
        <f>IF(Data!B184="","",IF(ISNUMBER(MATCH(Data!E184,Data_Val!$A$2:$A$3,0)),0,1))</f>
        <v/>
      </c>
      <c r="F194" s="36" t="str">
        <f ca="1">IF(Data!B184="","",IF(ISNUMBER(Data!F184),IF(AND(Data!F184&gt;(TODAY()-(Data_Val!$H$3*365.25)),Data!F184&lt;=(TODAY()-(Data_Val!$H$2*365.25))),0,1),1))</f>
        <v/>
      </c>
      <c r="G194" s="12" t="str">
        <f>IF(Data!B184="","",IF(AND(Data!G184="",Data!H184&lt;&gt;""),1,IF(ISNUMBER(MATCH(Data!G184,Data_Val!$C$2:$C$5,0)),0,1)))</f>
        <v/>
      </c>
      <c r="H194" s="12" t="str">
        <f>IF(Data!B184="","",IF(AND(Data!G184&lt;&gt;"",Data!H184=""),1,IF(Data!G184="",1,IF(ISNUMBER(MATCH(Data!H184,Data_Val!$D$2:$D$35,0)),0,1))))</f>
        <v/>
      </c>
      <c r="I194" s="38" t="str">
        <f>IF(Data!G184="","",IF(Data!G184=Data_Val!$C$2,IF(Data!I184="",0,1),0))</f>
        <v/>
      </c>
      <c r="J194" s="38" t="str">
        <f>IF(Data!I184="","",IF(ISNUMBER(MATCH(Data!J184,Data_Val!$A$2:$A$3,0)),0,1))</f>
        <v/>
      </c>
      <c r="K194" s="38" t="str">
        <f ca="1">IF(Data!I184="","",IF(ISNUMBER(Data!K184),IF(AND(Data!K184&gt;(TODAY()-(Data_Val!$K$3*365.25)),Data!K184&lt;=(TODAY()-(Data_Val!$K$2*365.25))),0,1),1))</f>
        <v/>
      </c>
      <c r="L194" s="16" t="str">
        <f>IF(Data!G184="","",IF(Data!G184=Data_Val!$C$2,IF(Data!L184="",0,1),0))</f>
        <v/>
      </c>
      <c r="M194" s="16" t="str">
        <f>IF(Data!L184="","",IF(ISNUMBER(MATCH(Data!M184,Data_Val!$A$2:$A$3,0)),0,1))</f>
        <v/>
      </c>
      <c r="N194" s="43" t="str">
        <f ca="1">IF(Data!L184="","",IF(ISNUMBER(Data!N184),IF(AND(Data!N184&gt;(TODAY()-(Data_Val!$L$3*365.25)),Data!N184&lt;=(TODAY()-(Data_Val!$L$2*365.25))),0,1),1))</f>
        <v/>
      </c>
      <c r="O194" s="18" t="str">
        <f>IF(Data!$G184="","",IF(Data!$G184=Data_Val!$C$2,IF(Data!O184="",0,1),0))</f>
        <v/>
      </c>
      <c r="P194" s="18" t="str">
        <f>IF(Data!O184="","",IF(ISNUMBER(MATCH(Data!P184,Data_Val!$A$2:$A$3,0)),0,1))</f>
        <v/>
      </c>
      <c r="Q194" s="44" t="str">
        <f ca="1">IF(Data!O184="","",IF(ISNUMBER(Data!Q184),IF(AND(Data!Q184&gt;(TODAY()-(Data_Val!$L$3*365.25)),Data!Q184&lt;=(TODAY()-(Data_Val!$L$2*365.25))),0,1),1))</f>
        <v/>
      </c>
    </row>
    <row r="195" spans="1:17" ht="12" customHeight="1" x14ac:dyDescent="0.25">
      <c r="A195" s="36" t="str">
        <f>IF(Data!B185="","",IF(COUNTIFS(Data!A$1:'Data'!A185,Data!A185)&lt;=1,0,1))</f>
        <v/>
      </c>
      <c r="B195" s="36"/>
      <c r="C195" s="36" t="str">
        <f>IF(Data!C185="","",(IF(ISNUMBER(MATCH("*@*.?*",Data!C185,0)),0,1)+IF(COUNTIFS(Data!C$1:'Data'!C185,Data!C185)&gt;1,1,0)))</f>
        <v/>
      </c>
      <c r="D195" s="36" t="str">
        <f>IF(Data!B185="","",IF(ISNUMBER(Data!D185),IF(AND(Data!D185&gt;999999999,Data!D185&lt;=9999999999),IF(COUNTIFS(Data!D$1:'Data'!D185,Data!D185)&lt;=1,0,1),1),1))</f>
        <v/>
      </c>
      <c r="E195" s="36" t="str">
        <f>IF(Data!B185="","",IF(ISNUMBER(MATCH(Data!E185,Data_Val!$A$2:$A$3,0)),0,1))</f>
        <v/>
      </c>
      <c r="F195" s="36" t="str">
        <f ca="1">IF(Data!B185="","",IF(ISNUMBER(Data!F185),IF(AND(Data!F185&gt;(TODAY()-(Data_Val!$H$3*365.25)),Data!F185&lt;=(TODAY()-(Data_Val!$H$2*365.25))),0,1),1))</f>
        <v/>
      </c>
      <c r="G195" s="12" t="str">
        <f>IF(Data!B185="","",IF(AND(Data!G185="",Data!H185&lt;&gt;""),1,IF(ISNUMBER(MATCH(Data!G185,Data_Val!$C$2:$C$5,0)),0,1)))</f>
        <v/>
      </c>
      <c r="H195" s="12" t="str">
        <f>IF(Data!B185="","",IF(AND(Data!G185&lt;&gt;"",Data!H185=""),1,IF(Data!G185="",1,IF(ISNUMBER(MATCH(Data!H185,Data_Val!$D$2:$D$35,0)),0,1))))</f>
        <v/>
      </c>
      <c r="I195" s="38" t="str">
        <f>IF(Data!G185="","",IF(Data!G185=Data_Val!$C$2,IF(Data!I185="",0,1),0))</f>
        <v/>
      </c>
      <c r="J195" s="38" t="str">
        <f>IF(Data!I185="","",IF(ISNUMBER(MATCH(Data!J185,Data_Val!$A$2:$A$3,0)),0,1))</f>
        <v/>
      </c>
      <c r="K195" s="38" t="str">
        <f ca="1">IF(Data!I185="","",IF(ISNUMBER(Data!K185),IF(AND(Data!K185&gt;(TODAY()-(Data_Val!$K$3*365.25)),Data!K185&lt;=(TODAY()-(Data_Val!$K$2*365.25))),0,1),1))</f>
        <v/>
      </c>
      <c r="L195" s="16" t="str">
        <f>IF(Data!G185="","",IF(Data!G185=Data_Val!$C$2,IF(Data!L185="",0,1),0))</f>
        <v/>
      </c>
      <c r="M195" s="16" t="str">
        <f>IF(Data!L185="","",IF(ISNUMBER(MATCH(Data!M185,Data_Val!$A$2:$A$3,0)),0,1))</f>
        <v/>
      </c>
      <c r="N195" s="43" t="str">
        <f ca="1">IF(Data!L185="","",IF(ISNUMBER(Data!N185),IF(AND(Data!N185&gt;(TODAY()-(Data_Val!$L$3*365.25)),Data!N185&lt;=(TODAY()-(Data_Val!$L$2*365.25))),0,1),1))</f>
        <v/>
      </c>
      <c r="O195" s="18" t="str">
        <f>IF(Data!$G185="","",IF(Data!$G185=Data_Val!$C$2,IF(Data!O185="",0,1),0))</f>
        <v/>
      </c>
      <c r="P195" s="18" t="str">
        <f>IF(Data!O185="","",IF(ISNUMBER(MATCH(Data!P185,Data_Val!$A$2:$A$3,0)),0,1))</f>
        <v/>
      </c>
      <c r="Q195" s="44" t="str">
        <f ca="1">IF(Data!O185="","",IF(ISNUMBER(Data!Q185),IF(AND(Data!Q185&gt;(TODAY()-(Data_Val!$L$3*365.25)),Data!Q185&lt;=(TODAY()-(Data_Val!$L$2*365.25))),0,1),1))</f>
        <v/>
      </c>
    </row>
    <row r="196" spans="1:17" ht="12" customHeight="1" x14ac:dyDescent="0.25">
      <c r="A196" s="36" t="str">
        <f>IF(Data!B186="","",IF(COUNTIFS(Data!A$1:'Data'!A186,Data!A186)&lt;=1,0,1))</f>
        <v/>
      </c>
      <c r="B196" s="36"/>
      <c r="C196" s="36" t="str">
        <f>IF(Data!C186="","",(IF(ISNUMBER(MATCH("*@*.?*",Data!C186,0)),0,1)+IF(COUNTIFS(Data!C$1:'Data'!C186,Data!C186)&gt;1,1,0)))</f>
        <v/>
      </c>
      <c r="D196" s="36" t="str">
        <f>IF(Data!B186="","",IF(ISNUMBER(Data!D186),IF(AND(Data!D186&gt;999999999,Data!D186&lt;=9999999999),IF(COUNTIFS(Data!D$1:'Data'!D186,Data!D186)&lt;=1,0,1),1),1))</f>
        <v/>
      </c>
      <c r="E196" s="36" t="str">
        <f>IF(Data!B186="","",IF(ISNUMBER(MATCH(Data!E186,Data_Val!$A$2:$A$3,0)),0,1))</f>
        <v/>
      </c>
      <c r="F196" s="36" t="str">
        <f ca="1">IF(Data!B186="","",IF(ISNUMBER(Data!F186),IF(AND(Data!F186&gt;(TODAY()-(Data_Val!$H$3*365.25)),Data!F186&lt;=(TODAY()-(Data_Val!$H$2*365.25))),0,1),1))</f>
        <v/>
      </c>
      <c r="G196" s="12" t="str">
        <f>IF(Data!B186="","",IF(AND(Data!G186="",Data!H186&lt;&gt;""),1,IF(ISNUMBER(MATCH(Data!G186,Data_Val!$C$2:$C$5,0)),0,1)))</f>
        <v/>
      </c>
      <c r="H196" s="12" t="str">
        <f>IF(Data!B186="","",IF(AND(Data!G186&lt;&gt;"",Data!H186=""),1,IF(Data!G186="",1,IF(ISNUMBER(MATCH(Data!H186,Data_Val!$D$2:$D$35,0)),0,1))))</f>
        <v/>
      </c>
      <c r="I196" s="38" t="str">
        <f>IF(Data!G186="","",IF(Data!G186=Data_Val!$C$2,IF(Data!I186="",0,1),0))</f>
        <v/>
      </c>
      <c r="J196" s="38" t="str">
        <f>IF(Data!I186="","",IF(ISNUMBER(MATCH(Data!J186,Data_Val!$A$2:$A$3,0)),0,1))</f>
        <v/>
      </c>
      <c r="K196" s="38" t="str">
        <f ca="1">IF(Data!I186="","",IF(ISNUMBER(Data!K186),IF(AND(Data!K186&gt;(TODAY()-(Data_Val!$K$3*365.25)),Data!K186&lt;=(TODAY()-(Data_Val!$K$2*365.25))),0,1),1))</f>
        <v/>
      </c>
      <c r="L196" s="16" t="str">
        <f>IF(Data!G186="","",IF(Data!G186=Data_Val!$C$2,IF(Data!L186="",0,1),0))</f>
        <v/>
      </c>
      <c r="M196" s="16" t="str">
        <f>IF(Data!L186="","",IF(ISNUMBER(MATCH(Data!M186,Data_Val!$A$2:$A$3,0)),0,1))</f>
        <v/>
      </c>
      <c r="N196" s="43" t="str">
        <f ca="1">IF(Data!L186="","",IF(ISNUMBER(Data!N186),IF(AND(Data!N186&gt;(TODAY()-(Data_Val!$L$3*365.25)),Data!N186&lt;=(TODAY()-(Data_Val!$L$2*365.25))),0,1),1))</f>
        <v/>
      </c>
      <c r="O196" s="18" t="str">
        <f>IF(Data!$G186="","",IF(Data!$G186=Data_Val!$C$2,IF(Data!O186="",0,1),0))</f>
        <v/>
      </c>
      <c r="P196" s="18" t="str">
        <f>IF(Data!O186="","",IF(ISNUMBER(MATCH(Data!P186,Data_Val!$A$2:$A$3,0)),0,1))</f>
        <v/>
      </c>
      <c r="Q196" s="44" t="str">
        <f ca="1">IF(Data!O186="","",IF(ISNUMBER(Data!Q186),IF(AND(Data!Q186&gt;(TODAY()-(Data_Val!$L$3*365.25)),Data!Q186&lt;=(TODAY()-(Data_Val!$L$2*365.25))),0,1),1))</f>
        <v/>
      </c>
    </row>
    <row r="197" spans="1:17" ht="12" customHeight="1" x14ac:dyDescent="0.25">
      <c r="A197" s="36" t="str">
        <f>IF(Data!B187="","",IF(COUNTIFS(Data!A$1:'Data'!A187,Data!A187)&lt;=1,0,1))</f>
        <v/>
      </c>
      <c r="B197" s="36"/>
      <c r="C197" s="36" t="str">
        <f>IF(Data!C187="","",(IF(ISNUMBER(MATCH("*@*.?*",Data!C187,0)),0,1)+IF(COUNTIFS(Data!C$1:'Data'!C187,Data!C187)&gt;1,1,0)))</f>
        <v/>
      </c>
      <c r="D197" s="36" t="str">
        <f>IF(Data!B187="","",IF(ISNUMBER(Data!D187),IF(AND(Data!D187&gt;999999999,Data!D187&lt;=9999999999),IF(COUNTIFS(Data!D$1:'Data'!D187,Data!D187)&lt;=1,0,1),1),1))</f>
        <v/>
      </c>
      <c r="E197" s="36" t="str">
        <f>IF(Data!B187="","",IF(ISNUMBER(MATCH(Data!E187,Data_Val!$A$2:$A$3,0)),0,1))</f>
        <v/>
      </c>
      <c r="F197" s="36" t="str">
        <f ca="1">IF(Data!B187="","",IF(ISNUMBER(Data!F187),IF(AND(Data!F187&gt;(TODAY()-(Data_Val!$H$3*365.25)),Data!F187&lt;=(TODAY()-(Data_Val!$H$2*365.25))),0,1),1))</f>
        <v/>
      </c>
      <c r="G197" s="12" t="str">
        <f>IF(Data!B187="","",IF(AND(Data!G187="",Data!H187&lt;&gt;""),1,IF(ISNUMBER(MATCH(Data!G187,Data_Val!$C$2:$C$5,0)),0,1)))</f>
        <v/>
      </c>
      <c r="H197" s="12" t="str">
        <f>IF(Data!B187="","",IF(AND(Data!G187&lt;&gt;"",Data!H187=""),1,IF(Data!G187="",1,IF(ISNUMBER(MATCH(Data!H187,Data_Val!$D$2:$D$35,0)),0,1))))</f>
        <v/>
      </c>
      <c r="I197" s="38" t="str">
        <f>IF(Data!G187="","",IF(Data!G187=Data_Val!$C$2,IF(Data!I187="",0,1),0))</f>
        <v/>
      </c>
      <c r="J197" s="38" t="str">
        <f>IF(Data!I187="","",IF(ISNUMBER(MATCH(Data!J187,Data_Val!$A$2:$A$3,0)),0,1))</f>
        <v/>
      </c>
      <c r="K197" s="38" t="str">
        <f ca="1">IF(Data!I187="","",IF(ISNUMBER(Data!K187),IF(AND(Data!K187&gt;(TODAY()-(Data_Val!$K$3*365.25)),Data!K187&lt;=(TODAY()-(Data_Val!$K$2*365.25))),0,1),1))</f>
        <v/>
      </c>
      <c r="L197" s="16" t="str">
        <f>IF(Data!G187="","",IF(Data!G187=Data_Val!$C$2,IF(Data!L187="",0,1),0))</f>
        <v/>
      </c>
      <c r="M197" s="16" t="str">
        <f>IF(Data!L187="","",IF(ISNUMBER(MATCH(Data!M187,Data_Val!$A$2:$A$3,0)),0,1))</f>
        <v/>
      </c>
      <c r="N197" s="43" t="str">
        <f ca="1">IF(Data!L187="","",IF(ISNUMBER(Data!N187),IF(AND(Data!N187&gt;(TODAY()-(Data_Val!$L$3*365.25)),Data!N187&lt;=(TODAY()-(Data_Val!$L$2*365.25))),0,1),1))</f>
        <v/>
      </c>
      <c r="O197" s="18" t="str">
        <f>IF(Data!$G187="","",IF(Data!$G187=Data_Val!$C$2,IF(Data!O187="",0,1),0))</f>
        <v/>
      </c>
      <c r="P197" s="18" t="str">
        <f>IF(Data!O187="","",IF(ISNUMBER(MATCH(Data!P187,Data_Val!$A$2:$A$3,0)),0,1))</f>
        <v/>
      </c>
      <c r="Q197" s="44" t="str">
        <f ca="1">IF(Data!O187="","",IF(ISNUMBER(Data!Q187),IF(AND(Data!Q187&gt;(TODAY()-(Data_Val!$L$3*365.25)),Data!Q187&lt;=(TODAY()-(Data_Val!$L$2*365.25))),0,1),1))</f>
        <v/>
      </c>
    </row>
    <row r="198" spans="1:17" ht="12" customHeight="1" x14ac:dyDescent="0.25">
      <c r="A198" s="36" t="str">
        <f>IF(Data!B188="","",IF(COUNTIFS(Data!A$1:'Data'!A188,Data!A188)&lt;=1,0,1))</f>
        <v/>
      </c>
      <c r="B198" s="36"/>
      <c r="C198" s="36" t="str">
        <f>IF(Data!C188="","",(IF(ISNUMBER(MATCH("*@*.?*",Data!C188,0)),0,1)+IF(COUNTIFS(Data!C$1:'Data'!C188,Data!C188)&gt;1,1,0)))</f>
        <v/>
      </c>
      <c r="D198" s="36" t="str">
        <f>IF(Data!B188="","",IF(ISNUMBER(Data!D188),IF(AND(Data!D188&gt;999999999,Data!D188&lt;=9999999999),IF(COUNTIFS(Data!D$1:'Data'!D188,Data!D188)&lt;=1,0,1),1),1))</f>
        <v/>
      </c>
      <c r="E198" s="36" t="str">
        <f>IF(Data!B188="","",IF(ISNUMBER(MATCH(Data!E188,Data_Val!$A$2:$A$3,0)),0,1))</f>
        <v/>
      </c>
      <c r="F198" s="36" t="str">
        <f ca="1">IF(Data!B188="","",IF(ISNUMBER(Data!F188),IF(AND(Data!F188&gt;(TODAY()-(Data_Val!$H$3*365.25)),Data!F188&lt;=(TODAY()-(Data_Val!$H$2*365.25))),0,1),1))</f>
        <v/>
      </c>
      <c r="G198" s="12" t="str">
        <f>IF(Data!B188="","",IF(AND(Data!G188="",Data!H188&lt;&gt;""),1,IF(ISNUMBER(MATCH(Data!G188,Data_Val!$C$2:$C$5,0)),0,1)))</f>
        <v/>
      </c>
      <c r="H198" s="12" t="str">
        <f>IF(Data!B188="","",IF(AND(Data!G188&lt;&gt;"",Data!H188=""),1,IF(Data!G188="",1,IF(ISNUMBER(MATCH(Data!H188,Data_Val!$D$2:$D$35,0)),0,1))))</f>
        <v/>
      </c>
      <c r="I198" s="38" t="str">
        <f>IF(Data!G188="","",IF(Data!G188=Data_Val!$C$2,IF(Data!I188="",0,1),0))</f>
        <v/>
      </c>
      <c r="J198" s="38" t="str">
        <f>IF(Data!I188="","",IF(ISNUMBER(MATCH(Data!J188,Data_Val!$A$2:$A$3,0)),0,1))</f>
        <v/>
      </c>
      <c r="K198" s="38" t="str">
        <f ca="1">IF(Data!I188="","",IF(ISNUMBER(Data!K188),IF(AND(Data!K188&gt;(TODAY()-(Data_Val!$K$3*365.25)),Data!K188&lt;=(TODAY()-(Data_Val!$K$2*365.25))),0,1),1))</f>
        <v/>
      </c>
      <c r="L198" s="16" t="str">
        <f>IF(Data!G188="","",IF(Data!G188=Data_Val!$C$2,IF(Data!L188="",0,1),0))</f>
        <v/>
      </c>
      <c r="M198" s="16" t="str">
        <f>IF(Data!L188="","",IF(ISNUMBER(MATCH(Data!M188,Data_Val!$A$2:$A$3,0)),0,1))</f>
        <v/>
      </c>
      <c r="N198" s="43" t="str">
        <f ca="1">IF(Data!L188="","",IF(ISNUMBER(Data!N188),IF(AND(Data!N188&gt;(TODAY()-(Data_Val!$L$3*365.25)),Data!N188&lt;=(TODAY()-(Data_Val!$L$2*365.25))),0,1),1))</f>
        <v/>
      </c>
      <c r="O198" s="18" t="str">
        <f>IF(Data!$G188="","",IF(Data!$G188=Data_Val!$C$2,IF(Data!O188="",0,1),0))</f>
        <v/>
      </c>
      <c r="P198" s="18" t="str">
        <f>IF(Data!O188="","",IF(ISNUMBER(MATCH(Data!P188,Data_Val!$A$2:$A$3,0)),0,1))</f>
        <v/>
      </c>
      <c r="Q198" s="44" t="str">
        <f ca="1">IF(Data!O188="","",IF(ISNUMBER(Data!Q188),IF(AND(Data!Q188&gt;(TODAY()-(Data_Val!$L$3*365.25)),Data!Q188&lt;=(TODAY()-(Data_Val!$L$2*365.25))),0,1),1))</f>
        <v/>
      </c>
    </row>
    <row r="199" spans="1:17" ht="12" customHeight="1" x14ac:dyDescent="0.25">
      <c r="A199" s="36" t="str">
        <f>IF(Data!B189="","",IF(COUNTIFS(Data!A$1:'Data'!A189,Data!A189)&lt;=1,0,1))</f>
        <v/>
      </c>
      <c r="B199" s="36"/>
      <c r="C199" s="36" t="str">
        <f>IF(Data!C189="","",(IF(ISNUMBER(MATCH("*@*.?*",Data!C189,0)),0,1)+IF(COUNTIFS(Data!C$1:'Data'!C189,Data!C189)&gt;1,1,0)))</f>
        <v/>
      </c>
      <c r="D199" s="36" t="str">
        <f>IF(Data!B189="","",IF(ISNUMBER(Data!D189),IF(AND(Data!D189&gt;999999999,Data!D189&lt;=9999999999),IF(COUNTIFS(Data!D$1:'Data'!D189,Data!D189)&lt;=1,0,1),1),1))</f>
        <v/>
      </c>
      <c r="E199" s="36" t="str">
        <f>IF(Data!B189="","",IF(ISNUMBER(MATCH(Data!E189,Data_Val!$A$2:$A$3,0)),0,1))</f>
        <v/>
      </c>
      <c r="F199" s="36" t="str">
        <f ca="1">IF(Data!B189="","",IF(ISNUMBER(Data!F189),IF(AND(Data!F189&gt;(TODAY()-(Data_Val!$H$3*365.25)),Data!F189&lt;=(TODAY()-(Data_Val!$H$2*365.25))),0,1),1))</f>
        <v/>
      </c>
      <c r="G199" s="12" t="str">
        <f>IF(Data!B189="","",IF(AND(Data!G189="",Data!H189&lt;&gt;""),1,IF(ISNUMBER(MATCH(Data!G189,Data_Val!$C$2:$C$5,0)),0,1)))</f>
        <v/>
      </c>
      <c r="H199" s="12" t="str">
        <f>IF(Data!B189="","",IF(AND(Data!G189&lt;&gt;"",Data!H189=""),1,IF(Data!G189="",1,IF(ISNUMBER(MATCH(Data!H189,Data_Val!$D$2:$D$35,0)),0,1))))</f>
        <v/>
      </c>
      <c r="I199" s="38" t="str">
        <f>IF(Data!G189="","",IF(Data!G189=Data_Val!$C$2,IF(Data!I189="",0,1),0))</f>
        <v/>
      </c>
      <c r="J199" s="38" t="str">
        <f>IF(Data!I189="","",IF(ISNUMBER(MATCH(Data!J189,Data_Val!$A$2:$A$3,0)),0,1))</f>
        <v/>
      </c>
      <c r="K199" s="38" t="str">
        <f ca="1">IF(Data!I189="","",IF(ISNUMBER(Data!K189),IF(AND(Data!K189&gt;(TODAY()-(Data_Val!$K$3*365.25)),Data!K189&lt;=(TODAY()-(Data_Val!$K$2*365.25))),0,1),1))</f>
        <v/>
      </c>
      <c r="L199" s="16" t="str">
        <f>IF(Data!G189="","",IF(Data!G189=Data_Val!$C$2,IF(Data!L189="",0,1),0))</f>
        <v/>
      </c>
      <c r="M199" s="16" t="str">
        <f>IF(Data!L189="","",IF(ISNUMBER(MATCH(Data!M189,Data_Val!$A$2:$A$3,0)),0,1))</f>
        <v/>
      </c>
      <c r="N199" s="43" t="str">
        <f ca="1">IF(Data!L189="","",IF(ISNUMBER(Data!N189),IF(AND(Data!N189&gt;(TODAY()-(Data_Val!$L$3*365.25)),Data!N189&lt;=(TODAY()-(Data_Val!$L$2*365.25))),0,1),1))</f>
        <v/>
      </c>
      <c r="O199" s="18" t="str">
        <f>IF(Data!$G189="","",IF(Data!$G189=Data_Val!$C$2,IF(Data!O189="",0,1),0))</f>
        <v/>
      </c>
      <c r="P199" s="18" t="str">
        <f>IF(Data!O189="","",IF(ISNUMBER(MATCH(Data!P189,Data_Val!$A$2:$A$3,0)),0,1))</f>
        <v/>
      </c>
      <c r="Q199" s="44" t="str">
        <f ca="1">IF(Data!O189="","",IF(ISNUMBER(Data!Q189),IF(AND(Data!Q189&gt;(TODAY()-(Data_Val!$L$3*365.25)),Data!Q189&lt;=(TODAY()-(Data_Val!$L$2*365.25))),0,1),1))</f>
        <v/>
      </c>
    </row>
    <row r="200" spans="1:17" ht="12" customHeight="1" x14ac:dyDescent="0.25">
      <c r="A200" s="36" t="str">
        <f>IF(Data!B190="","",IF(COUNTIFS(Data!A$1:'Data'!A190,Data!A190)&lt;=1,0,1))</f>
        <v/>
      </c>
      <c r="B200" s="36"/>
      <c r="C200" s="36" t="str">
        <f>IF(Data!C190="","",(IF(ISNUMBER(MATCH("*@*.?*",Data!C190,0)),0,1)+IF(COUNTIFS(Data!C$1:'Data'!C190,Data!C190)&gt;1,1,0)))</f>
        <v/>
      </c>
      <c r="D200" s="36" t="str">
        <f>IF(Data!B190="","",IF(ISNUMBER(Data!D190),IF(AND(Data!D190&gt;999999999,Data!D190&lt;=9999999999),IF(COUNTIFS(Data!D$1:'Data'!D190,Data!D190)&lt;=1,0,1),1),1))</f>
        <v/>
      </c>
      <c r="E200" s="36" t="str">
        <f>IF(Data!B190="","",IF(ISNUMBER(MATCH(Data!E190,Data_Val!$A$2:$A$3,0)),0,1))</f>
        <v/>
      </c>
      <c r="F200" s="36" t="str">
        <f ca="1">IF(Data!B190="","",IF(ISNUMBER(Data!F190),IF(AND(Data!F190&gt;(TODAY()-(Data_Val!$H$3*365.25)),Data!F190&lt;=(TODAY()-(Data_Val!$H$2*365.25))),0,1),1))</f>
        <v/>
      </c>
      <c r="G200" s="12" t="str">
        <f>IF(Data!B190="","",IF(AND(Data!G190="",Data!H190&lt;&gt;""),1,IF(ISNUMBER(MATCH(Data!G190,Data_Val!$C$2:$C$5,0)),0,1)))</f>
        <v/>
      </c>
      <c r="H200" s="12" t="str">
        <f>IF(Data!B190="","",IF(AND(Data!G190&lt;&gt;"",Data!H190=""),1,IF(Data!G190="",1,IF(ISNUMBER(MATCH(Data!H190,Data_Val!$D$2:$D$35,0)),0,1))))</f>
        <v/>
      </c>
      <c r="I200" s="38" t="str">
        <f>IF(Data!G190="","",IF(Data!G190=Data_Val!$C$2,IF(Data!I190="",0,1),0))</f>
        <v/>
      </c>
      <c r="J200" s="38" t="str">
        <f>IF(Data!I190="","",IF(ISNUMBER(MATCH(Data!J190,Data_Val!$A$2:$A$3,0)),0,1))</f>
        <v/>
      </c>
      <c r="K200" s="38" t="str">
        <f ca="1">IF(Data!I190="","",IF(ISNUMBER(Data!K190),IF(AND(Data!K190&gt;(TODAY()-(Data_Val!$K$3*365.25)),Data!K190&lt;=(TODAY()-(Data_Val!$K$2*365.25))),0,1),1))</f>
        <v/>
      </c>
      <c r="L200" s="16" t="str">
        <f>IF(Data!G190="","",IF(Data!G190=Data_Val!$C$2,IF(Data!L190="",0,1),0))</f>
        <v/>
      </c>
      <c r="M200" s="16" t="str">
        <f>IF(Data!L190="","",IF(ISNUMBER(MATCH(Data!M190,Data_Val!$A$2:$A$3,0)),0,1))</f>
        <v/>
      </c>
      <c r="N200" s="43" t="str">
        <f ca="1">IF(Data!L190="","",IF(ISNUMBER(Data!N190),IF(AND(Data!N190&gt;(TODAY()-(Data_Val!$L$3*365.25)),Data!N190&lt;=(TODAY()-(Data_Val!$L$2*365.25))),0,1),1))</f>
        <v/>
      </c>
      <c r="O200" s="18" t="str">
        <f>IF(Data!$G190="","",IF(Data!$G190=Data_Val!$C$2,IF(Data!O190="",0,1),0))</f>
        <v/>
      </c>
      <c r="P200" s="18" t="str">
        <f>IF(Data!O190="","",IF(ISNUMBER(MATCH(Data!P190,Data_Val!$A$2:$A$3,0)),0,1))</f>
        <v/>
      </c>
      <c r="Q200" s="44" t="str">
        <f ca="1">IF(Data!O190="","",IF(ISNUMBER(Data!Q190),IF(AND(Data!Q190&gt;(TODAY()-(Data_Val!$L$3*365.25)),Data!Q190&lt;=(TODAY()-(Data_Val!$L$2*365.25))),0,1),1))</f>
        <v/>
      </c>
    </row>
    <row r="201" spans="1:17" ht="12" customHeight="1" x14ac:dyDescent="0.25">
      <c r="A201" s="36" t="str">
        <f>IF(Data!B191="","",IF(COUNTIFS(Data!A$1:'Data'!A191,Data!A191)&lt;=1,0,1))</f>
        <v/>
      </c>
      <c r="B201" s="36"/>
      <c r="C201" s="36" t="str">
        <f>IF(Data!C191="","",(IF(ISNUMBER(MATCH("*@*.?*",Data!C191,0)),0,1)+IF(COUNTIFS(Data!C$1:'Data'!C191,Data!C191)&gt;1,1,0)))</f>
        <v/>
      </c>
      <c r="D201" s="36" t="str">
        <f>IF(Data!B191="","",IF(ISNUMBER(Data!D191),IF(AND(Data!D191&gt;999999999,Data!D191&lt;=9999999999),IF(COUNTIFS(Data!D$1:'Data'!D191,Data!D191)&lt;=1,0,1),1),1))</f>
        <v/>
      </c>
      <c r="E201" s="36" t="str">
        <f>IF(Data!B191="","",IF(ISNUMBER(MATCH(Data!E191,Data_Val!$A$2:$A$3,0)),0,1))</f>
        <v/>
      </c>
      <c r="F201" s="36" t="str">
        <f ca="1">IF(Data!B191="","",IF(ISNUMBER(Data!F191),IF(AND(Data!F191&gt;(TODAY()-(Data_Val!$H$3*365.25)),Data!F191&lt;=(TODAY()-(Data_Val!$H$2*365.25))),0,1),1))</f>
        <v/>
      </c>
      <c r="G201" s="12" t="str">
        <f>IF(Data!B191="","",IF(AND(Data!G191="",Data!H191&lt;&gt;""),1,IF(ISNUMBER(MATCH(Data!G191,Data_Val!$C$2:$C$5,0)),0,1)))</f>
        <v/>
      </c>
      <c r="H201" s="12" t="str">
        <f>IF(Data!B191="","",IF(AND(Data!G191&lt;&gt;"",Data!H191=""),1,IF(Data!G191="",1,IF(ISNUMBER(MATCH(Data!H191,Data_Val!$D$2:$D$35,0)),0,1))))</f>
        <v/>
      </c>
      <c r="I201" s="38" t="str">
        <f>IF(Data!G191="","",IF(Data!G191=Data_Val!$C$2,IF(Data!I191="",0,1),0))</f>
        <v/>
      </c>
      <c r="J201" s="38" t="str">
        <f>IF(Data!I191="","",IF(ISNUMBER(MATCH(Data!J191,Data_Val!$A$2:$A$3,0)),0,1))</f>
        <v/>
      </c>
      <c r="K201" s="38" t="str">
        <f ca="1">IF(Data!I191="","",IF(ISNUMBER(Data!K191),IF(AND(Data!K191&gt;(TODAY()-(Data_Val!$K$3*365.25)),Data!K191&lt;=(TODAY()-(Data_Val!$K$2*365.25))),0,1),1))</f>
        <v/>
      </c>
      <c r="L201" s="16" t="str">
        <f>IF(Data!G191="","",IF(Data!G191=Data_Val!$C$2,IF(Data!L191="",0,1),0))</f>
        <v/>
      </c>
      <c r="M201" s="16" t="str">
        <f>IF(Data!L191="","",IF(ISNUMBER(MATCH(Data!M191,Data_Val!$A$2:$A$3,0)),0,1))</f>
        <v/>
      </c>
      <c r="N201" s="43" t="str">
        <f ca="1">IF(Data!L191="","",IF(ISNUMBER(Data!N191),IF(AND(Data!N191&gt;(TODAY()-(Data_Val!$L$3*365.25)),Data!N191&lt;=(TODAY()-(Data_Val!$L$2*365.25))),0,1),1))</f>
        <v/>
      </c>
      <c r="O201" s="18" t="str">
        <f>IF(Data!$G191="","",IF(Data!$G191=Data_Val!$C$2,IF(Data!O191="",0,1),0))</f>
        <v/>
      </c>
      <c r="P201" s="18" t="str">
        <f>IF(Data!O191="","",IF(ISNUMBER(MATCH(Data!P191,Data_Val!$A$2:$A$3,0)),0,1))</f>
        <v/>
      </c>
      <c r="Q201" s="44" t="str">
        <f ca="1">IF(Data!O191="","",IF(ISNUMBER(Data!Q191),IF(AND(Data!Q191&gt;(TODAY()-(Data_Val!$L$3*365.25)),Data!Q191&lt;=(TODAY()-(Data_Val!$L$2*365.25))),0,1),1))</f>
        <v/>
      </c>
    </row>
    <row r="202" spans="1:17" ht="12" customHeight="1" x14ac:dyDescent="0.25">
      <c r="A202" s="36" t="str">
        <f>IF(Data!B192="","",IF(COUNTIFS(Data!A$1:'Data'!A192,Data!A192)&lt;=1,0,1))</f>
        <v/>
      </c>
      <c r="B202" s="36"/>
      <c r="C202" s="36" t="str">
        <f>IF(Data!C192="","",(IF(ISNUMBER(MATCH("*@*.?*",Data!C192,0)),0,1)+IF(COUNTIFS(Data!C$1:'Data'!C192,Data!C192)&gt;1,1,0)))</f>
        <v/>
      </c>
      <c r="D202" s="36" t="str">
        <f>IF(Data!B192="","",IF(ISNUMBER(Data!D192),IF(AND(Data!D192&gt;999999999,Data!D192&lt;=9999999999),IF(COUNTIFS(Data!D$1:'Data'!D192,Data!D192)&lt;=1,0,1),1),1))</f>
        <v/>
      </c>
      <c r="E202" s="36" t="str">
        <f>IF(Data!B192="","",IF(ISNUMBER(MATCH(Data!E192,Data_Val!$A$2:$A$3,0)),0,1))</f>
        <v/>
      </c>
      <c r="F202" s="36" t="str">
        <f ca="1">IF(Data!B192="","",IF(ISNUMBER(Data!F192),IF(AND(Data!F192&gt;(TODAY()-(Data_Val!$H$3*365.25)),Data!F192&lt;=(TODAY()-(Data_Val!$H$2*365.25))),0,1),1))</f>
        <v/>
      </c>
      <c r="G202" s="12" t="str">
        <f>IF(Data!B192="","",IF(AND(Data!G192="",Data!H192&lt;&gt;""),1,IF(ISNUMBER(MATCH(Data!G192,Data_Val!$C$2:$C$5,0)),0,1)))</f>
        <v/>
      </c>
      <c r="H202" s="12" t="str">
        <f>IF(Data!B192="","",IF(AND(Data!G192&lt;&gt;"",Data!H192=""),1,IF(Data!G192="",1,IF(ISNUMBER(MATCH(Data!H192,Data_Val!$D$2:$D$35,0)),0,1))))</f>
        <v/>
      </c>
      <c r="I202" s="38" t="str">
        <f>IF(Data!G192="","",IF(Data!G192=Data_Val!$C$2,IF(Data!I192="",0,1),0))</f>
        <v/>
      </c>
      <c r="J202" s="38" t="str">
        <f>IF(Data!I192="","",IF(ISNUMBER(MATCH(Data!J192,Data_Val!$A$2:$A$3,0)),0,1))</f>
        <v/>
      </c>
      <c r="K202" s="38" t="str">
        <f ca="1">IF(Data!I192="","",IF(ISNUMBER(Data!K192),IF(AND(Data!K192&gt;(TODAY()-(Data_Val!$K$3*365.25)),Data!K192&lt;=(TODAY()-(Data_Val!$K$2*365.25))),0,1),1))</f>
        <v/>
      </c>
      <c r="L202" s="16" t="str">
        <f>IF(Data!G192="","",IF(Data!G192=Data_Val!$C$2,IF(Data!L192="",0,1),0))</f>
        <v/>
      </c>
      <c r="M202" s="16" t="str">
        <f>IF(Data!L192="","",IF(ISNUMBER(MATCH(Data!M192,Data_Val!$A$2:$A$3,0)),0,1))</f>
        <v/>
      </c>
      <c r="N202" s="43" t="str">
        <f ca="1">IF(Data!L192="","",IF(ISNUMBER(Data!N192),IF(AND(Data!N192&gt;(TODAY()-(Data_Val!$L$3*365.25)),Data!N192&lt;=(TODAY()-(Data_Val!$L$2*365.25))),0,1),1))</f>
        <v/>
      </c>
      <c r="O202" s="18" t="str">
        <f>IF(Data!$G192="","",IF(Data!$G192=Data_Val!$C$2,IF(Data!O192="",0,1),0))</f>
        <v/>
      </c>
      <c r="P202" s="18" t="str">
        <f>IF(Data!O192="","",IF(ISNUMBER(MATCH(Data!P192,Data_Val!$A$2:$A$3,0)),0,1))</f>
        <v/>
      </c>
      <c r="Q202" s="44" t="str">
        <f ca="1">IF(Data!O192="","",IF(ISNUMBER(Data!Q192),IF(AND(Data!Q192&gt;(TODAY()-(Data_Val!$L$3*365.25)),Data!Q192&lt;=(TODAY()-(Data_Val!$L$2*365.25))),0,1),1))</f>
        <v/>
      </c>
    </row>
    <row r="203" spans="1:17" ht="12" customHeight="1" x14ac:dyDescent="0.25">
      <c r="A203" s="36" t="str">
        <f>IF(Data!B193="","",IF(COUNTIFS(Data!A$1:'Data'!A193,Data!A193)&lt;=1,0,1))</f>
        <v/>
      </c>
      <c r="B203" s="36"/>
      <c r="C203" s="36" t="str">
        <f>IF(Data!C193="","",(IF(ISNUMBER(MATCH("*@*.?*",Data!C193,0)),0,1)+IF(COUNTIFS(Data!C$1:'Data'!C193,Data!C193)&gt;1,1,0)))</f>
        <v/>
      </c>
      <c r="D203" s="36" t="str">
        <f>IF(Data!B193="","",IF(ISNUMBER(Data!D193),IF(AND(Data!D193&gt;999999999,Data!D193&lt;=9999999999),IF(COUNTIFS(Data!D$1:'Data'!D193,Data!D193)&lt;=1,0,1),1),1))</f>
        <v/>
      </c>
      <c r="E203" s="36" t="str">
        <f>IF(Data!B193="","",IF(ISNUMBER(MATCH(Data!E193,Data_Val!$A$2:$A$3,0)),0,1))</f>
        <v/>
      </c>
      <c r="F203" s="36" t="str">
        <f ca="1">IF(Data!B193="","",IF(ISNUMBER(Data!F193),IF(AND(Data!F193&gt;(TODAY()-(Data_Val!$H$3*365.25)),Data!F193&lt;=(TODAY()-(Data_Val!$H$2*365.25))),0,1),1))</f>
        <v/>
      </c>
      <c r="G203" s="12" t="str">
        <f>IF(Data!B193="","",IF(AND(Data!G193="",Data!H193&lt;&gt;""),1,IF(ISNUMBER(MATCH(Data!G193,Data_Val!$C$2:$C$5,0)),0,1)))</f>
        <v/>
      </c>
      <c r="H203" s="12" t="str">
        <f>IF(Data!B193="","",IF(AND(Data!G193&lt;&gt;"",Data!H193=""),1,IF(Data!G193="",1,IF(ISNUMBER(MATCH(Data!H193,Data_Val!$D$2:$D$35,0)),0,1))))</f>
        <v/>
      </c>
      <c r="I203" s="38" t="str">
        <f>IF(Data!G193="","",IF(Data!G193=Data_Val!$C$2,IF(Data!I193="",0,1),0))</f>
        <v/>
      </c>
      <c r="J203" s="38" t="str">
        <f>IF(Data!I193="","",IF(ISNUMBER(MATCH(Data!J193,Data_Val!$A$2:$A$3,0)),0,1))</f>
        <v/>
      </c>
      <c r="K203" s="38" t="str">
        <f ca="1">IF(Data!I193="","",IF(ISNUMBER(Data!K193),IF(AND(Data!K193&gt;(TODAY()-(Data_Val!$K$3*365.25)),Data!K193&lt;=(TODAY()-(Data_Val!$K$2*365.25))),0,1),1))</f>
        <v/>
      </c>
      <c r="L203" s="16" t="str">
        <f>IF(Data!G193="","",IF(Data!G193=Data_Val!$C$2,IF(Data!L193="",0,1),0))</f>
        <v/>
      </c>
      <c r="M203" s="16" t="str">
        <f>IF(Data!L193="","",IF(ISNUMBER(MATCH(Data!M193,Data_Val!$A$2:$A$3,0)),0,1))</f>
        <v/>
      </c>
      <c r="N203" s="43" t="str">
        <f ca="1">IF(Data!L193="","",IF(ISNUMBER(Data!N193),IF(AND(Data!N193&gt;(TODAY()-(Data_Val!$L$3*365.25)),Data!N193&lt;=(TODAY()-(Data_Val!$L$2*365.25))),0,1),1))</f>
        <v/>
      </c>
      <c r="O203" s="18" t="str">
        <f>IF(Data!$G193="","",IF(Data!$G193=Data_Val!$C$2,IF(Data!O193="",0,1),0))</f>
        <v/>
      </c>
      <c r="P203" s="18" t="str">
        <f>IF(Data!O193="","",IF(ISNUMBER(MATCH(Data!P193,Data_Val!$A$2:$A$3,0)),0,1))</f>
        <v/>
      </c>
      <c r="Q203" s="44" t="str">
        <f ca="1">IF(Data!O193="","",IF(ISNUMBER(Data!Q193),IF(AND(Data!Q193&gt;(TODAY()-(Data_Val!$L$3*365.25)),Data!Q193&lt;=(TODAY()-(Data_Val!$L$2*365.25))),0,1),1))</f>
        <v/>
      </c>
    </row>
    <row r="204" spans="1:17" ht="12" customHeight="1" x14ac:dyDescent="0.25">
      <c r="A204" s="36" t="str">
        <f>IF(Data!B194="","",IF(COUNTIFS(Data!A$1:'Data'!A194,Data!A194)&lt;=1,0,1))</f>
        <v/>
      </c>
      <c r="B204" s="36"/>
      <c r="C204" s="36" t="str">
        <f>IF(Data!C194="","",(IF(ISNUMBER(MATCH("*@*.?*",Data!C194,0)),0,1)+IF(COUNTIFS(Data!C$1:'Data'!C194,Data!C194)&gt;1,1,0)))</f>
        <v/>
      </c>
      <c r="D204" s="36" t="str">
        <f>IF(Data!B194="","",IF(ISNUMBER(Data!D194),IF(AND(Data!D194&gt;999999999,Data!D194&lt;=9999999999),IF(COUNTIFS(Data!D$1:'Data'!D194,Data!D194)&lt;=1,0,1),1),1))</f>
        <v/>
      </c>
      <c r="E204" s="36" t="str">
        <f>IF(Data!B194="","",IF(ISNUMBER(MATCH(Data!E194,Data_Val!$A$2:$A$3,0)),0,1))</f>
        <v/>
      </c>
      <c r="F204" s="36" t="str">
        <f ca="1">IF(Data!B194="","",IF(ISNUMBER(Data!F194),IF(AND(Data!F194&gt;(TODAY()-(Data_Val!$H$3*365.25)),Data!F194&lt;=(TODAY()-(Data_Val!$H$2*365.25))),0,1),1))</f>
        <v/>
      </c>
      <c r="G204" s="12" t="str">
        <f>IF(Data!B194="","",IF(AND(Data!G194="",Data!H194&lt;&gt;""),1,IF(ISNUMBER(MATCH(Data!G194,Data_Val!$C$2:$C$5,0)),0,1)))</f>
        <v/>
      </c>
      <c r="H204" s="12" t="str">
        <f>IF(Data!B194="","",IF(AND(Data!G194&lt;&gt;"",Data!H194=""),1,IF(Data!G194="",1,IF(ISNUMBER(MATCH(Data!H194,Data_Val!$D$2:$D$35,0)),0,1))))</f>
        <v/>
      </c>
      <c r="I204" s="38" t="str">
        <f>IF(Data!G194="","",IF(Data!G194=Data_Val!$C$2,IF(Data!I194="",0,1),0))</f>
        <v/>
      </c>
      <c r="J204" s="38" t="str">
        <f>IF(Data!I194="","",IF(ISNUMBER(MATCH(Data!J194,Data_Val!$A$2:$A$3,0)),0,1))</f>
        <v/>
      </c>
      <c r="K204" s="38" t="str">
        <f ca="1">IF(Data!I194="","",IF(ISNUMBER(Data!K194),IF(AND(Data!K194&gt;(TODAY()-(Data_Val!$K$3*365.25)),Data!K194&lt;=(TODAY()-(Data_Val!$K$2*365.25))),0,1),1))</f>
        <v/>
      </c>
      <c r="L204" s="16" t="str">
        <f>IF(Data!G194="","",IF(Data!G194=Data_Val!$C$2,IF(Data!L194="",0,1),0))</f>
        <v/>
      </c>
      <c r="M204" s="16" t="str">
        <f>IF(Data!L194="","",IF(ISNUMBER(MATCH(Data!M194,Data_Val!$A$2:$A$3,0)),0,1))</f>
        <v/>
      </c>
      <c r="N204" s="43" t="str">
        <f ca="1">IF(Data!L194="","",IF(ISNUMBER(Data!N194),IF(AND(Data!N194&gt;(TODAY()-(Data_Val!$L$3*365.25)),Data!N194&lt;=(TODAY()-(Data_Val!$L$2*365.25))),0,1),1))</f>
        <v/>
      </c>
      <c r="O204" s="18" t="str">
        <f>IF(Data!$G194="","",IF(Data!$G194=Data_Val!$C$2,IF(Data!O194="",0,1),0))</f>
        <v/>
      </c>
      <c r="P204" s="18" t="str">
        <f>IF(Data!O194="","",IF(ISNUMBER(MATCH(Data!P194,Data_Val!$A$2:$A$3,0)),0,1))</f>
        <v/>
      </c>
      <c r="Q204" s="44" t="str">
        <f ca="1">IF(Data!O194="","",IF(ISNUMBER(Data!Q194),IF(AND(Data!Q194&gt;(TODAY()-(Data_Val!$L$3*365.25)),Data!Q194&lt;=(TODAY()-(Data_Val!$L$2*365.25))),0,1),1))</f>
        <v/>
      </c>
    </row>
    <row r="205" spans="1:17" ht="12" customHeight="1" x14ac:dyDescent="0.25">
      <c r="A205" s="36" t="str">
        <f>IF(Data!B195="","",IF(COUNTIFS(Data!A$1:'Data'!A195,Data!A195)&lt;=1,0,1))</f>
        <v/>
      </c>
      <c r="B205" s="36"/>
      <c r="C205" s="36" t="str">
        <f>IF(Data!C195="","",(IF(ISNUMBER(MATCH("*@*.?*",Data!C195,0)),0,1)+IF(COUNTIFS(Data!C$1:'Data'!C195,Data!C195)&gt;1,1,0)))</f>
        <v/>
      </c>
      <c r="D205" s="36" t="str">
        <f>IF(Data!B195="","",IF(ISNUMBER(Data!D195),IF(AND(Data!D195&gt;999999999,Data!D195&lt;=9999999999),IF(COUNTIFS(Data!D$1:'Data'!D195,Data!D195)&lt;=1,0,1),1),1))</f>
        <v/>
      </c>
      <c r="E205" s="36" t="str">
        <f>IF(Data!B195="","",IF(ISNUMBER(MATCH(Data!E195,Data_Val!$A$2:$A$3,0)),0,1))</f>
        <v/>
      </c>
      <c r="F205" s="36" t="str">
        <f ca="1">IF(Data!B195="","",IF(ISNUMBER(Data!F195),IF(AND(Data!F195&gt;(TODAY()-(Data_Val!$H$3*365.25)),Data!F195&lt;=(TODAY()-(Data_Val!$H$2*365.25))),0,1),1))</f>
        <v/>
      </c>
      <c r="G205" s="12" t="str">
        <f>IF(Data!B195="","",IF(AND(Data!G195="",Data!H195&lt;&gt;""),1,IF(ISNUMBER(MATCH(Data!G195,Data_Val!$C$2:$C$5,0)),0,1)))</f>
        <v/>
      </c>
      <c r="H205" s="12" t="str">
        <f>IF(Data!B195="","",IF(AND(Data!G195&lt;&gt;"",Data!H195=""),1,IF(Data!G195="",1,IF(ISNUMBER(MATCH(Data!H195,Data_Val!$D$2:$D$35,0)),0,1))))</f>
        <v/>
      </c>
      <c r="I205" s="38" t="str">
        <f>IF(Data!G195="","",IF(Data!G195=Data_Val!$C$2,IF(Data!I195="",0,1),0))</f>
        <v/>
      </c>
      <c r="J205" s="38" t="str">
        <f>IF(Data!I195="","",IF(ISNUMBER(MATCH(Data!J195,Data_Val!$A$2:$A$3,0)),0,1))</f>
        <v/>
      </c>
      <c r="K205" s="38" t="str">
        <f ca="1">IF(Data!I195="","",IF(ISNUMBER(Data!K195),IF(AND(Data!K195&gt;(TODAY()-(Data_Val!$K$3*365.25)),Data!K195&lt;=(TODAY()-(Data_Val!$K$2*365.25))),0,1),1))</f>
        <v/>
      </c>
      <c r="L205" s="16" t="str">
        <f>IF(Data!G195="","",IF(Data!G195=Data_Val!$C$2,IF(Data!L195="",0,1),0))</f>
        <v/>
      </c>
      <c r="M205" s="16" t="str">
        <f>IF(Data!L195="","",IF(ISNUMBER(MATCH(Data!M195,Data_Val!$A$2:$A$3,0)),0,1))</f>
        <v/>
      </c>
      <c r="N205" s="43" t="str">
        <f ca="1">IF(Data!L195="","",IF(ISNUMBER(Data!N195),IF(AND(Data!N195&gt;(TODAY()-(Data_Val!$L$3*365.25)),Data!N195&lt;=(TODAY()-(Data_Val!$L$2*365.25))),0,1),1))</f>
        <v/>
      </c>
      <c r="O205" s="18" t="str">
        <f>IF(Data!$G195="","",IF(Data!$G195=Data_Val!$C$2,IF(Data!O195="",0,1),0))</f>
        <v/>
      </c>
      <c r="P205" s="18" t="str">
        <f>IF(Data!O195="","",IF(ISNUMBER(MATCH(Data!P195,Data_Val!$A$2:$A$3,0)),0,1))</f>
        <v/>
      </c>
      <c r="Q205" s="44" t="str">
        <f ca="1">IF(Data!O195="","",IF(ISNUMBER(Data!Q195),IF(AND(Data!Q195&gt;(TODAY()-(Data_Val!$L$3*365.25)),Data!Q195&lt;=(TODAY()-(Data_Val!$L$2*365.25))),0,1),1))</f>
        <v/>
      </c>
    </row>
    <row r="206" spans="1:17" ht="12" customHeight="1" x14ac:dyDescent="0.25">
      <c r="A206" s="36" t="str">
        <f>IF(Data!B196="","",IF(COUNTIFS(Data!A$1:'Data'!A196,Data!A196)&lt;=1,0,1))</f>
        <v/>
      </c>
      <c r="B206" s="36"/>
      <c r="C206" s="36" t="str">
        <f>IF(Data!C196="","",(IF(ISNUMBER(MATCH("*@*.?*",Data!C196,0)),0,1)+IF(COUNTIFS(Data!C$1:'Data'!C196,Data!C196)&gt;1,1,0)))</f>
        <v/>
      </c>
      <c r="D206" s="36" t="str">
        <f>IF(Data!B196="","",IF(ISNUMBER(Data!D196),IF(AND(Data!D196&gt;999999999,Data!D196&lt;=9999999999),IF(COUNTIFS(Data!D$1:'Data'!D196,Data!D196)&lt;=1,0,1),1),1))</f>
        <v/>
      </c>
      <c r="E206" s="36" t="str">
        <f>IF(Data!B196="","",IF(ISNUMBER(MATCH(Data!E196,Data_Val!$A$2:$A$3,0)),0,1))</f>
        <v/>
      </c>
      <c r="F206" s="36" t="str">
        <f ca="1">IF(Data!B196="","",IF(ISNUMBER(Data!F196),IF(AND(Data!F196&gt;(TODAY()-(Data_Val!$H$3*365.25)),Data!F196&lt;=(TODAY()-(Data_Val!$H$2*365.25))),0,1),1))</f>
        <v/>
      </c>
      <c r="G206" s="12" t="str">
        <f>IF(Data!B196="","",IF(AND(Data!G196="",Data!H196&lt;&gt;""),1,IF(ISNUMBER(MATCH(Data!G196,Data_Val!$C$2:$C$5,0)),0,1)))</f>
        <v/>
      </c>
      <c r="H206" s="12" t="str">
        <f>IF(Data!B196="","",IF(AND(Data!G196&lt;&gt;"",Data!H196=""),1,IF(Data!G196="",1,IF(ISNUMBER(MATCH(Data!H196,Data_Val!$D$2:$D$35,0)),0,1))))</f>
        <v/>
      </c>
      <c r="I206" s="38" t="str">
        <f>IF(Data!G196="","",IF(Data!G196=Data_Val!$C$2,IF(Data!I196="",0,1),0))</f>
        <v/>
      </c>
      <c r="J206" s="38" t="str">
        <f>IF(Data!I196="","",IF(ISNUMBER(MATCH(Data!J196,Data_Val!$A$2:$A$3,0)),0,1))</f>
        <v/>
      </c>
      <c r="K206" s="38" t="str">
        <f ca="1">IF(Data!I196="","",IF(ISNUMBER(Data!K196),IF(AND(Data!K196&gt;(TODAY()-(Data_Val!$K$3*365.25)),Data!K196&lt;=(TODAY()-(Data_Val!$K$2*365.25))),0,1),1))</f>
        <v/>
      </c>
      <c r="L206" s="16" t="str">
        <f>IF(Data!G196="","",IF(Data!G196=Data_Val!$C$2,IF(Data!L196="",0,1),0))</f>
        <v/>
      </c>
      <c r="M206" s="16" t="str">
        <f>IF(Data!L196="","",IF(ISNUMBER(MATCH(Data!M196,Data_Val!$A$2:$A$3,0)),0,1))</f>
        <v/>
      </c>
      <c r="N206" s="43" t="str">
        <f ca="1">IF(Data!L196="","",IF(ISNUMBER(Data!N196),IF(AND(Data!N196&gt;(TODAY()-(Data_Val!$L$3*365.25)),Data!N196&lt;=(TODAY()-(Data_Val!$L$2*365.25))),0,1),1))</f>
        <v/>
      </c>
      <c r="O206" s="18" t="str">
        <f>IF(Data!$G196="","",IF(Data!$G196=Data_Val!$C$2,IF(Data!O196="",0,1),0))</f>
        <v/>
      </c>
      <c r="P206" s="18" t="str">
        <f>IF(Data!O196="","",IF(ISNUMBER(MATCH(Data!P196,Data_Val!$A$2:$A$3,0)),0,1))</f>
        <v/>
      </c>
      <c r="Q206" s="44" t="str">
        <f ca="1">IF(Data!O196="","",IF(ISNUMBER(Data!Q196),IF(AND(Data!Q196&gt;(TODAY()-(Data_Val!$L$3*365.25)),Data!Q196&lt;=(TODAY()-(Data_Val!$L$2*365.25))),0,1),1))</f>
        <v/>
      </c>
    </row>
    <row r="207" spans="1:17" ht="12" customHeight="1" x14ac:dyDescent="0.25">
      <c r="A207" s="36" t="str">
        <f>IF(Data!B197="","",IF(COUNTIFS(Data!A$1:'Data'!A197,Data!A197)&lt;=1,0,1))</f>
        <v/>
      </c>
      <c r="B207" s="36"/>
      <c r="C207" s="36" t="str">
        <f>IF(Data!C197="","",(IF(ISNUMBER(MATCH("*@*.?*",Data!C197,0)),0,1)+IF(COUNTIFS(Data!C$1:'Data'!C197,Data!C197)&gt;1,1,0)))</f>
        <v/>
      </c>
      <c r="D207" s="36" t="str">
        <f>IF(Data!B197="","",IF(ISNUMBER(Data!D197),IF(AND(Data!D197&gt;999999999,Data!D197&lt;=9999999999),IF(COUNTIFS(Data!D$1:'Data'!D197,Data!D197)&lt;=1,0,1),1),1))</f>
        <v/>
      </c>
      <c r="E207" s="36" t="str">
        <f>IF(Data!B197="","",IF(ISNUMBER(MATCH(Data!E197,Data_Val!$A$2:$A$3,0)),0,1))</f>
        <v/>
      </c>
      <c r="F207" s="36" t="str">
        <f ca="1">IF(Data!B197="","",IF(ISNUMBER(Data!F197),IF(AND(Data!F197&gt;(TODAY()-(Data_Val!$H$3*365.25)),Data!F197&lt;=(TODAY()-(Data_Val!$H$2*365.25))),0,1),1))</f>
        <v/>
      </c>
      <c r="G207" s="12" t="str">
        <f>IF(Data!B197="","",IF(AND(Data!G197="",Data!H197&lt;&gt;""),1,IF(ISNUMBER(MATCH(Data!G197,Data_Val!$C$2:$C$5,0)),0,1)))</f>
        <v/>
      </c>
      <c r="H207" s="12" t="str">
        <f>IF(Data!B197="","",IF(AND(Data!G197&lt;&gt;"",Data!H197=""),1,IF(Data!G197="",1,IF(ISNUMBER(MATCH(Data!H197,Data_Val!$D$2:$D$35,0)),0,1))))</f>
        <v/>
      </c>
      <c r="I207" s="38" t="str">
        <f>IF(Data!G197="","",IF(Data!G197=Data_Val!$C$2,IF(Data!I197="",0,1),0))</f>
        <v/>
      </c>
      <c r="J207" s="38" t="str">
        <f>IF(Data!I197="","",IF(ISNUMBER(MATCH(Data!J197,Data_Val!$A$2:$A$3,0)),0,1))</f>
        <v/>
      </c>
      <c r="K207" s="38" t="str">
        <f ca="1">IF(Data!I197="","",IF(ISNUMBER(Data!K197),IF(AND(Data!K197&gt;(TODAY()-(Data_Val!$K$3*365.25)),Data!K197&lt;=(TODAY()-(Data_Val!$K$2*365.25))),0,1),1))</f>
        <v/>
      </c>
      <c r="L207" s="16" t="str">
        <f>IF(Data!G197="","",IF(Data!G197=Data_Val!$C$2,IF(Data!L197="",0,1),0))</f>
        <v/>
      </c>
      <c r="M207" s="16" t="str">
        <f>IF(Data!L197="","",IF(ISNUMBER(MATCH(Data!M197,Data_Val!$A$2:$A$3,0)),0,1))</f>
        <v/>
      </c>
      <c r="N207" s="43" t="str">
        <f ca="1">IF(Data!L197="","",IF(ISNUMBER(Data!N197),IF(AND(Data!N197&gt;(TODAY()-(Data_Val!$L$3*365.25)),Data!N197&lt;=(TODAY()-(Data_Val!$L$2*365.25))),0,1),1))</f>
        <v/>
      </c>
      <c r="O207" s="18" t="str">
        <f>IF(Data!$G197="","",IF(Data!$G197=Data_Val!$C$2,IF(Data!O197="",0,1),0))</f>
        <v/>
      </c>
      <c r="P207" s="18" t="str">
        <f>IF(Data!O197="","",IF(ISNUMBER(MATCH(Data!P197,Data_Val!$A$2:$A$3,0)),0,1))</f>
        <v/>
      </c>
      <c r="Q207" s="44" t="str">
        <f ca="1">IF(Data!O197="","",IF(ISNUMBER(Data!Q197),IF(AND(Data!Q197&gt;(TODAY()-(Data_Val!$L$3*365.25)),Data!Q197&lt;=(TODAY()-(Data_Val!$L$2*365.25))),0,1),1))</f>
        <v/>
      </c>
    </row>
    <row r="208" spans="1:17" ht="12" customHeight="1" x14ac:dyDescent="0.25">
      <c r="A208" s="36" t="str">
        <f>IF(Data!B198="","",IF(COUNTIFS(Data!A$1:'Data'!A198,Data!A198)&lt;=1,0,1))</f>
        <v/>
      </c>
      <c r="B208" s="36"/>
      <c r="C208" s="36" t="str">
        <f>IF(Data!C198="","",(IF(ISNUMBER(MATCH("*@*.?*",Data!C198,0)),0,1)+IF(COUNTIFS(Data!C$1:'Data'!C198,Data!C198)&gt;1,1,0)))</f>
        <v/>
      </c>
      <c r="D208" s="36" t="str">
        <f>IF(Data!B198="","",IF(ISNUMBER(Data!D198),IF(AND(Data!D198&gt;999999999,Data!D198&lt;=9999999999),IF(COUNTIFS(Data!D$1:'Data'!D198,Data!D198)&lt;=1,0,1),1),1))</f>
        <v/>
      </c>
      <c r="E208" s="36" t="str">
        <f>IF(Data!B198="","",IF(ISNUMBER(MATCH(Data!E198,Data_Val!$A$2:$A$3,0)),0,1))</f>
        <v/>
      </c>
      <c r="F208" s="36" t="str">
        <f ca="1">IF(Data!B198="","",IF(ISNUMBER(Data!F198),IF(AND(Data!F198&gt;(TODAY()-(Data_Val!$H$3*365.25)),Data!F198&lt;=(TODAY()-(Data_Val!$H$2*365.25))),0,1),1))</f>
        <v/>
      </c>
      <c r="G208" s="12" t="str">
        <f>IF(Data!B198="","",IF(AND(Data!G198="",Data!H198&lt;&gt;""),1,IF(ISNUMBER(MATCH(Data!G198,Data_Val!$C$2:$C$5,0)),0,1)))</f>
        <v/>
      </c>
      <c r="H208" s="12" t="str">
        <f>IF(Data!B198="","",IF(AND(Data!G198&lt;&gt;"",Data!H198=""),1,IF(Data!G198="",1,IF(ISNUMBER(MATCH(Data!H198,Data_Val!$D$2:$D$35,0)),0,1))))</f>
        <v/>
      </c>
      <c r="I208" s="38" t="str">
        <f>IF(Data!G198="","",IF(Data!G198=Data_Val!$C$2,IF(Data!I198="",0,1),0))</f>
        <v/>
      </c>
      <c r="J208" s="38" t="str">
        <f>IF(Data!I198="","",IF(ISNUMBER(MATCH(Data!J198,Data_Val!$A$2:$A$3,0)),0,1))</f>
        <v/>
      </c>
      <c r="K208" s="38" t="str">
        <f ca="1">IF(Data!I198="","",IF(ISNUMBER(Data!K198),IF(AND(Data!K198&gt;(TODAY()-(Data_Val!$K$3*365.25)),Data!K198&lt;=(TODAY()-(Data_Val!$K$2*365.25))),0,1),1))</f>
        <v/>
      </c>
      <c r="L208" s="16" t="str">
        <f>IF(Data!G198="","",IF(Data!G198=Data_Val!$C$2,IF(Data!L198="",0,1),0))</f>
        <v/>
      </c>
      <c r="M208" s="16" t="str">
        <f>IF(Data!L198="","",IF(ISNUMBER(MATCH(Data!M198,Data_Val!$A$2:$A$3,0)),0,1))</f>
        <v/>
      </c>
      <c r="N208" s="43" t="str">
        <f ca="1">IF(Data!L198="","",IF(ISNUMBER(Data!N198),IF(AND(Data!N198&gt;(TODAY()-(Data_Val!$L$3*365.25)),Data!N198&lt;=(TODAY()-(Data_Val!$L$2*365.25))),0,1),1))</f>
        <v/>
      </c>
      <c r="O208" s="18" t="str">
        <f>IF(Data!$G198="","",IF(Data!$G198=Data_Val!$C$2,IF(Data!O198="",0,1),0))</f>
        <v/>
      </c>
      <c r="P208" s="18" t="str">
        <f>IF(Data!O198="","",IF(ISNUMBER(MATCH(Data!P198,Data_Val!$A$2:$A$3,0)),0,1))</f>
        <v/>
      </c>
      <c r="Q208" s="44" t="str">
        <f ca="1">IF(Data!O198="","",IF(ISNUMBER(Data!Q198),IF(AND(Data!Q198&gt;(TODAY()-(Data_Val!$L$3*365.25)),Data!Q198&lt;=(TODAY()-(Data_Val!$L$2*365.25))),0,1),1))</f>
        <v/>
      </c>
    </row>
    <row r="209" spans="1:17" ht="12" customHeight="1" x14ac:dyDescent="0.25">
      <c r="A209" s="36" t="str">
        <f>IF(Data!B199="","",IF(COUNTIFS(Data!A$1:'Data'!A199,Data!A199)&lt;=1,0,1))</f>
        <v/>
      </c>
      <c r="B209" s="36"/>
      <c r="C209" s="36" t="str">
        <f>IF(Data!C199="","",(IF(ISNUMBER(MATCH("*@*.?*",Data!C199,0)),0,1)+IF(COUNTIFS(Data!C$1:'Data'!C199,Data!C199)&gt;1,1,0)))</f>
        <v/>
      </c>
      <c r="D209" s="36" t="str">
        <f>IF(Data!B199="","",IF(ISNUMBER(Data!D199),IF(AND(Data!D199&gt;999999999,Data!D199&lt;=9999999999),IF(COUNTIFS(Data!D$1:'Data'!D199,Data!D199)&lt;=1,0,1),1),1))</f>
        <v/>
      </c>
      <c r="E209" s="36" t="str">
        <f>IF(Data!B199="","",IF(ISNUMBER(MATCH(Data!E199,Data_Val!$A$2:$A$3,0)),0,1))</f>
        <v/>
      </c>
      <c r="F209" s="36" t="str">
        <f ca="1">IF(Data!B199="","",IF(ISNUMBER(Data!F199),IF(AND(Data!F199&gt;(TODAY()-(Data_Val!$H$3*365.25)),Data!F199&lt;=(TODAY()-(Data_Val!$H$2*365.25))),0,1),1))</f>
        <v/>
      </c>
      <c r="G209" s="12" t="str">
        <f>IF(Data!B199="","",IF(AND(Data!G199="",Data!H199&lt;&gt;""),1,IF(ISNUMBER(MATCH(Data!G199,Data_Val!$C$2:$C$5,0)),0,1)))</f>
        <v/>
      </c>
      <c r="H209" s="12" t="str">
        <f>IF(Data!B199="","",IF(AND(Data!G199&lt;&gt;"",Data!H199=""),1,IF(Data!G199="",1,IF(ISNUMBER(MATCH(Data!H199,Data_Val!$D$2:$D$35,0)),0,1))))</f>
        <v/>
      </c>
      <c r="I209" s="38" t="str">
        <f>IF(Data!G199="","",IF(Data!G199=Data_Val!$C$2,IF(Data!I199="",0,1),0))</f>
        <v/>
      </c>
      <c r="J209" s="38" t="str">
        <f>IF(Data!I199="","",IF(ISNUMBER(MATCH(Data!J199,Data_Val!$A$2:$A$3,0)),0,1))</f>
        <v/>
      </c>
      <c r="K209" s="38" t="str">
        <f ca="1">IF(Data!I199="","",IF(ISNUMBER(Data!K199),IF(AND(Data!K199&gt;(TODAY()-(Data_Val!$K$3*365.25)),Data!K199&lt;=(TODAY()-(Data_Val!$K$2*365.25))),0,1),1))</f>
        <v/>
      </c>
      <c r="L209" s="16" t="str">
        <f>IF(Data!G199="","",IF(Data!G199=Data_Val!$C$2,IF(Data!L199="",0,1),0))</f>
        <v/>
      </c>
      <c r="M209" s="16" t="str">
        <f>IF(Data!L199="","",IF(ISNUMBER(MATCH(Data!M199,Data_Val!$A$2:$A$3,0)),0,1))</f>
        <v/>
      </c>
      <c r="N209" s="43" t="str">
        <f ca="1">IF(Data!L199="","",IF(ISNUMBER(Data!N199),IF(AND(Data!N199&gt;(TODAY()-(Data_Val!$L$3*365.25)),Data!N199&lt;=(TODAY()-(Data_Val!$L$2*365.25))),0,1),1))</f>
        <v/>
      </c>
      <c r="O209" s="18" t="str">
        <f>IF(Data!$G199="","",IF(Data!$G199=Data_Val!$C$2,IF(Data!O199="",0,1),0))</f>
        <v/>
      </c>
      <c r="P209" s="18" t="str">
        <f>IF(Data!O199="","",IF(ISNUMBER(MATCH(Data!P199,Data_Val!$A$2:$A$3,0)),0,1))</f>
        <v/>
      </c>
      <c r="Q209" s="44" t="str">
        <f ca="1">IF(Data!O199="","",IF(ISNUMBER(Data!Q199),IF(AND(Data!Q199&gt;(TODAY()-(Data_Val!$L$3*365.25)),Data!Q199&lt;=(TODAY()-(Data_Val!$L$2*365.25))),0,1),1))</f>
        <v/>
      </c>
    </row>
    <row r="210" spans="1:17" ht="12" customHeight="1" x14ac:dyDescent="0.25">
      <c r="A210" s="36" t="str">
        <f>IF(Data!B200="","",IF(COUNTIFS(Data!A$1:'Data'!A200,Data!A200)&lt;=1,0,1))</f>
        <v/>
      </c>
      <c r="B210" s="36"/>
      <c r="C210" s="36" t="str">
        <f>IF(Data!C200="","",(IF(ISNUMBER(MATCH("*@*.?*",Data!C200,0)),0,1)+IF(COUNTIFS(Data!C$1:'Data'!C200,Data!C200)&gt;1,1,0)))</f>
        <v/>
      </c>
      <c r="D210" s="36" t="str">
        <f>IF(Data!B200="","",IF(ISNUMBER(Data!D200),IF(AND(Data!D200&gt;999999999,Data!D200&lt;=9999999999),IF(COUNTIFS(Data!D$1:'Data'!D200,Data!D200)&lt;=1,0,1),1),1))</f>
        <v/>
      </c>
      <c r="E210" s="36" t="str">
        <f>IF(Data!B200="","",IF(ISNUMBER(MATCH(Data!E200,Data_Val!$A$2:$A$3,0)),0,1))</f>
        <v/>
      </c>
      <c r="F210" s="36" t="str">
        <f ca="1">IF(Data!B200="","",IF(ISNUMBER(Data!F200),IF(AND(Data!F200&gt;(TODAY()-(Data_Val!$H$3*365.25)),Data!F200&lt;=(TODAY()-(Data_Val!$H$2*365.25))),0,1),1))</f>
        <v/>
      </c>
      <c r="G210" s="12" t="str">
        <f>IF(Data!B200="","",IF(AND(Data!G200="",Data!H200&lt;&gt;""),1,IF(ISNUMBER(MATCH(Data!G200,Data_Val!$C$2:$C$5,0)),0,1)))</f>
        <v/>
      </c>
      <c r="H210" s="12" t="str">
        <f>IF(Data!B200="","",IF(AND(Data!G200&lt;&gt;"",Data!H200=""),1,IF(Data!G200="",1,IF(ISNUMBER(MATCH(Data!H200,Data_Val!$D$2:$D$35,0)),0,1))))</f>
        <v/>
      </c>
      <c r="I210" s="38" t="str">
        <f>IF(Data!G200="","",IF(Data!G200=Data_Val!$C$2,IF(Data!I200="",0,1),0))</f>
        <v/>
      </c>
      <c r="J210" s="38" t="str">
        <f>IF(Data!I200="","",IF(ISNUMBER(MATCH(Data!J200,Data_Val!$A$2:$A$3,0)),0,1))</f>
        <v/>
      </c>
      <c r="K210" s="38" t="str">
        <f ca="1">IF(Data!I200="","",IF(ISNUMBER(Data!K200),IF(AND(Data!K200&gt;(TODAY()-(Data_Val!$K$3*365.25)),Data!K200&lt;=(TODAY()-(Data_Val!$K$2*365.25))),0,1),1))</f>
        <v/>
      </c>
      <c r="L210" s="16" t="str">
        <f>IF(Data!G200="","",IF(Data!G200=Data_Val!$C$2,IF(Data!L200="",0,1),0))</f>
        <v/>
      </c>
      <c r="M210" s="16" t="str">
        <f>IF(Data!L200="","",IF(ISNUMBER(MATCH(Data!M200,Data_Val!$A$2:$A$3,0)),0,1))</f>
        <v/>
      </c>
      <c r="N210" s="43" t="str">
        <f ca="1">IF(Data!L200="","",IF(ISNUMBER(Data!N200),IF(AND(Data!N200&gt;(TODAY()-(Data_Val!$L$3*365.25)),Data!N200&lt;=(TODAY()-(Data_Val!$L$2*365.25))),0,1),1))</f>
        <v/>
      </c>
      <c r="O210" s="18" t="str">
        <f>IF(Data!$G200="","",IF(Data!$G200=Data_Val!$C$2,IF(Data!O200="",0,1),0))</f>
        <v/>
      </c>
      <c r="P210" s="18" t="str">
        <f>IF(Data!O200="","",IF(ISNUMBER(MATCH(Data!P200,Data_Val!$A$2:$A$3,0)),0,1))</f>
        <v/>
      </c>
      <c r="Q210" s="44" t="str">
        <f ca="1">IF(Data!O200="","",IF(ISNUMBER(Data!Q200),IF(AND(Data!Q200&gt;(TODAY()-(Data_Val!$L$3*365.25)),Data!Q200&lt;=(TODAY()-(Data_Val!$L$2*365.25))),0,1),1))</f>
        <v/>
      </c>
    </row>
    <row r="211" spans="1:17" ht="12" customHeight="1" x14ac:dyDescent="0.25">
      <c r="A211" s="36" t="str">
        <f>IF(Data!B201="","",IF(COUNTIFS(Data!A$1:'Data'!A201,Data!A201)&lt;=1,0,1))</f>
        <v/>
      </c>
      <c r="B211" s="36"/>
      <c r="C211" s="36" t="str">
        <f>IF(Data!C201="","",(IF(ISNUMBER(MATCH("*@*.?*",Data!C201,0)),0,1)+IF(COUNTIFS(Data!C$1:'Data'!C201,Data!C201)&gt;1,1,0)))</f>
        <v/>
      </c>
      <c r="D211" s="36" t="str">
        <f>IF(Data!B201="","",IF(ISNUMBER(Data!D201),IF(AND(Data!D201&gt;999999999,Data!D201&lt;=9999999999),IF(COUNTIFS(Data!D$1:'Data'!D201,Data!D201)&lt;=1,0,1),1),1))</f>
        <v/>
      </c>
      <c r="E211" s="36" t="str">
        <f>IF(Data!B201="","",IF(ISNUMBER(MATCH(Data!E201,Data_Val!$A$2:$A$3,0)),0,1))</f>
        <v/>
      </c>
      <c r="F211" s="36" t="str">
        <f ca="1">IF(Data!B201="","",IF(ISNUMBER(Data!F201),IF(AND(Data!F201&gt;(TODAY()-(Data_Val!$H$3*365.25)),Data!F201&lt;=(TODAY()-(Data_Val!$H$2*365.25))),0,1),1))</f>
        <v/>
      </c>
      <c r="G211" s="12" t="str">
        <f>IF(Data!B201="","",IF(AND(Data!G201="",Data!H201&lt;&gt;""),1,IF(ISNUMBER(MATCH(Data!G201,Data_Val!$C$2:$C$5,0)),0,1)))</f>
        <v/>
      </c>
      <c r="H211" s="12" t="str">
        <f>IF(Data!B201="","",IF(AND(Data!G201&lt;&gt;"",Data!H201=""),1,IF(Data!G201="",1,IF(ISNUMBER(MATCH(Data!H201,Data_Val!$D$2:$D$35,0)),0,1))))</f>
        <v/>
      </c>
      <c r="I211" s="38" t="str">
        <f>IF(Data!G201="","",IF(Data!G201=Data_Val!$C$2,IF(Data!I201="",0,1),0))</f>
        <v/>
      </c>
      <c r="J211" s="38" t="str">
        <f>IF(Data!I201="","",IF(ISNUMBER(MATCH(Data!J201,Data_Val!$A$2:$A$3,0)),0,1))</f>
        <v/>
      </c>
      <c r="K211" s="38" t="str">
        <f ca="1">IF(Data!I201="","",IF(ISNUMBER(Data!K201),IF(AND(Data!K201&gt;(TODAY()-(Data_Val!$K$3*365.25)),Data!K201&lt;=(TODAY()-(Data_Val!$K$2*365.25))),0,1),1))</f>
        <v/>
      </c>
      <c r="L211" s="16" t="str">
        <f>IF(Data!G201="","",IF(Data!G201=Data_Val!$C$2,IF(Data!L201="",0,1),0))</f>
        <v/>
      </c>
      <c r="M211" s="16" t="str">
        <f>IF(Data!L201="","",IF(ISNUMBER(MATCH(Data!M201,Data_Val!$A$2:$A$3,0)),0,1))</f>
        <v/>
      </c>
      <c r="N211" s="43" t="str">
        <f ca="1">IF(Data!L201="","",IF(ISNUMBER(Data!N201),IF(AND(Data!N201&gt;(TODAY()-(Data_Val!$L$3*365.25)),Data!N201&lt;=(TODAY()-(Data_Val!$L$2*365.25))),0,1),1))</f>
        <v/>
      </c>
      <c r="O211" s="18" t="str">
        <f>IF(Data!$G201="","",IF(Data!$G201=Data_Val!$C$2,IF(Data!O201="",0,1),0))</f>
        <v/>
      </c>
      <c r="P211" s="18" t="str">
        <f>IF(Data!O201="","",IF(ISNUMBER(MATCH(Data!P201,Data_Val!$A$2:$A$3,0)),0,1))</f>
        <v/>
      </c>
      <c r="Q211" s="44" t="str">
        <f ca="1">IF(Data!O201="","",IF(ISNUMBER(Data!Q201),IF(AND(Data!Q201&gt;(TODAY()-(Data_Val!$L$3*365.25)),Data!Q201&lt;=(TODAY()-(Data_Val!$L$2*365.25))),0,1),1))</f>
        <v/>
      </c>
    </row>
    <row r="212" spans="1:17" ht="12" customHeight="1" x14ac:dyDescent="0.25">
      <c r="A212" s="36" t="str">
        <f>IF(Data!B202="","",IF(COUNTIFS(Data!A$1:'Data'!A202,Data!A202)&lt;=1,0,1))</f>
        <v/>
      </c>
      <c r="B212" s="36"/>
      <c r="C212" s="36" t="str">
        <f>IF(Data!C202="","",(IF(ISNUMBER(MATCH("*@*.?*",Data!C202,0)),0,1)+IF(COUNTIFS(Data!C$1:'Data'!C202,Data!C202)&gt;1,1,0)))</f>
        <v/>
      </c>
      <c r="D212" s="36" t="str">
        <f>IF(Data!B202="","",IF(ISNUMBER(Data!D202),IF(AND(Data!D202&gt;999999999,Data!D202&lt;=9999999999),IF(COUNTIFS(Data!D$1:'Data'!D202,Data!D202)&lt;=1,0,1),1),1))</f>
        <v/>
      </c>
      <c r="E212" s="36" t="str">
        <f>IF(Data!B202="","",IF(ISNUMBER(MATCH(Data!E202,Data_Val!$A$2:$A$3,0)),0,1))</f>
        <v/>
      </c>
      <c r="F212" s="36" t="str">
        <f ca="1">IF(Data!B202="","",IF(ISNUMBER(Data!F202),IF(AND(Data!F202&gt;(TODAY()-(Data_Val!$H$3*365.25)),Data!F202&lt;=(TODAY()-(Data_Val!$H$2*365.25))),0,1),1))</f>
        <v/>
      </c>
      <c r="G212" s="12" t="str">
        <f>IF(Data!B202="","",IF(AND(Data!G202="",Data!H202&lt;&gt;""),1,IF(ISNUMBER(MATCH(Data!G202,Data_Val!$C$2:$C$5,0)),0,1)))</f>
        <v/>
      </c>
      <c r="H212" s="12" t="str">
        <f>IF(Data!B202="","",IF(AND(Data!G202&lt;&gt;"",Data!H202=""),1,IF(Data!G202="",1,IF(ISNUMBER(MATCH(Data!H202,Data_Val!$D$2:$D$35,0)),0,1))))</f>
        <v/>
      </c>
      <c r="I212" s="38" t="str">
        <f>IF(Data!G202="","",IF(Data!G202=Data_Val!$C$2,IF(Data!I202="",0,1),0))</f>
        <v/>
      </c>
      <c r="J212" s="38" t="str">
        <f>IF(Data!I202="","",IF(ISNUMBER(MATCH(Data!J202,Data_Val!$A$2:$A$3,0)),0,1))</f>
        <v/>
      </c>
      <c r="K212" s="38" t="str">
        <f ca="1">IF(Data!I202="","",IF(ISNUMBER(Data!K202),IF(AND(Data!K202&gt;(TODAY()-(Data_Val!$K$3*365.25)),Data!K202&lt;=(TODAY()-(Data_Val!$K$2*365.25))),0,1),1))</f>
        <v/>
      </c>
      <c r="L212" s="16" t="str">
        <f>IF(Data!G202="","",IF(Data!G202=Data_Val!$C$2,IF(Data!L202="",0,1),0))</f>
        <v/>
      </c>
      <c r="M212" s="16" t="str">
        <f>IF(Data!L202="","",IF(ISNUMBER(MATCH(Data!M202,Data_Val!$A$2:$A$3,0)),0,1))</f>
        <v/>
      </c>
      <c r="N212" s="43" t="str">
        <f ca="1">IF(Data!L202="","",IF(ISNUMBER(Data!N202),IF(AND(Data!N202&gt;(TODAY()-(Data_Val!$L$3*365.25)),Data!N202&lt;=(TODAY()-(Data_Val!$L$2*365.25))),0,1),1))</f>
        <v/>
      </c>
      <c r="O212" s="18" t="str">
        <f>IF(Data!$G202="","",IF(Data!$G202=Data_Val!$C$2,IF(Data!O202="",0,1),0))</f>
        <v/>
      </c>
      <c r="P212" s="18" t="str">
        <f>IF(Data!O202="","",IF(ISNUMBER(MATCH(Data!P202,Data_Val!$A$2:$A$3,0)),0,1))</f>
        <v/>
      </c>
      <c r="Q212" s="44" t="str">
        <f ca="1">IF(Data!O202="","",IF(ISNUMBER(Data!Q202),IF(AND(Data!Q202&gt;(TODAY()-(Data_Val!$L$3*365.25)),Data!Q202&lt;=(TODAY()-(Data_Val!$L$2*365.25))),0,1),1))</f>
        <v/>
      </c>
    </row>
    <row r="213" spans="1:17" ht="12" customHeight="1" x14ac:dyDescent="0.25">
      <c r="A213" s="36" t="str">
        <f>IF(Data!B203="","",IF(COUNTIFS(Data!A$1:'Data'!A203,Data!A203)&lt;=1,0,1))</f>
        <v/>
      </c>
      <c r="B213" s="36"/>
      <c r="C213" s="36" t="str">
        <f>IF(Data!C203="","",(IF(ISNUMBER(MATCH("*@*.?*",Data!C203,0)),0,1)+IF(COUNTIFS(Data!C$1:'Data'!C203,Data!C203)&gt;1,1,0)))</f>
        <v/>
      </c>
      <c r="D213" s="36" t="str">
        <f>IF(Data!B203="","",IF(ISNUMBER(Data!D203),IF(AND(Data!D203&gt;999999999,Data!D203&lt;=9999999999),IF(COUNTIFS(Data!D$1:'Data'!D203,Data!D203)&lt;=1,0,1),1),1))</f>
        <v/>
      </c>
      <c r="E213" s="36" t="str">
        <f>IF(Data!B203="","",IF(ISNUMBER(MATCH(Data!E203,Data_Val!$A$2:$A$3,0)),0,1))</f>
        <v/>
      </c>
      <c r="F213" s="36" t="str">
        <f ca="1">IF(Data!B203="","",IF(ISNUMBER(Data!F203),IF(AND(Data!F203&gt;(TODAY()-(Data_Val!$H$3*365.25)),Data!F203&lt;=(TODAY()-(Data_Val!$H$2*365.25))),0,1),1))</f>
        <v/>
      </c>
      <c r="G213" s="12" t="str">
        <f>IF(Data!B203="","",IF(AND(Data!G203="",Data!H203&lt;&gt;""),1,IF(ISNUMBER(MATCH(Data!G203,Data_Val!$C$2:$C$5,0)),0,1)))</f>
        <v/>
      </c>
      <c r="H213" s="12" t="str">
        <f>IF(Data!B203="","",IF(AND(Data!G203&lt;&gt;"",Data!H203=""),1,IF(Data!G203="",1,IF(ISNUMBER(MATCH(Data!H203,Data_Val!$D$2:$D$35,0)),0,1))))</f>
        <v/>
      </c>
      <c r="I213" s="38" t="str">
        <f>IF(Data!G203="","",IF(Data!G203=Data_Val!$C$2,IF(Data!I203="",0,1),0))</f>
        <v/>
      </c>
      <c r="J213" s="38" t="str">
        <f>IF(Data!I203="","",IF(ISNUMBER(MATCH(Data!J203,Data_Val!$A$2:$A$3,0)),0,1))</f>
        <v/>
      </c>
      <c r="K213" s="38" t="str">
        <f ca="1">IF(Data!I203="","",IF(ISNUMBER(Data!K203),IF(AND(Data!K203&gt;(TODAY()-(Data_Val!$K$3*365.25)),Data!K203&lt;=(TODAY()-(Data_Val!$K$2*365.25))),0,1),1))</f>
        <v/>
      </c>
      <c r="L213" s="16" t="str">
        <f>IF(Data!G203="","",IF(Data!G203=Data_Val!$C$2,IF(Data!L203="",0,1),0))</f>
        <v/>
      </c>
      <c r="M213" s="16" t="str">
        <f>IF(Data!L203="","",IF(ISNUMBER(MATCH(Data!M203,Data_Val!$A$2:$A$3,0)),0,1))</f>
        <v/>
      </c>
      <c r="N213" s="43" t="str">
        <f ca="1">IF(Data!L203="","",IF(ISNUMBER(Data!N203),IF(AND(Data!N203&gt;(TODAY()-(Data_Val!$L$3*365.25)),Data!N203&lt;=(TODAY()-(Data_Val!$L$2*365.25))),0,1),1))</f>
        <v/>
      </c>
      <c r="O213" s="18" t="str">
        <f>IF(Data!$G203="","",IF(Data!$G203=Data_Val!$C$2,IF(Data!O203="",0,1),0))</f>
        <v/>
      </c>
      <c r="P213" s="18" t="str">
        <f>IF(Data!O203="","",IF(ISNUMBER(MATCH(Data!P203,Data_Val!$A$2:$A$3,0)),0,1))</f>
        <v/>
      </c>
      <c r="Q213" s="44" t="str">
        <f ca="1">IF(Data!O203="","",IF(ISNUMBER(Data!Q203),IF(AND(Data!Q203&gt;(TODAY()-(Data_Val!$L$3*365.25)),Data!Q203&lt;=(TODAY()-(Data_Val!$L$2*365.25))),0,1),1))</f>
        <v/>
      </c>
    </row>
    <row r="214" spans="1:17" ht="12" customHeight="1" x14ac:dyDescent="0.25">
      <c r="A214" s="36" t="str">
        <f>IF(Data!B204="","",IF(COUNTIFS(Data!A$1:'Data'!A204,Data!A204)&lt;=1,0,1))</f>
        <v/>
      </c>
      <c r="B214" s="36"/>
      <c r="C214" s="36" t="str">
        <f>IF(Data!C204="","",(IF(ISNUMBER(MATCH("*@*.?*",Data!C204,0)),0,1)+IF(COUNTIFS(Data!C$1:'Data'!C204,Data!C204)&gt;1,1,0)))</f>
        <v/>
      </c>
      <c r="D214" s="36" t="str">
        <f>IF(Data!B204="","",IF(ISNUMBER(Data!D204),IF(AND(Data!D204&gt;999999999,Data!D204&lt;=9999999999),IF(COUNTIFS(Data!D$1:'Data'!D204,Data!D204)&lt;=1,0,1),1),1))</f>
        <v/>
      </c>
      <c r="E214" s="36" t="str">
        <f>IF(Data!B204="","",IF(ISNUMBER(MATCH(Data!E204,Data_Val!$A$2:$A$3,0)),0,1))</f>
        <v/>
      </c>
      <c r="F214" s="36" t="str">
        <f ca="1">IF(Data!B204="","",IF(ISNUMBER(Data!F204),IF(AND(Data!F204&gt;(TODAY()-(Data_Val!$H$3*365.25)),Data!F204&lt;=(TODAY()-(Data_Val!$H$2*365.25))),0,1),1))</f>
        <v/>
      </c>
      <c r="G214" s="12" t="str">
        <f>IF(Data!B204="","",IF(AND(Data!G204="",Data!H204&lt;&gt;""),1,IF(ISNUMBER(MATCH(Data!G204,Data_Val!$C$2:$C$5,0)),0,1)))</f>
        <v/>
      </c>
      <c r="H214" s="12" t="str">
        <f>IF(Data!B204="","",IF(AND(Data!G204&lt;&gt;"",Data!H204=""),1,IF(Data!G204="",1,IF(ISNUMBER(MATCH(Data!H204,Data_Val!$D$2:$D$35,0)),0,1))))</f>
        <v/>
      </c>
      <c r="I214" s="38" t="str">
        <f>IF(Data!G204="","",IF(Data!G204=Data_Val!$C$2,IF(Data!I204="",0,1),0))</f>
        <v/>
      </c>
      <c r="J214" s="38" t="str">
        <f>IF(Data!I204="","",IF(ISNUMBER(MATCH(Data!J204,Data_Val!$A$2:$A$3,0)),0,1))</f>
        <v/>
      </c>
      <c r="K214" s="38" t="str">
        <f ca="1">IF(Data!I204="","",IF(ISNUMBER(Data!K204),IF(AND(Data!K204&gt;(TODAY()-(Data_Val!$K$3*365.25)),Data!K204&lt;=(TODAY()-(Data_Val!$K$2*365.25))),0,1),1))</f>
        <v/>
      </c>
      <c r="L214" s="16" t="str">
        <f>IF(Data!G204="","",IF(Data!G204=Data_Val!$C$2,IF(Data!L204="",0,1),0))</f>
        <v/>
      </c>
      <c r="M214" s="16" t="str">
        <f>IF(Data!L204="","",IF(ISNUMBER(MATCH(Data!M204,Data_Val!$A$2:$A$3,0)),0,1))</f>
        <v/>
      </c>
      <c r="N214" s="43" t="str">
        <f ca="1">IF(Data!L204="","",IF(ISNUMBER(Data!N204),IF(AND(Data!N204&gt;(TODAY()-(Data_Val!$L$3*365.25)),Data!N204&lt;=(TODAY()-(Data_Val!$L$2*365.25))),0,1),1))</f>
        <v/>
      </c>
      <c r="O214" s="18" t="str">
        <f>IF(Data!$G204="","",IF(Data!$G204=Data_Val!$C$2,IF(Data!O204="",0,1),0))</f>
        <v/>
      </c>
      <c r="P214" s="18" t="str">
        <f>IF(Data!O204="","",IF(ISNUMBER(MATCH(Data!P204,Data_Val!$A$2:$A$3,0)),0,1))</f>
        <v/>
      </c>
      <c r="Q214" s="44" t="str">
        <f ca="1">IF(Data!O204="","",IF(ISNUMBER(Data!Q204),IF(AND(Data!Q204&gt;(TODAY()-(Data_Val!$L$3*365.25)),Data!Q204&lt;=(TODAY()-(Data_Val!$L$2*365.25))),0,1),1))</f>
        <v/>
      </c>
    </row>
    <row r="215" spans="1:17" ht="12" customHeight="1" x14ac:dyDescent="0.25">
      <c r="A215" s="36" t="str">
        <f>IF(Data!B205="","",IF(COUNTIFS(Data!A$1:'Data'!A205,Data!A205)&lt;=1,0,1))</f>
        <v/>
      </c>
      <c r="B215" s="36"/>
      <c r="C215" s="36" t="str">
        <f>IF(Data!C205="","",(IF(ISNUMBER(MATCH("*@*.?*",Data!C205,0)),0,1)+IF(COUNTIFS(Data!C$1:'Data'!C205,Data!C205)&gt;1,1,0)))</f>
        <v/>
      </c>
      <c r="D215" s="36" t="str">
        <f>IF(Data!B205="","",IF(ISNUMBER(Data!D205),IF(AND(Data!D205&gt;999999999,Data!D205&lt;=9999999999),IF(COUNTIFS(Data!D$1:'Data'!D205,Data!D205)&lt;=1,0,1),1),1))</f>
        <v/>
      </c>
      <c r="E215" s="36" t="str">
        <f>IF(Data!B205="","",IF(ISNUMBER(MATCH(Data!E205,Data_Val!$A$2:$A$3,0)),0,1))</f>
        <v/>
      </c>
      <c r="F215" s="36" t="str">
        <f ca="1">IF(Data!B205="","",IF(ISNUMBER(Data!F205),IF(AND(Data!F205&gt;(TODAY()-(Data_Val!$H$3*365.25)),Data!F205&lt;=(TODAY()-(Data_Val!$H$2*365.25))),0,1),1))</f>
        <v/>
      </c>
      <c r="G215" s="12" t="str">
        <f>IF(Data!B205="","",IF(AND(Data!G205="",Data!H205&lt;&gt;""),1,IF(ISNUMBER(MATCH(Data!G205,Data_Val!$C$2:$C$5,0)),0,1)))</f>
        <v/>
      </c>
      <c r="H215" s="12" t="str">
        <f>IF(Data!B205="","",IF(AND(Data!G205&lt;&gt;"",Data!H205=""),1,IF(Data!G205="",1,IF(ISNUMBER(MATCH(Data!H205,Data_Val!$D$2:$D$35,0)),0,1))))</f>
        <v/>
      </c>
      <c r="I215" s="38" t="str">
        <f>IF(Data!G205="","",IF(Data!G205=Data_Val!$C$2,IF(Data!I205="",0,1),0))</f>
        <v/>
      </c>
      <c r="J215" s="38" t="str">
        <f>IF(Data!I205="","",IF(ISNUMBER(MATCH(Data!J205,Data_Val!$A$2:$A$3,0)),0,1))</f>
        <v/>
      </c>
      <c r="K215" s="38" t="str">
        <f ca="1">IF(Data!I205="","",IF(ISNUMBER(Data!K205),IF(AND(Data!K205&gt;(TODAY()-(Data_Val!$K$3*365.25)),Data!K205&lt;=(TODAY()-(Data_Val!$K$2*365.25))),0,1),1))</f>
        <v/>
      </c>
      <c r="L215" s="16" t="str">
        <f>IF(Data!G205="","",IF(Data!G205=Data_Val!$C$2,IF(Data!L205="",0,1),0))</f>
        <v/>
      </c>
      <c r="M215" s="16" t="str">
        <f>IF(Data!L205="","",IF(ISNUMBER(MATCH(Data!M205,Data_Val!$A$2:$A$3,0)),0,1))</f>
        <v/>
      </c>
      <c r="N215" s="43" t="str">
        <f ca="1">IF(Data!L205="","",IF(ISNUMBER(Data!N205),IF(AND(Data!N205&gt;(TODAY()-(Data_Val!$L$3*365.25)),Data!N205&lt;=(TODAY()-(Data_Val!$L$2*365.25))),0,1),1))</f>
        <v/>
      </c>
      <c r="O215" s="18" t="str">
        <f>IF(Data!$G205="","",IF(Data!$G205=Data_Val!$C$2,IF(Data!O205="",0,1),0))</f>
        <v/>
      </c>
      <c r="P215" s="18" t="str">
        <f>IF(Data!O205="","",IF(ISNUMBER(MATCH(Data!P205,Data_Val!$A$2:$A$3,0)),0,1))</f>
        <v/>
      </c>
      <c r="Q215" s="44" t="str">
        <f ca="1">IF(Data!O205="","",IF(ISNUMBER(Data!Q205),IF(AND(Data!Q205&gt;(TODAY()-(Data_Val!$L$3*365.25)),Data!Q205&lt;=(TODAY()-(Data_Val!$L$2*365.25))),0,1),1))</f>
        <v/>
      </c>
    </row>
    <row r="216" spans="1:17" ht="12" customHeight="1" x14ac:dyDescent="0.25">
      <c r="A216" s="36" t="str">
        <f>IF(Data!B206="","",IF(COUNTIFS(Data!A$1:'Data'!A206,Data!A206)&lt;=1,0,1))</f>
        <v/>
      </c>
      <c r="B216" s="36"/>
      <c r="C216" s="36" t="str">
        <f>IF(Data!C206="","",(IF(ISNUMBER(MATCH("*@*.?*",Data!C206,0)),0,1)+IF(COUNTIFS(Data!C$1:'Data'!C206,Data!C206)&gt;1,1,0)))</f>
        <v/>
      </c>
      <c r="D216" s="36" t="str">
        <f>IF(Data!B206="","",IF(ISNUMBER(Data!D206),IF(AND(Data!D206&gt;999999999,Data!D206&lt;=9999999999),IF(COUNTIFS(Data!D$1:'Data'!D206,Data!D206)&lt;=1,0,1),1),1))</f>
        <v/>
      </c>
      <c r="E216" s="36" t="str">
        <f>IF(Data!B206="","",IF(ISNUMBER(MATCH(Data!E206,Data_Val!$A$2:$A$3,0)),0,1))</f>
        <v/>
      </c>
      <c r="F216" s="36" t="str">
        <f ca="1">IF(Data!B206="","",IF(ISNUMBER(Data!F206),IF(AND(Data!F206&gt;(TODAY()-(Data_Val!$H$3*365.25)),Data!F206&lt;=(TODAY()-(Data_Val!$H$2*365.25))),0,1),1))</f>
        <v/>
      </c>
      <c r="G216" s="12" t="str">
        <f>IF(Data!B206="","",IF(AND(Data!G206="",Data!H206&lt;&gt;""),1,IF(ISNUMBER(MATCH(Data!G206,Data_Val!$C$2:$C$5,0)),0,1)))</f>
        <v/>
      </c>
      <c r="H216" s="12" t="str">
        <f>IF(Data!B206="","",IF(AND(Data!G206&lt;&gt;"",Data!H206=""),1,IF(Data!G206="",1,IF(ISNUMBER(MATCH(Data!H206,Data_Val!$D$2:$D$35,0)),0,1))))</f>
        <v/>
      </c>
      <c r="I216" s="38" t="str">
        <f>IF(Data!G206="","",IF(Data!G206=Data_Val!$C$2,IF(Data!I206="",0,1),0))</f>
        <v/>
      </c>
      <c r="J216" s="38" t="str">
        <f>IF(Data!I206="","",IF(ISNUMBER(MATCH(Data!J206,Data_Val!$A$2:$A$3,0)),0,1))</f>
        <v/>
      </c>
      <c r="K216" s="38" t="str">
        <f ca="1">IF(Data!I206="","",IF(ISNUMBER(Data!K206),IF(AND(Data!K206&gt;(TODAY()-(Data_Val!$K$3*365.25)),Data!K206&lt;=(TODAY()-(Data_Val!$K$2*365.25))),0,1),1))</f>
        <v/>
      </c>
      <c r="L216" s="16" t="str">
        <f>IF(Data!G206="","",IF(Data!G206=Data_Val!$C$2,IF(Data!L206="",0,1),0))</f>
        <v/>
      </c>
      <c r="M216" s="16" t="str">
        <f>IF(Data!L206="","",IF(ISNUMBER(MATCH(Data!M206,Data_Val!$A$2:$A$3,0)),0,1))</f>
        <v/>
      </c>
      <c r="N216" s="43" t="str">
        <f ca="1">IF(Data!L206="","",IF(ISNUMBER(Data!N206),IF(AND(Data!N206&gt;(TODAY()-(Data_Val!$L$3*365.25)),Data!N206&lt;=(TODAY()-(Data_Val!$L$2*365.25))),0,1),1))</f>
        <v/>
      </c>
      <c r="O216" s="18" t="str">
        <f>IF(Data!$G206="","",IF(Data!$G206=Data_Val!$C$2,IF(Data!O206="",0,1),0))</f>
        <v/>
      </c>
      <c r="P216" s="18" t="str">
        <f>IF(Data!O206="","",IF(ISNUMBER(MATCH(Data!P206,Data_Val!$A$2:$A$3,0)),0,1))</f>
        <v/>
      </c>
      <c r="Q216" s="44" t="str">
        <f ca="1">IF(Data!O206="","",IF(ISNUMBER(Data!Q206),IF(AND(Data!Q206&gt;(TODAY()-(Data_Val!$L$3*365.25)),Data!Q206&lt;=(TODAY()-(Data_Val!$L$2*365.25))),0,1),1))</f>
        <v/>
      </c>
    </row>
    <row r="217" spans="1:17" ht="12" customHeight="1" x14ac:dyDescent="0.25">
      <c r="A217" s="36" t="str">
        <f>IF(Data!B207="","",IF(COUNTIFS(Data!A$1:'Data'!A207,Data!A207)&lt;=1,0,1))</f>
        <v/>
      </c>
      <c r="B217" s="36"/>
      <c r="C217" s="36" t="str">
        <f>IF(Data!C207="","",(IF(ISNUMBER(MATCH("*@*.?*",Data!C207,0)),0,1)+IF(COUNTIFS(Data!C$1:'Data'!C207,Data!C207)&gt;1,1,0)))</f>
        <v/>
      </c>
      <c r="D217" s="36" t="str">
        <f>IF(Data!B207="","",IF(ISNUMBER(Data!D207),IF(AND(Data!D207&gt;999999999,Data!D207&lt;=9999999999),IF(COUNTIFS(Data!D$1:'Data'!D207,Data!D207)&lt;=1,0,1),1),1))</f>
        <v/>
      </c>
      <c r="E217" s="36" t="str">
        <f>IF(Data!B207="","",IF(ISNUMBER(MATCH(Data!E207,Data_Val!$A$2:$A$3,0)),0,1))</f>
        <v/>
      </c>
      <c r="F217" s="36" t="str">
        <f ca="1">IF(Data!B207="","",IF(ISNUMBER(Data!F207),IF(AND(Data!F207&gt;(TODAY()-(Data_Val!$H$3*365.25)),Data!F207&lt;=(TODAY()-(Data_Val!$H$2*365.25))),0,1),1))</f>
        <v/>
      </c>
      <c r="G217" s="12" t="str">
        <f>IF(Data!B207="","",IF(AND(Data!G207="",Data!H207&lt;&gt;""),1,IF(ISNUMBER(MATCH(Data!G207,Data_Val!$C$2:$C$5,0)),0,1)))</f>
        <v/>
      </c>
      <c r="H217" s="12" t="str">
        <f>IF(Data!B207="","",IF(AND(Data!G207&lt;&gt;"",Data!H207=""),1,IF(Data!G207="",1,IF(ISNUMBER(MATCH(Data!H207,Data_Val!$D$2:$D$35,0)),0,1))))</f>
        <v/>
      </c>
      <c r="I217" s="38" t="str">
        <f>IF(Data!G207="","",IF(Data!G207=Data_Val!$C$2,IF(Data!I207="",0,1),0))</f>
        <v/>
      </c>
      <c r="J217" s="38" t="str">
        <f>IF(Data!I207="","",IF(ISNUMBER(MATCH(Data!J207,Data_Val!$A$2:$A$3,0)),0,1))</f>
        <v/>
      </c>
      <c r="K217" s="38" t="str">
        <f ca="1">IF(Data!I207="","",IF(ISNUMBER(Data!K207),IF(AND(Data!K207&gt;(TODAY()-(Data_Val!$K$3*365.25)),Data!K207&lt;=(TODAY()-(Data_Val!$K$2*365.25))),0,1),1))</f>
        <v/>
      </c>
      <c r="L217" s="16" t="str">
        <f>IF(Data!G207="","",IF(Data!G207=Data_Val!$C$2,IF(Data!L207="",0,1),0))</f>
        <v/>
      </c>
      <c r="M217" s="16" t="str">
        <f>IF(Data!L207="","",IF(ISNUMBER(MATCH(Data!M207,Data_Val!$A$2:$A$3,0)),0,1))</f>
        <v/>
      </c>
      <c r="N217" s="43" t="str">
        <f ca="1">IF(Data!L207="","",IF(ISNUMBER(Data!N207),IF(AND(Data!N207&gt;(TODAY()-(Data_Val!$L$3*365.25)),Data!N207&lt;=(TODAY()-(Data_Val!$L$2*365.25))),0,1),1))</f>
        <v/>
      </c>
      <c r="O217" s="18" t="str">
        <f>IF(Data!$G207="","",IF(Data!$G207=Data_Val!$C$2,IF(Data!O207="",0,1),0))</f>
        <v/>
      </c>
      <c r="P217" s="18" t="str">
        <f>IF(Data!O207="","",IF(ISNUMBER(MATCH(Data!P207,Data_Val!$A$2:$A$3,0)),0,1))</f>
        <v/>
      </c>
      <c r="Q217" s="44" t="str">
        <f ca="1">IF(Data!O207="","",IF(ISNUMBER(Data!Q207),IF(AND(Data!Q207&gt;(TODAY()-(Data_Val!$L$3*365.25)),Data!Q207&lt;=(TODAY()-(Data_Val!$L$2*365.25))),0,1),1))</f>
        <v/>
      </c>
    </row>
    <row r="218" spans="1:17" ht="12" customHeight="1" x14ac:dyDescent="0.25">
      <c r="A218" s="36" t="str">
        <f>IF(Data!B208="","",IF(COUNTIFS(Data!A$1:'Data'!A208,Data!A208)&lt;=1,0,1))</f>
        <v/>
      </c>
      <c r="B218" s="36"/>
      <c r="C218" s="36" t="str">
        <f>IF(Data!C208="","",(IF(ISNUMBER(MATCH("*@*.?*",Data!C208,0)),0,1)+IF(COUNTIFS(Data!C$1:'Data'!C208,Data!C208)&gt;1,1,0)))</f>
        <v/>
      </c>
      <c r="D218" s="36" t="str">
        <f>IF(Data!B208="","",IF(ISNUMBER(Data!D208),IF(AND(Data!D208&gt;999999999,Data!D208&lt;=9999999999),IF(COUNTIFS(Data!D$1:'Data'!D208,Data!D208)&lt;=1,0,1),1),1))</f>
        <v/>
      </c>
      <c r="E218" s="36" t="str">
        <f>IF(Data!B208="","",IF(ISNUMBER(MATCH(Data!E208,Data_Val!$A$2:$A$3,0)),0,1))</f>
        <v/>
      </c>
      <c r="F218" s="36" t="str">
        <f ca="1">IF(Data!B208="","",IF(ISNUMBER(Data!F208),IF(AND(Data!F208&gt;(TODAY()-(Data_Val!$H$3*365.25)),Data!F208&lt;=(TODAY()-(Data_Val!$H$2*365.25))),0,1),1))</f>
        <v/>
      </c>
      <c r="G218" s="12" t="str">
        <f>IF(Data!B208="","",IF(AND(Data!G208="",Data!H208&lt;&gt;""),1,IF(ISNUMBER(MATCH(Data!G208,Data_Val!$C$2:$C$5,0)),0,1)))</f>
        <v/>
      </c>
      <c r="H218" s="12" t="str">
        <f>IF(Data!B208="","",IF(AND(Data!G208&lt;&gt;"",Data!H208=""),1,IF(Data!G208="",1,IF(ISNUMBER(MATCH(Data!H208,Data_Val!$D$2:$D$35,0)),0,1))))</f>
        <v/>
      </c>
      <c r="I218" s="38" t="str">
        <f>IF(Data!G208="","",IF(Data!G208=Data_Val!$C$2,IF(Data!I208="",0,1),0))</f>
        <v/>
      </c>
      <c r="J218" s="38" t="str">
        <f>IF(Data!I208="","",IF(ISNUMBER(MATCH(Data!J208,Data_Val!$A$2:$A$3,0)),0,1))</f>
        <v/>
      </c>
      <c r="K218" s="38" t="str">
        <f ca="1">IF(Data!I208="","",IF(ISNUMBER(Data!K208),IF(AND(Data!K208&gt;(TODAY()-(Data_Val!$K$3*365.25)),Data!K208&lt;=(TODAY()-(Data_Val!$K$2*365.25))),0,1),1))</f>
        <v/>
      </c>
      <c r="L218" s="16" t="str">
        <f>IF(Data!G208="","",IF(Data!G208=Data_Val!$C$2,IF(Data!L208="",0,1),0))</f>
        <v/>
      </c>
      <c r="M218" s="16" t="str">
        <f>IF(Data!L208="","",IF(ISNUMBER(MATCH(Data!M208,Data_Val!$A$2:$A$3,0)),0,1))</f>
        <v/>
      </c>
      <c r="N218" s="43" t="str">
        <f ca="1">IF(Data!L208="","",IF(ISNUMBER(Data!N208),IF(AND(Data!N208&gt;(TODAY()-(Data_Val!$L$3*365.25)),Data!N208&lt;=(TODAY()-(Data_Val!$L$2*365.25))),0,1),1))</f>
        <v/>
      </c>
      <c r="O218" s="18" t="str">
        <f>IF(Data!$G208="","",IF(Data!$G208=Data_Val!$C$2,IF(Data!O208="",0,1),0))</f>
        <v/>
      </c>
      <c r="P218" s="18" t="str">
        <f>IF(Data!O208="","",IF(ISNUMBER(MATCH(Data!P208,Data_Val!$A$2:$A$3,0)),0,1))</f>
        <v/>
      </c>
      <c r="Q218" s="44" t="str">
        <f ca="1">IF(Data!O208="","",IF(ISNUMBER(Data!Q208),IF(AND(Data!Q208&gt;(TODAY()-(Data_Val!$L$3*365.25)),Data!Q208&lt;=(TODAY()-(Data_Val!$L$2*365.25))),0,1),1))</f>
        <v/>
      </c>
    </row>
    <row r="219" spans="1:17" ht="12" customHeight="1" x14ac:dyDescent="0.25">
      <c r="A219" s="36" t="str">
        <f>IF(Data!B209="","",IF(COUNTIFS(Data!A$1:'Data'!A209,Data!A209)&lt;=1,0,1))</f>
        <v/>
      </c>
      <c r="B219" s="36"/>
      <c r="C219" s="36" t="str">
        <f>IF(Data!C209="","",(IF(ISNUMBER(MATCH("*@*.?*",Data!C209,0)),0,1)+IF(COUNTIFS(Data!C$1:'Data'!C209,Data!C209)&gt;1,1,0)))</f>
        <v/>
      </c>
      <c r="D219" s="36" t="str">
        <f>IF(Data!B209="","",IF(ISNUMBER(Data!D209),IF(AND(Data!D209&gt;999999999,Data!D209&lt;=9999999999),IF(COUNTIFS(Data!D$1:'Data'!D209,Data!D209)&lt;=1,0,1),1),1))</f>
        <v/>
      </c>
      <c r="E219" s="36" t="str">
        <f>IF(Data!B209="","",IF(ISNUMBER(MATCH(Data!E209,Data_Val!$A$2:$A$3,0)),0,1))</f>
        <v/>
      </c>
      <c r="F219" s="36" t="str">
        <f ca="1">IF(Data!B209="","",IF(ISNUMBER(Data!F209),IF(AND(Data!F209&gt;(TODAY()-(Data_Val!$H$3*365.25)),Data!F209&lt;=(TODAY()-(Data_Val!$H$2*365.25))),0,1),1))</f>
        <v/>
      </c>
      <c r="G219" s="12" t="str">
        <f>IF(Data!B209="","",IF(AND(Data!G209="",Data!H209&lt;&gt;""),1,IF(ISNUMBER(MATCH(Data!G209,Data_Val!$C$2:$C$5,0)),0,1)))</f>
        <v/>
      </c>
      <c r="H219" s="12" t="str">
        <f>IF(Data!B209="","",IF(AND(Data!G209&lt;&gt;"",Data!H209=""),1,IF(Data!G209="",1,IF(ISNUMBER(MATCH(Data!H209,Data_Val!$D$2:$D$35,0)),0,1))))</f>
        <v/>
      </c>
      <c r="I219" s="38" t="str">
        <f>IF(Data!G209="","",IF(Data!G209=Data_Val!$C$2,IF(Data!I209="",0,1),0))</f>
        <v/>
      </c>
      <c r="J219" s="38" t="str">
        <f>IF(Data!I209="","",IF(ISNUMBER(MATCH(Data!J209,Data_Val!$A$2:$A$3,0)),0,1))</f>
        <v/>
      </c>
      <c r="K219" s="38" t="str">
        <f ca="1">IF(Data!I209="","",IF(ISNUMBER(Data!K209),IF(AND(Data!K209&gt;(TODAY()-(Data_Val!$K$3*365.25)),Data!K209&lt;=(TODAY()-(Data_Val!$K$2*365.25))),0,1),1))</f>
        <v/>
      </c>
      <c r="L219" s="16" t="str">
        <f>IF(Data!G209="","",IF(Data!G209=Data_Val!$C$2,IF(Data!L209="",0,1),0))</f>
        <v/>
      </c>
      <c r="M219" s="16" t="str">
        <f>IF(Data!L209="","",IF(ISNUMBER(MATCH(Data!M209,Data_Val!$A$2:$A$3,0)),0,1))</f>
        <v/>
      </c>
      <c r="N219" s="43" t="str">
        <f ca="1">IF(Data!L209="","",IF(ISNUMBER(Data!N209),IF(AND(Data!N209&gt;(TODAY()-(Data_Val!$L$3*365.25)),Data!N209&lt;=(TODAY()-(Data_Val!$L$2*365.25))),0,1),1))</f>
        <v/>
      </c>
      <c r="O219" s="18" t="str">
        <f>IF(Data!$G209="","",IF(Data!$G209=Data_Val!$C$2,IF(Data!O209="",0,1),0))</f>
        <v/>
      </c>
      <c r="P219" s="18" t="str">
        <f>IF(Data!O209="","",IF(ISNUMBER(MATCH(Data!P209,Data_Val!$A$2:$A$3,0)),0,1))</f>
        <v/>
      </c>
      <c r="Q219" s="44" t="str">
        <f ca="1">IF(Data!O209="","",IF(ISNUMBER(Data!Q209),IF(AND(Data!Q209&gt;(TODAY()-(Data_Val!$L$3*365.25)),Data!Q209&lt;=(TODAY()-(Data_Val!$L$2*365.25))),0,1),1))</f>
        <v/>
      </c>
    </row>
    <row r="220" spans="1:17" ht="12" customHeight="1" x14ac:dyDescent="0.25">
      <c r="A220" s="36" t="str">
        <f>IF(Data!B210="","",IF(COUNTIFS(Data!A$1:'Data'!A210,Data!A210)&lt;=1,0,1))</f>
        <v/>
      </c>
      <c r="B220" s="36"/>
      <c r="C220" s="36" t="str">
        <f>IF(Data!C210="","",(IF(ISNUMBER(MATCH("*@*.?*",Data!C210,0)),0,1)+IF(COUNTIFS(Data!C$1:'Data'!C210,Data!C210)&gt;1,1,0)))</f>
        <v/>
      </c>
      <c r="D220" s="36" t="str">
        <f>IF(Data!B210="","",IF(ISNUMBER(Data!D210),IF(AND(Data!D210&gt;999999999,Data!D210&lt;=9999999999),IF(COUNTIFS(Data!D$1:'Data'!D210,Data!D210)&lt;=1,0,1),1),1))</f>
        <v/>
      </c>
      <c r="E220" s="36" t="str">
        <f>IF(Data!B210="","",IF(ISNUMBER(MATCH(Data!E210,Data_Val!$A$2:$A$3,0)),0,1))</f>
        <v/>
      </c>
      <c r="F220" s="36" t="str">
        <f ca="1">IF(Data!B210="","",IF(ISNUMBER(Data!F210),IF(AND(Data!F210&gt;(TODAY()-(Data_Val!$H$3*365.25)),Data!F210&lt;=(TODAY()-(Data_Val!$H$2*365.25))),0,1),1))</f>
        <v/>
      </c>
      <c r="G220" s="12" t="str">
        <f>IF(Data!B210="","",IF(AND(Data!G210="",Data!H210&lt;&gt;""),1,IF(ISNUMBER(MATCH(Data!G210,Data_Val!$C$2:$C$5,0)),0,1)))</f>
        <v/>
      </c>
      <c r="H220" s="12" t="str">
        <f>IF(Data!B210="","",IF(AND(Data!G210&lt;&gt;"",Data!H210=""),1,IF(Data!G210="",1,IF(ISNUMBER(MATCH(Data!H210,Data_Val!$D$2:$D$35,0)),0,1))))</f>
        <v/>
      </c>
      <c r="I220" s="38" t="str">
        <f>IF(Data!G210="","",IF(Data!G210=Data_Val!$C$2,IF(Data!I210="",0,1),0))</f>
        <v/>
      </c>
      <c r="J220" s="38" t="str">
        <f>IF(Data!I210="","",IF(ISNUMBER(MATCH(Data!J210,Data_Val!$A$2:$A$3,0)),0,1))</f>
        <v/>
      </c>
      <c r="K220" s="38" t="str">
        <f ca="1">IF(Data!I210="","",IF(ISNUMBER(Data!K210),IF(AND(Data!K210&gt;(TODAY()-(Data_Val!$K$3*365.25)),Data!K210&lt;=(TODAY()-(Data_Val!$K$2*365.25))),0,1),1))</f>
        <v/>
      </c>
      <c r="L220" s="16" t="str">
        <f>IF(Data!G210="","",IF(Data!G210=Data_Val!$C$2,IF(Data!L210="",0,1),0))</f>
        <v/>
      </c>
      <c r="M220" s="16" t="str">
        <f>IF(Data!L210="","",IF(ISNUMBER(MATCH(Data!M210,Data_Val!$A$2:$A$3,0)),0,1))</f>
        <v/>
      </c>
      <c r="N220" s="43" t="str">
        <f ca="1">IF(Data!L210="","",IF(ISNUMBER(Data!N210),IF(AND(Data!N210&gt;(TODAY()-(Data_Val!$L$3*365.25)),Data!N210&lt;=(TODAY()-(Data_Val!$L$2*365.25))),0,1),1))</f>
        <v/>
      </c>
      <c r="O220" s="18" t="str">
        <f>IF(Data!$G210="","",IF(Data!$G210=Data_Val!$C$2,IF(Data!O210="",0,1),0))</f>
        <v/>
      </c>
      <c r="P220" s="18" t="str">
        <f>IF(Data!O210="","",IF(ISNUMBER(MATCH(Data!P210,Data_Val!$A$2:$A$3,0)),0,1))</f>
        <v/>
      </c>
      <c r="Q220" s="44" t="str">
        <f ca="1">IF(Data!O210="","",IF(ISNUMBER(Data!Q210),IF(AND(Data!Q210&gt;(TODAY()-(Data_Val!$L$3*365.25)),Data!Q210&lt;=(TODAY()-(Data_Val!$L$2*365.25))),0,1),1))</f>
        <v/>
      </c>
    </row>
    <row r="221" spans="1:17" ht="12" customHeight="1" x14ac:dyDescent="0.25">
      <c r="A221" s="36" t="str">
        <f>IF(Data!B211="","",IF(COUNTIFS(Data!A$1:'Data'!A211,Data!A211)&lt;=1,0,1))</f>
        <v/>
      </c>
      <c r="B221" s="36"/>
      <c r="C221" s="36" t="str">
        <f>IF(Data!C211="","",(IF(ISNUMBER(MATCH("*@*.?*",Data!C211,0)),0,1)+IF(COUNTIFS(Data!C$1:'Data'!C211,Data!C211)&gt;1,1,0)))</f>
        <v/>
      </c>
      <c r="D221" s="36" t="str">
        <f>IF(Data!B211="","",IF(ISNUMBER(Data!D211),IF(AND(Data!D211&gt;999999999,Data!D211&lt;=9999999999),IF(COUNTIFS(Data!D$1:'Data'!D211,Data!D211)&lt;=1,0,1),1),1))</f>
        <v/>
      </c>
      <c r="E221" s="36" t="str">
        <f>IF(Data!B211="","",IF(ISNUMBER(MATCH(Data!E211,Data_Val!$A$2:$A$3,0)),0,1))</f>
        <v/>
      </c>
      <c r="F221" s="36" t="str">
        <f ca="1">IF(Data!B211="","",IF(ISNUMBER(Data!F211),IF(AND(Data!F211&gt;(TODAY()-(Data_Val!$H$3*365.25)),Data!F211&lt;=(TODAY()-(Data_Val!$H$2*365.25))),0,1),1))</f>
        <v/>
      </c>
      <c r="G221" s="12" t="str">
        <f>IF(Data!B211="","",IF(AND(Data!G211="",Data!H211&lt;&gt;""),1,IF(ISNUMBER(MATCH(Data!G211,Data_Val!$C$2:$C$5,0)),0,1)))</f>
        <v/>
      </c>
      <c r="H221" s="12" t="str">
        <f>IF(Data!B211="","",IF(AND(Data!G211&lt;&gt;"",Data!H211=""),1,IF(Data!G211="",1,IF(ISNUMBER(MATCH(Data!H211,Data_Val!$D$2:$D$35,0)),0,1))))</f>
        <v/>
      </c>
      <c r="I221" s="38" t="str">
        <f>IF(Data!G211="","",IF(Data!G211=Data_Val!$C$2,IF(Data!I211="",0,1),0))</f>
        <v/>
      </c>
      <c r="J221" s="38" t="str">
        <f>IF(Data!I211="","",IF(ISNUMBER(MATCH(Data!J211,Data_Val!$A$2:$A$3,0)),0,1))</f>
        <v/>
      </c>
      <c r="K221" s="38" t="str">
        <f ca="1">IF(Data!I211="","",IF(ISNUMBER(Data!K211),IF(AND(Data!K211&gt;(TODAY()-(Data_Val!$K$3*365.25)),Data!K211&lt;=(TODAY()-(Data_Val!$K$2*365.25))),0,1),1))</f>
        <v/>
      </c>
      <c r="L221" s="16" t="str">
        <f>IF(Data!G211="","",IF(Data!G211=Data_Val!$C$2,IF(Data!L211="",0,1),0))</f>
        <v/>
      </c>
      <c r="M221" s="16" t="str">
        <f>IF(Data!L211="","",IF(ISNUMBER(MATCH(Data!M211,Data_Val!$A$2:$A$3,0)),0,1))</f>
        <v/>
      </c>
      <c r="N221" s="43" t="str">
        <f ca="1">IF(Data!L211="","",IF(ISNUMBER(Data!N211),IF(AND(Data!N211&gt;(TODAY()-(Data_Val!$L$3*365.25)),Data!N211&lt;=(TODAY()-(Data_Val!$L$2*365.25))),0,1),1))</f>
        <v/>
      </c>
      <c r="O221" s="18" t="str">
        <f>IF(Data!$G211="","",IF(Data!$G211=Data_Val!$C$2,IF(Data!O211="",0,1),0))</f>
        <v/>
      </c>
      <c r="P221" s="18" t="str">
        <f>IF(Data!O211="","",IF(ISNUMBER(MATCH(Data!P211,Data_Val!$A$2:$A$3,0)),0,1))</f>
        <v/>
      </c>
      <c r="Q221" s="44" t="str">
        <f ca="1">IF(Data!O211="","",IF(ISNUMBER(Data!Q211),IF(AND(Data!Q211&gt;(TODAY()-(Data_Val!$L$3*365.25)),Data!Q211&lt;=(TODAY()-(Data_Val!$L$2*365.25))),0,1),1))</f>
        <v/>
      </c>
    </row>
    <row r="222" spans="1:17" ht="12" customHeight="1" x14ac:dyDescent="0.25">
      <c r="A222" s="36" t="str">
        <f>IF(Data!B212="","",IF(COUNTIFS(Data!A$1:'Data'!A212,Data!A212)&lt;=1,0,1))</f>
        <v/>
      </c>
      <c r="B222" s="36"/>
      <c r="C222" s="36" t="str">
        <f>IF(Data!C212="","",(IF(ISNUMBER(MATCH("*@*.?*",Data!C212,0)),0,1)+IF(COUNTIFS(Data!C$1:'Data'!C212,Data!C212)&gt;1,1,0)))</f>
        <v/>
      </c>
      <c r="D222" s="36" t="str">
        <f>IF(Data!B212="","",IF(ISNUMBER(Data!D212),IF(AND(Data!D212&gt;999999999,Data!D212&lt;=9999999999),IF(COUNTIFS(Data!D$1:'Data'!D212,Data!D212)&lt;=1,0,1),1),1))</f>
        <v/>
      </c>
      <c r="E222" s="36" t="str">
        <f>IF(Data!B212="","",IF(ISNUMBER(MATCH(Data!E212,Data_Val!$A$2:$A$3,0)),0,1))</f>
        <v/>
      </c>
      <c r="F222" s="36" t="str">
        <f ca="1">IF(Data!B212="","",IF(ISNUMBER(Data!F212),IF(AND(Data!F212&gt;(TODAY()-(Data_Val!$H$3*365.25)),Data!F212&lt;=(TODAY()-(Data_Val!$H$2*365.25))),0,1),1))</f>
        <v/>
      </c>
      <c r="G222" s="12" t="str">
        <f>IF(Data!B212="","",IF(AND(Data!G212="",Data!H212&lt;&gt;""),1,IF(ISNUMBER(MATCH(Data!G212,Data_Val!$C$2:$C$5,0)),0,1)))</f>
        <v/>
      </c>
      <c r="H222" s="12" t="str">
        <f>IF(Data!B212="","",IF(AND(Data!G212&lt;&gt;"",Data!H212=""),1,IF(Data!G212="",1,IF(ISNUMBER(MATCH(Data!H212,Data_Val!$D$2:$D$35,0)),0,1))))</f>
        <v/>
      </c>
      <c r="I222" s="38" t="str">
        <f>IF(Data!G212="","",IF(Data!G212=Data_Val!$C$2,IF(Data!I212="",0,1),0))</f>
        <v/>
      </c>
      <c r="J222" s="38" t="str">
        <f>IF(Data!I212="","",IF(ISNUMBER(MATCH(Data!J212,Data_Val!$A$2:$A$3,0)),0,1))</f>
        <v/>
      </c>
      <c r="K222" s="38" t="str">
        <f ca="1">IF(Data!I212="","",IF(ISNUMBER(Data!K212),IF(AND(Data!K212&gt;(TODAY()-(Data_Val!$K$3*365.25)),Data!K212&lt;=(TODAY()-(Data_Val!$K$2*365.25))),0,1),1))</f>
        <v/>
      </c>
      <c r="L222" s="16" t="str">
        <f>IF(Data!G212="","",IF(Data!G212=Data_Val!$C$2,IF(Data!L212="",0,1),0))</f>
        <v/>
      </c>
      <c r="M222" s="16" t="str">
        <f>IF(Data!L212="","",IF(ISNUMBER(MATCH(Data!M212,Data_Val!$A$2:$A$3,0)),0,1))</f>
        <v/>
      </c>
      <c r="N222" s="43" t="str">
        <f ca="1">IF(Data!L212="","",IF(ISNUMBER(Data!N212),IF(AND(Data!N212&gt;(TODAY()-(Data_Val!$L$3*365.25)),Data!N212&lt;=(TODAY()-(Data_Val!$L$2*365.25))),0,1),1))</f>
        <v/>
      </c>
      <c r="O222" s="18" t="str">
        <f>IF(Data!$G212="","",IF(Data!$G212=Data_Val!$C$2,IF(Data!O212="",0,1),0))</f>
        <v/>
      </c>
      <c r="P222" s="18" t="str">
        <f>IF(Data!O212="","",IF(ISNUMBER(MATCH(Data!P212,Data_Val!$A$2:$A$3,0)),0,1))</f>
        <v/>
      </c>
      <c r="Q222" s="44" t="str">
        <f ca="1">IF(Data!O212="","",IF(ISNUMBER(Data!Q212),IF(AND(Data!Q212&gt;(TODAY()-(Data_Val!$L$3*365.25)),Data!Q212&lt;=(TODAY()-(Data_Val!$L$2*365.25))),0,1),1))</f>
        <v/>
      </c>
    </row>
    <row r="223" spans="1:17" ht="12" customHeight="1" x14ac:dyDescent="0.25">
      <c r="A223" s="36" t="str">
        <f>IF(Data!B213="","",IF(COUNTIFS(Data!A$1:'Data'!A213,Data!A213)&lt;=1,0,1))</f>
        <v/>
      </c>
      <c r="B223" s="36"/>
      <c r="C223" s="36" t="str">
        <f>IF(Data!C213="","",(IF(ISNUMBER(MATCH("*@*.?*",Data!C213,0)),0,1)+IF(COUNTIFS(Data!C$1:'Data'!C213,Data!C213)&gt;1,1,0)))</f>
        <v/>
      </c>
      <c r="D223" s="36" t="str">
        <f>IF(Data!B213="","",IF(ISNUMBER(Data!D213),IF(AND(Data!D213&gt;999999999,Data!D213&lt;=9999999999),IF(COUNTIFS(Data!D$1:'Data'!D213,Data!D213)&lt;=1,0,1),1),1))</f>
        <v/>
      </c>
      <c r="E223" s="36" t="str">
        <f>IF(Data!B213="","",IF(ISNUMBER(MATCH(Data!E213,Data_Val!$A$2:$A$3,0)),0,1))</f>
        <v/>
      </c>
      <c r="F223" s="36" t="str">
        <f ca="1">IF(Data!B213="","",IF(ISNUMBER(Data!F213),IF(AND(Data!F213&gt;(TODAY()-(Data_Val!$H$3*365.25)),Data!F213&lt;=(TODAY()-(Data_Val!$H$2*365.25))),0,1),1))</f>
        <v/>
      </c>
      <c r="G223" s="12" t="str">
        <f>IF(Data!B213="","",IF(AND(Data!G213="",Data!H213&lt;&gt;""),1,IF(ISNUMBER(MATCH(Data!G213,Data_Val!$C$2:$C$5,0)),0,1)))</f>
        <v/>
      </c>
      <c r="H223" s="12" t="str">
        <f>IF(Data!B213="","",IF(AND(Data!G213&lt;&gt;"",Data!H213=""),1,IF(Data!G213="",1,IF(ISNUMBER(MATCH(Data!H213,Data_Val!$D$2:$D$35,0)),0,1))))</f>
        <v/>
      </c>
      <c r="I223" s="38" t="str">
        <f>IF(Data!G213="","",IF(Data!G213=Data_Val!$C$2,IF(Data!I213="",0,1),0))</f>
        <v/>
      </c>
      <c r="J223" s="38" t="str">
        <f>IF(Data!I213="","",IF(ISNUMBER(MATCH(Data!J213,Data_Val!$A$2:$A$3,0)),0,1))</f>
        <v/>
      </c>
      <c r="K223" s="38" t="str">
        <f ca="1">IF(Data!I213="","",IF(ISNUMBER(Data!K213),IF(AND(Data!K213&gt;(TODAY()-(Data_Val!$K$3*365.25)),Data!K213&lt;=(TODAY()-(Data_Val!$K$2*365.25))),0,1),1))</f>
        <v/>
      </c>
      <c r="L223" s="16" t="str">
        <f>IF(Data!G213="","",IF(Data!G213=Data_Val!$C$2,IF(Data!L213="",0,1),0))</f>
        <v/>
      </c>
      <c r="M223" s="16" t="str">
        <f>IF(Data!L213="","",IF(ISNUMBER(MATCH(Data!M213,Data_Val!$A$2:$A$3,0)),0,1))</f>
        <v/>
      </c>
      <c r="N223" s="43" t="str">
        <f ca="1">IF(Data!L213="","",IF(ISNUMBER(Data!N213),IF(AND(Data!N213&gt;(TODAY()-(Data_Val!$L$3*365.25)),Data!N213&lt;=(TODAY()-(Data_Val!$L$2*365.25))),0,1),1))</f>
        <v/>
      </c>
      <c r="O223" s="18" t="str">
        <f>IF(Data!$G213="","",IF(Data!$G213=Data_Val!$C$2,IF(Data!O213="",0,1),0))</f>
        <v/>
      </c>
      <c r="P223" s="18" t="str">
        <f>IF(Data!O213="","",IF(ISNUMBER(MATCH(Data!P213,Data_Val!$A$2:$A$3,0)),0,1))</f>
        <v/>
      </c>
      <c r="Q223" s="44" t="str">
        <f ca="1">IF(Data!O213="","",IF(ISNUMBER(Data!Q213),IF(AND(Data!Q213&gt;(TODAY()-(Data_Val!$L$3*365.25)),Data!Q213&lt;=(TODAY()-(Data_Val!$L$2*365.25))),0,1),1))</f>
        <v/>
      </c>
    </row>
    <row r="224" spans="1:17" ht="12" customHeight="1" x14ac:dyDescent="0.25">
      <c r="A224" s="36" t="str">
        <f>IF(Data!B214="","",IF(COUNTIFS(Data!A$1:'Data'!A214,Data!A214)&lt;=1,0,1))</f>
        <v/>
      </c>
      <c r="B224" s="36"/>
      <c r="C224" s="36" t="str">
        <f>IF(Data!C214="","",(IF(ISNUMBER(MATCH("*@*.?*",Data!C214,0)),0,1)+IF(COUNTIFS(Data!C$1:'Data'!C214,Data!C214)&gt;1,1,0)))</f>
        <v/>
      </c>
      <c r="D224" s="36" t="str">
        <f>IF(Data!B214="","",IF(ISNUMBER(Data!D214),IF(AND(Data!D214&gt;999999999,Data!D214&lt;=9999999999),IF(COUNTIFS(Data!D$1:'Data'!D214,Data!D214)&lt;=1,0,1),1),1))</f>
        <v/>
      </c>
      <c r="E224" s="36" t="str">
        <f>IF(Data!B214="","",IF(ISNUMBER(MATCH(Data!E214,Data_Val!$A$2:$A$3,0)),0,1))</f>
        <v/>
      </c>
      <c r="F224" s="36" t="str">
        <f ca="1">IF(Data!B214="","",IF(ISNUMBER(Data!F214),IF(AND(Data!F214&gt;(TODAY()-(Data_Val!$H$3*365.25)),Data!F214&lt;=(TODAY()-(Data_Val!$H$2*365.25))),0,1),1))</f>
        <v/>
      </c>
      <c r="G224" s="12" t="str">
        <f>IF(Data!B214="","",IF(AND(Data!G214="",Data!H214&lt;&gt;""),1,IF(ISNUMBER(MATCH(Data!G214,Data_Val!$C$2:$C$5,0)),0,1)))</f>
        <v/>
      </c>
      <c r="H224" s="12" t="str">
        <f>IF(Data!B214="","",IF(AND(Data!G214&lt;&gt;"",Data!H214=""),1,IF(Data!G214="",1,IF(ISNUMBER(MATCH(Data!H214,Data_Val!$D$2:$D$35,0)),0,1))))</f>
        <v/>
      </c>
      <c r="I224" s="38" t="str">
        <f>IF(Data!G214="","",IF(Data!G214=Data_Val!$C$2,IF(Data!I214="",0,1),0))</f>
        <v/>
      </c>
      <c r="J224" s="38" t="str">
        <f>IF(Data!I214="","",IF(ISNUMBER(MATCH(Data!J214,Data_Val!$A$2:$A$3,0)),0,1))</f>
        <v/>
      </c>
      <c r="K224" s="38" t="str">
        <f ca="1">IF(Data!I214="","",IF(ISNUMBER(Data!K214),IF(AND(Data!K214&gt;(TODAY()-(Data_Val!$K$3*365.25)),Data!K214&lt;=(TODAY()-(Data_Val!$K$2*365.25))),0,1),1))</f>
        <v/>
      </c>
      <c r="L224" s="16" t="str">
        <f>IF(Data!G214="","",IF(Data!G214=Data_Val!$C$2,IF(Data!L214="",0,1),0))</f>
        <v/>
      </c>
      <c r="M224" s="16" t="str">
        <f>IF(Data!L214="","",IF(ISNUMBER(MATCH(Data!M214,Data_Val!$A$2:$A$3,0)),0,1))</f>
        <v/>
      </c>
      <c r="N224" s="43" t="str">
        <f ca="1">IF(Data!L214="","",IF(ISNUMBER(Data!N214),IF(AND(Data!N214&gt;(TODAY()-(Data_Val!$L$3*365.25)),Data!N214&lt;=(TODAY()-(Data_Val!$L$2*365.25))),0,1),1))</f>
        <v/>
      </c>
      <c r="O224" s="18" t="str">
        <f>IF(Data!$G214="","",IF(Data!$G214=Data_Val!$C$2,IF(Data!O214="",0,1),0))</f>
        <v/>
      </c>
      <c r="P224" s="18" t="str">
        <f>IF(Data!O214="","",IF(ISNUMBER(MATCH(Data!P214,Data_Val!$A$2:$A$3,0)),0,1))</f>
        <v/>
      </c>
      <c r="Q224" s="44" t="str">
        <f ca="1">IF(Data!O214="","",IF(ISNUMBER(Data!Q214),IF(AND(Data!Q214&gt;(TODAY()-(Data_Val!$L$3*365.25)),Data!Q214&lt;=(TODAY()-(Data_Val!$L$2*365.25))),0,1),1))</f>
        <v/>
      </c>
    </row>
    <row r="225" spans="1:17" ht="12" customHeight="1" x14ac:dyDescent="0.25">
      <c r="A225" s="36" t="str">
        <f>IF(Data!B215="","",IF(COUNTIFS(Data!A$1:'Data'!A215,Data!A215)&lt;=1,0,1))</f>
        <v/>
      </c>
      <c r="B225" s="36"/>
      <c r="C225" s="36" t="str">
        <f>IF(Data!C215="","",(IF(ISNUMBER(MATCH("*@*.?*",Data!C215,0)),0,1)+IF(COUNTIFS(Data!C$1:'Data'!C215,Data!C215)&gt;1,1,0)))</f>
        <v/>
      </c>
      <c r="D225" s="36" t="str">
        <f>IF(Data!B215="","",IF(ISNUMBER(Data!D215),IF(AND(Data!D215&gt;999999999,Data!D215&lt;=9999999999),IF(COUNTIFS(Data!D$1:'Data'!D215,Data!D215)&lt;=1,0,1),1),1))</f>
        <v/>
      </c>
      <c r="E225" s="36" t="str">
        <f>IF(Data!B215="","",IF(ISNUMBER(MATCH(Data!E215,Data_Val!$A$2:$A$3,0)),0,1))</f>
        <v/>
      </c>
      <c r="F225" s="36" t="str">
        <f ca="1">IF(Data!B215="","",IF(ISNUMBER(Data!F215),IF(AND(Data!F215&gt;(TODAY()-(Data_Val!$H$3*365.25)),Data!F215&lt;=(TODAY()-(Data_Val!$H$2*365.25))),0,1),1))</f>
        <v/>
      </c>
      <c r="G225" s="12" t="str">
        <f>IF(Data!B215="","",IF(AND(Data!G215="",Data!H215&lt;&gt;""),1,IF(ISNUMBER(MATCH(Data!G215,Data_Val!$C$2:$C$5,0)),0,1)))</f>
        <v/>
      </c>
      <c r="H225" s="12" t="str">
        <f>IF(Data!B215="","",IF(AND(Data!G215&lt;&gt;"",Data!H215=""),1,IF(Data!G215="",1,IF(ISNUMBER(MATCH(Data!H215,Data_Val!$D$2:$D$35,0)),0,1))))</f>
        <v/>
      </c>
      <c r="I225" s="38" t="str">
        <f>IF(Data!G215="","",IF(Data!G215=Data_Val!$C$2,IF(Data!I215="",0,1),0))</f>
        <v/>
      </c>
      <c r="J225" s="38" t="str">
        <f>IF(Data!I215="","",IF(ISNUMBER(MATCH(Data!J215,Data_Val!$A$2:$A$3,0)),0,1))</f>
        <v/>
      </c>
      <c r="K225" s="38" t="str">
        <f ca="1">IF(Data!I215="","",IF(ISNUMBER(Data!K215),IF(AND(Data!K215&gt;(TODAY()-(Data_Val!$K$3*365.25)),Data!K215&lt;=(TODAY()-(Data_Val!$K$2*365.25))),0,1),1))</f>
        <v/>
      </c>
      <c r="L225" s="16" t="str">
        <f>IF(Data!G215="","",IF(Data!G215=Data_Val!$C$2,IF(Data!L215="",0,1),0))</f>
        <v/>
      </c>
      <c r="M225" s="16" t="str">
        <f>IF(Data!L215="","",IF(ISNUMBER(MATCH(Data!M215,Data_Val!$A$2:$A$3,0)),0,1))</f>
        <v/>
      </c>
      <c r="N225" s="43" t="str">
        <f ca="1">IF(Data!L215="","",IF(ISNUMBER(Data!N215),IF(AND(Data!N215&gt;(TODAY()-(Data_Val!$L$3*365.25)),Data!N215&lt;=(TODAY()-(Data_Val!$L$2*365.25))),0,1),1))</f>
        <v/>
      </c>
      <c r="O225" s="18" t="str">
        <f>IF(Data!$G215="","",IF(Data!$G215=Data_Val!$C$2,IF(Data!O215="",0,1),0))</f>
        <v/>
      </c>
      <c r="P225" s="18" t="str">
        <f>IF(Data!O215="","",IF(ISNUMBER(MATCH(Data!P215,Data_Val!$A$2:$A$3,0)),0,1))</f>
        <v/>
      </c>
      <c r="Q225" s="44" t="str">
        <f ca="1">IF(Data!O215="","",IF(ISNUMBER(Data!Q215),IF(AND(Data!Q215&gt;(TODAY()-(Data_Val!$L$3*365.25)),Data!Q215&lt;=(TODAY()-(Data_Val!$L$2*365.25))),0,1),1))</f>
        <v/>
      </c>
    </row>
    <row r="226" spans="1:17" ht="12" customHeight="1" x14ac:dyDescent="0.25">
      <c r="A226" s="36" t="str">
        <f>IF(Data!B216="","",IF(COUNTIFS(Data!A$1:'Data'!A216,Data!A216)&lt;=1,0,1))</f>
        <v/>
      </c>
      <c r="B226" s="36"/>
      <c r="C226" s="36" t="str">
        <f>IF(Data!C216="","",(IF(ISNUMBER(MATCH("*@*.?*",Data!C216,0)),0,1)+IF(COUNTIFS(Data!C$1:'Data'!C216,Data!C216)&gt;1,1,0)))</f>
        <v/>
      </c>
      <c r="D226" s="36" t="str">
        <f>IF(Data!B216="","",IF(ISNUMBER(Data!D216),IF(AND(Data!D216&gt;999999999,Data!D216&lt;=9999999999),IF(COUNTIFS(Data!D$1:'Data'!D216,Data!D216)&lt;=1,0,1),1),1))</f>
        <v/>
      </c>
      <c r="E226" s="36" t="str">
        <f>IF(Data!B216="","",IF(ISNUMBER(MATCH(Data!E216,Data_Val!$A$2:$A$3,0)),0,1))</f>
        <v/>
      </c>
      <c r="F226" s="36" t="str">
        <f ca="1">IF(Data!B216="","",IF(ISNUMBER(Data!F216),IF(AND(Data!F216&gt;(TODAY()-(Data_Val!$H$3*365.25)),Data!F216&lt;=(TODAY()-(Data_Val!$H$2*365.25))),0,1),1))</f>
        <v/>
      </c>
      <c r="G226" s="12" t="str">
        <f>IF(Data!B216="","",IF(AND(Data!G216="",Data!H216&lt;&gt;""),1,IF(ISNUMBER(MATCH(Data!G216,Data_Val!$C$2:$C$5,0)),0,1)))</f>
        <v/>
      </c>
      <c r="H226" s="12" t="str">
        <f>IF(Data!B216="","",IF(AND(Data!G216&lt;&gt;"",Data!H216=""),1,IF(Data!G216="",1,IF(ISNUMBER(MATCH(Data!H216,Data_Val!$D$2:$D$35,0)),0,1))))</f>
        <v/>
      </c>
      <c r="I226" s="38" t="str">
        <f>IF(Data!G216="","",IF(Data!G216=Data_Val!$C$2,IF(Data!I216="",0,1),0))</f>
        <v/>
      </c>
      <c r="J226" s="38" t="str">
        <f>IF(Data!I216="","",IF(ISNUMBER(MATCH(Data!J216,Data_Val!$A$2:$A$3,0)),0,1))</f>
        <v/>
      </c>
      <c r="K226" s="38" t="str">
        <f ca="1">IF(Data!I216="","",IF(ISNUMBER(Data!K216),IF(AND(Data!K216&gt;(TODAY()-(Data_Val!$K$3*365.25)),Data!K216&lt;=(TODAY()-(Data_Val!$K$2*365.25))),0,1),1))</f>
        <v/>
      </c>
      <c r="L226" s="16" t="str">
        <f>IF(Data!G216="","",IF(Data!G216=Data_Val!$C$2,IF(Data!L216="",0,1),0))</f>
        <v/>
      </c>
      <c r="M226" s="16" t="str">
        <f>IF(Data!L216="","",IF(ISNUMBER(MATCH(Data!M216,Data_Val!$A$2:$A$3,0)),0,1))</f>
        <v/>
      </c>
      <c r="N226" s="43" t="str">
        <f ca="1">IF(Data!L216="","",IF(ISNUMBER(Data!N216),IF(AND(Data!N216&gt;(TODAY()-(Data_Val!$L$3*365.25)),Data!N216&lt;=(TODAY()-(Data_Val!$L$2*365.25))),0,1),1))</f>
        <v/>
      </c>
      <c r="O226" s="18" t="str">
        <f>IF(Data!$G216="","",IF(Data!$G216=Data_Val!$C$2,IF(Data!O216="",0,1),0))</f>
        <v/>
      </c>
      <c r="P226" s="18" t="str">
        <f>IF(Data!O216="","",IF(ISNUMBER(MATCH(Data!P216,Data_Val!$A$2:$A$3,0)),0,1))</f>
        <v/>
      </c>
      <c r="Q226" s="44" t="str">
        <f ca="1">IF(Data!O216="","",IF(ISNUMBER(Data!Q216),IF(AND(Data!Q216&gt;(TODAY()-(Data_Val!$L$3*365.25)),Data!Q216&lt;=(TODAY()-(Data_Val!$L$2*365.25))),0,1),1))</f>
        <v/>
      </c>
    </row>
    <row r="227" spans="1:17" ht="12" customHeight="1" x14ac:dyDescent="0.25">
      <c r="A227" s="36" t="str">
        <f>IF(Data!B217="","",IF(COUNTIFS(Data!A$1:'Data'!A217,Data!A217)&lt;=1,0,1))</f>
        <v/>
      </c>
      <c r="B227" s="36"/>
      <c r="C227" s="36" t="str">
        <f>IF(Data!C217="","",(IF(ISNUMBER(MATCH("*@*.?*",Data!C217,0)),0,1)+IF(COUNTIFS(Data!C$1:'Data'!C217,Data!C217)&gt;1,1,0)))</f>
        <v/>
      </c>
      <c r="D227" s="36" t="str">
        <f>IF(Data!B217="","",IF(ISNUMBER(Data!D217),IF(AND(Data!D217&gt;999999999,Data!D217&lt;=9999999999),IF(COUNTIFS(Data!D$1:'Data'!D217,Data!D217)&lt;=1,0,1),1),1))</f>
        <v/>
      </c>
      <c r="E227" s="36" t="str">
        <f>IF(Data!B217="","",IF(ISNUMBER(MATCH(Data!E217,Data_Val!$A$2:$A$3,0)),0,1))</f>
        <v/>
      </c>
      <c r="F227" s="36" t="str">
        <f ca="1">IF(Data!B217="","",IF(ISNUMBER(Data!F217),IF(AND(Data!F217&gt;(TODAY()-(Data_Val!$H$3*365.25)),Data!F217&lt;=(TODAY()-(Data_Val!$H$2*365.25))),0,1),1))</f>
        <v/>
      </c>
      <c r="G227" s="12" t="str">
        <f>IF(Data!B217="","",IF(AND(Data!G217="",Data!H217&lt;&gt;""),1,IF(ISNUMBER(MATCH(Data!G217,Data_Val!$C$2:$C$5,0)),0,1)))</f>
        <v/>
      </c>
      <c r="H227" s="12" t="str">
        <f>IF(Data!B217="","",IF(AND(Data!G217&lt;&gt;"",Data!H217=""),1,IF(Data!G217="",1,IF(ISNUMBER(MATCH(Data!H217,Data_Val!$D$2:$D$35,0)),0,1))))</f>
        <v/>
      </c>
      <c r="I227" s="38" t="str">
        <f>IF(Data!G217="","",IF(Data!G217=Data_Val!$C$2,IF(Data!I217="",0,1),0))</f>
        <v/>
      </c>
      <c r="J227" s="38" t="str">
        <f>IF(Data!I217="","",IF(ISNUMBER(MATCH(Data!J217,Data_Val!$A$2:$A$3,0)),0,1))</f>
        <v/>
      </c>
      <c r="K227" s="38" t="str">
        <f ca="1">IF(Data!I217="","",IF(ISNUMBER(Data!K217),IF(AND(Data!K217&gt;(TODAY()-(Data_Val!$K$3*365.25)),Data!K217&lt;=(TODAY()-(Data_Val!$K$2*365.25))),0,1),1))</f>
        <v/>
      </c>
      <c r="L227" s="16" t="str">
        <f>IF(Data!G217="","",IF(Data!G217=Data_Val!$C$2,IF(Data!L217="",0,1),0))</f>
        <v/>
      </c>
      <c r="M227" s="16" t="str">
        <f>IF(Data!L217="","",IF(ISNUMBER(MATCH(Data!M217,Data_Val!$A$2:$A$3,0)),0,1))</f>
        <v/>
      </c>
      <c r="N227" s="43" t="str">
        <f ca="1">IF(Data!L217="","",IF(ISNUMBER(Data!N217),IF(AND(Data!N217&gt;(TODAY()-(Data_Val!$L$3*365.25)),Data!N217&lt;=(TODAY()-(Data_Val!$L$2*365.25))),0,1),1))</f>
        <v/>
      </c>
      <c r="O227" s="18" t="str">
        <f>IF(Data!$G217="","",IF(Data!$G217=Data_Val!$C$2,IF(Data!O217="",0,1),0))</f>
        <v/>
      </c>
      <c r="P227" s="18" t="str">
        <f>IF(Data!O217="","",IF(ISNUMBER(MATCH(Data!P217,Data_Val!$A$2:$A$3,0)),0,1))</f>
        <v/>
      </c>
      <c r="Q227" s="44" t="str">
        <f ca="1">IF(Data!O217="","",IF(ISNUMBER(Data!Q217),IF(AND(Data!Q217&gt;(TODAY()-(Data_Val!$L$3*365.25)),Data!Q217&lt;=(TODAY()-(Data_Val!$L$2*365.25))),0,1),1))</f>
        <v/>
      </c>
    </row>
    <row r="228" spans="1:17" ht="12" customHeight="1" x14ac:dyDescent="0.25">
      <c r="A228" s="36" t="str">
        <f>IF(Data!B218="","",IF(COUNTIFS(Data!A$1:'Data'!A218,Data!A218)&lt;=1,0,1))</f>
        <v/>
      </c>
      <c r="B228" s="36"/>
      <c r="C228" s="36" t="str">
        <f>IF(Data!C218="","",(IF(ISNUMBER(MATCH("*@*.?*",Data!C218,0)),0,1)+IF(COUNTIFS(Data!C$1:'Data'!C218,Data!C218)&gt;1,1,0)))</f>
        <v/>
      </c>
      <c r="D228" s="36" t="str">
        <f>IF(Data!B218="","",IF(ISNUMBER(Data!D218),IF(AND(Data!D218&gt;999999999,Data!D218&lt;=9999999999),IF(COUNTIFS(Data!D$1:'Data'!D218,Data!D218)&lt;=1,0,1),1),1))</f>
        <v/>
      </c>
      <c r="E228" s="36" t="str">
        <f>IF(Data!B218="","",IF(ISNUMBER(MATCH(Data!E218,Data_Val!$A$2:$A$3,0)),0,1))</f>
        <v/>
      </c>
      <c r="F228" s="36" t="str">
        <f ca="1">IF(Data!B218="","",IF(ISNUMBER(Data!F218),IF(AND(Data!F218&gt;(TODAY()-(Data_Val!$H$3*365.25)),Data!F218&lt;=(TODAY()-(Data_Val!$H$2*365.25))),0,1),1))</f>
        <v/>
      </c>
      <c r="G228" s="12" t="str">
        <f>IF(Data!B218="","",IF(AND(Data!G218="",Data!H218&lt;&gt;""),1,IF(ISNUMBER(MATCH(Data!G218,Data_Val!$C$2:$C$5,0)),0,1)))</f>
        <v/>
      </c>
      <c r="H228" s="12" t="str">
        <f>IF(Data!B218="","",IF(AND(Data!G218&lt;&gt;"",Data!H218=""),1,IF(Data!G218="",1,IF(ISNUMBER(MATCH(Data!H218,Data_Val!$D$2:$D$35,0)),0,1))))</f>
        <v/>
      </c>
      <c r="I228" s="38" t="str">
        <f>IF(Data!G218="","",IF(Data!G218=Data_Val!$C$2,IF(Data!I218="",0,1),0))</f>
        <v/>
      </c>
      <c r="J228" s="38" t="str">
        <f>IF(Data!I218="","",IF(ISNUMBER(MATCH(Data!J218,Data_Val!$A$2:$A$3,0)),0,1))</f>
        <v/>
      </c>
      <c r="K228" s="38" t="str">
        <f ca="1">IF(Data!I218="","",IF(ISNUMBER(Data!K218),IF(AND(Data!K218&gt;(TODAY()-(Data_Val!$K$3*365.25)),Data!K218&lt;=(TODAY()-(Data_Val!$K$2*365.25))),0,1),1))</f>
        <v/>
      </c>
      <c r="L228" s="16" t="str">
        <f>IF(Data!G218="","",IF(Data!G218=Data_Val!$C$2,IF(Data!L218="",0,1),0))</f>
        <v/>
      </c>
      <c r="M228" s="16" t="str">
        <f>IF(Data!L218="","",IF(ISNUMBER(MATCH(Data!M218,Data_Val!$A$2:$A$3,0)),0,1))</f>
        <v/>
      </c>
      <c r="N228" s="43" t="str">
        <f ca="1">IF(Data!L218="","",IF(ISNUMBER(Data!N218),IF(AND(Data!N218&gt;(TODAY()-(Data_Val!$L$3*365.25)),Data!N218&lt;=(TODAY()-(Data_Val!$L$2*365.25))),0,1),1))</f>
        <v/>
      </c>
      <c r="O228" s="18" t="str">
        <f>IF(Data!$G218="","",IF(Data!$G218=Data_Val!$C$2,IF(Data!O218="",0,1),0))</f>
        <v/>
      </c>
      <c r="P228" s="18" t="str">
        <f>IF(Data!O218="","",IF(ISNUMBER(MATCH(Data!P218,Data_Val!$A$2:$A$3,0)),0,1))</f>
        <v/>
      </c>
      <c r="Q228" s="44" t="str">
        <f ca="1">IF(Data!O218="","",IF(ISNUMBER(Data!Q218),IF(AND(Data!Q218&gt;(TODAY()-(Data_Val!$L$3*365.25)),Data!Q218&lt;=(TODAY()-(Data_Val!$L$2*365.25))),0,1),1))</f>
        <v/>
      </c>
    </row>
    <row r="229" spans="1:17" ht="12" customHeight="1" x14ac:dyDescent="0.25">
      <c r="A229" s="36" t="str">
        <f>IF(Data!B219="","",IF(COUNTIFS(Data!A$1:'Data'!A219,Data!A219)&lt;=1,0,1))</f>
        <v/>
      </c>
      <c r="B229" s="36"/>
      <c r="C229" s="36" t="str">
        <f>IF(Data!C219="","",(IF(ISNUMBER(MATCH("*@*.?*",Data!C219,0)),0,1)+IF(COUNTIFS(Data!C$1:'Data'!C219,Data!C219)&gt;1,1,0)))</f>
        <v/>
      </c>
      <c r="D229" s="36" t="str">
        <f>IF(Data!B219="","",IF(ISNUMBER(Data!D219),IF(AND(Data!D219&gt;999999999,Data!D219&lt;=9999999999),IF(COUNTIFS(Data!D$1:'Data'!D219,Data!D219)&lt;=1,0,1),1),1))</f>
        <v/>
      </c>
      <c r="E229" s="36" t="str">
        <f>IF(Data!B219="","",IF(ISNUMBER(MATCH(Data!E219,Data_Val!$A$2:$A$3,0)),0,1))</f>
        <v/>
      </c>
      <c r="F229" s="36" t="str">
        <f ca="1">IF(Data!B219="","",IF(ISNUMBER(Data!F219),IF(AND(Data!F219&gt;(TODAY()-(Data_Val!$H$3*365.25)),Data!F219&lt;=(TODAY()-(Data_Val!$H$2*365.25))),0,1),1))</f>
        <v/>
      </c>
      <c r="G229" s="12" t="str">
        <f>IF(Data!B219="","",IF(AND(Data!G219="",Data!H219&lt;&gt;""),1,IF(ISNUMBER(MATCH(Data!G219,Data_Val!$C$2:$C$5,0)),0,1)))</f>
        <v/>
      </c>
      <c r="H229" s="12" t="str">
        <f>IF(Data!B219="","",IF(AND(Data!G219&lt;&gt;"",Data!H219=""),1,IF(Data!G219="",1,IF(ISNUMBER(MATCH(Data!H219,Data_Val!$D$2:$D$35,0)),0,1))))</f>
        <v/>
      </c>
      <c r="I229" s="38" t="str">
        <f>IF(Data!G219="","",IF(Data!G219=Data_Val!$C$2,IF(Data!I219="",0,1),0))</f>
        <v/>
      </c>
      <c r="J229" s="38" t="str">
        <f>IF(Data!I219="","",IF(ISNUMBER(MATCH(Data!J219,Data_Val!$A$2:$A$3,0)),0,1))</f>
        <v/>
      </c>
      <c r="K229" s="38" t="str">
        <f ca="1">IF(Data!I219="","",IF(ISNUMBER(Data!K219),IF(AND(Data!K219&gt;(TODAY()-(Data_Val!$K$3*365.25)),Data!K219&lt;=(TODAY()-(Data_Val!$K$2*365.25))),0,1),1))</f>
        <v/>
      </c>
      <c r="L229" s="16" t="str">
        <f>IF(Data!G219="","",IF(Data!G219=Data_Val!$C$2,IF(Data!L219="",0,1),0))</f>
        <v/>
      </c>
      <c r="M229" s="16" t="str">
        <f>IF(Data!L219="","",IF(ISNUMBER(MATCH(Data!M219,Data_Val!$A$2:$A$3,0)),0,1))</f>
        <v/>
      </c>
      <c r="N229" s="43" t="str">
        <f ca="1">IF(Data!L219="","",IF(ISNUMBER(Data!N219),IF(AND(Data!N219&gt;(TODAY()-(Data_Val!$L$3*365.25)),Data!N219&lt;=(TODAY()-(Data_Val!$L$2*365.25))),0,1),1))</f>
        <v/>
      </c>
      <c r="O229" s="18" t="str">
        <f>IF(Data!$G219="","",IF(Data!$G219=Data_Val!$C$2,IF(Data!O219="",0,1),0))</f>
        <v/>
      </c>
      <c r="P229" s="18" t="str">
        <f>IF(Data!O219="","",IF(ISNUMBER(MATCH(Data!P219,Data_Val!$A$2:$A$3,0)),0,1))</f>
        <v/>
      </c>
      <c r="Q229" s="44" t="str">
        <f ca="1">IF(Data!O219="","",IF(ISNUMBER(Data!Q219),IF(AND(Data!Q219&gt;(TODAY()-(Data_Val!$L$3*365.25)),Data!Q219&lt;=(TODAY()-(Data_Val!$L$2*365.25))),0,1),1))</f>
        <v/>
      </c>
    </row>
    <row r="230" spans="1:17" ht="12" customHeight="1" x14ac:dyDescent="0.25">
      <c r="A230" s="36" t="str">
        <f>IF(Data!B220="","",IF(COUNTIFS(Data!A$1:'Data'!A220,Data!A220)&lt;=1,0,1))</f>
        <v/>
      </c>
      <c r="B230" s="36"/>
      <c r="C230" s="36" t="str">
        <f>IF(Data!C220="","",(IF(ISNUMBER(MATCH("*@*.?*",Data!C220,0)),0,1)+IF(COUNTIFS(Data!C$1:'Data'!C220,Data!C220)&gt;1,1,0)))</f>
        <v/>
      </c>
      <c r="D230" s="36" t="str">
        <f>IF(Data!B220="","",IF(ISNUMBER(Data!D220),IF(AND(Data!D220&gt;999999999,Data!D220&lt;=9999999999),IF(COUNTIFS(Data!D$1:'Data'!D220,Data!D220)&lt;=1,0,1),1),1))</f>
        <v/>
      </c>
      <c r="E230" s="36" t="str">
        <f>IF(Data!B220="","",IF(ISNUMBER(MATCH(Data!E220,Data_Val!$A$2:$A$3,0)),0,1))</f>
        <v/>
      </c>
      <c r="F230" s="36" t="str">
        <f ca="1">IF(Data!B220="","",IF(ISNUMBER(Data!F220),IF(AND(Data!F220&gt;(TODAY()-(Data_Val!$H$3*365.25)),Data!F220&lt;=(TODAY()-(Data_Val!$H$2*365.25))),0,1),1))</f>
        <v/>
      </c>
      <c r="G230" s="12" t="str">
        <f>IF(Data!B220="","",IF(AND(Data!G220="",Data!H220&lt;&gt;""),1,IF(ISNUMBER(MATCH(Data!G220,Data_Val!$C$2:$C$5,0)),0,1)))</f>
        <v/>
      </c>
      <c r="H230" s="12" t="str">
        <f>IF(Data!B220="","",IF(AND(Data!G220&lt;&gt;"",Data!H220=""),1,IF(Data!G220="",1,IF(ISNUMBER(MATCH(Data!H220,Data_Val!$D$2:$D$35,0)),0,1))))</f>
        <v/>
      </c>
      <c r="I230" s="38" t="str">
        <f>IF(Data!G220="","",IF(Data!G220=Data_Val!$C$2,IF(Data!I220="",0,1),0))</f>
        <v/>
      </c>
      <c r="J230" s="38" t="str">
        <f>IF(Data!I220="","",IF(ISNUMBER(MATCH(Data!J220,Data_Val!$A$2:$A$3,0)),0,1))</f>
        <v/>
      </c>
      <c r="K230" s="38" t="str">
        <f ca="1">IF(Data!I220="","",IF(ISNUMBER(Data!K220),IF(AND(Data!K220&gt;(TODAY()-(Data_Val!$K$3*365.25)),Data!K220&lt;=(TODAY()-(Data_Val!$K$2*365.25))),0,1),1))</f>
        <v/>
      </c>
      <c r="L230" s="16" t="str">
        <f>IF(Data!G220="","",IF(Data!G220=Data_Val!$C$2,IF(Data!L220="",0,1),0))</f>
        <v/>
      </c>
      <c r="M230" s="16" t="str">
        <f>IF(Data!L220="","",IF(ISNUMBER(MATCH(Data!M220,Data_Val!$A$2:$A$3,0)),0,1))</f>
        <v/>
      </c>
      <c r="N230" s="43" t="str">
        <f ca="1">IF(Data!L220="","",IF(ISNUMBER(Data!N220),IF(AND(Data!N220&gt;(TODAY()-(Data_Val!$L$3*365.25)),Data!N220&lt;=(TODAY()-(Data_Val!$L$2*365.25))),0,1),1))</f>
        <v/>
      </c>
      <c r="O230" s="18" t="str">
        <f>IF(Data!$G220="","",IF(Data!$G220=Data_Val!$C$2,IF(Data!O220="",0,1),0))</f>
        <v/>
      </c>
      <c r="P230" s="18" t="str">
        <f>IF(Data!O220="","",IF(ISNUMBER(MATCH(Data!P220,Data_Val!$A$2:$A$3,0)),0,1))</f>
        <v/>
      </c>
      <c r="Q230" s="44" t="str">
        <f ca="1">IF(Data!O220="","",IF(ISNUMBER(Data!Q220),IF(AND(Data!Q220&gt;(TODAY()-(Data_Val!$L$3*365.25)),Data!Q220&lt;=(TODAY()-(Data_Val!$L$2*365.25))),0,1),1))</f>
        <v/>
      </c>
    </row>
    <row r="231" spans="1:17" ht="12" customHeight="1" x14ac:dyDescent="0.25">
      <c r="A231" s="36" t="str">
        <f>IF(Data!B221="","",IF(COUNTIFS(Data!A$1:'Data'!A221,Data!A221)&lt;=1,0,1))</f>
        <v/>
      </c>
      <c r="B231" s="36"/>
      <c r="C231" s="36" t="str">
        <f>IF(Data!C221="","",(IF(ISNUMBER(MATCH("*@*.?*",Data!C221,0)),0,1)+IF(COUNTIFS(Data!C$1:'Data'!C221,Data!C221)&gt;1,1,0)))</f>
        <v/>
      </c>
      <c r="D231" s="36" t="str">
        <f>IF(Data!B221="","",IF(ISNUMBER(Data!D221),IF(AND(Data!D221&gt;999999999,Data!D221&lt;=9999999999),IF(COUNTIFS(Data!D$1:'Data'!D221,Data!D221)&lt;=1,0,1),1),1))</f>
        <v/>
      </c>
      <c r="E231" s="36" t="str">
        <f>IF(Data!B221="","",IF(ISNUMBER(MATCH(Data!E221,Data_Val!$A$2:$A$3,0)),0,1))</f>
        <v/>
      </c>
      <c r="F231" s="36" t="str">
        <f ca="1">IF(Data!B221="","",IF(ISNUMBER(Data!F221),IF(AND(Data!F221&gt;(TODAY()-(Data_Val!$H$3*365.25)),Data!F221&lt;=(TODAY()-(Data_Val!$H$2*365.25))),0,1),1))</f>
        <v/>
      </c>
      <c r="G231" s="12" t="str">
        <f>IF(Data!B221="","",IF(AND(Data!G221="",Data!H221&lt;&gt;""),1,IF(ISNUMBER(MATCH(Data!G221,Data_Val!$C$2:$C$5,0)),0,1)))</f>
        <v/>
      </c>
      <c r="H231" s="12" t="str">
        <f>IF(Data!B221="","",IF(AND(Data!G221&lt;&gt;"",Data!H221=""),1,IF(Data!G221="",1,IF(ISNUMBER(MATCH(Data!H221,Data_Val!$D$2:$D$35,0)),0,1))))</f>
        <v/>
      </c>
      <c r="I231" s="38" t="str">
        <f>IF(Data!G221="","",IF(Data!G221=Data_Val!$C$2,IF(Data!I221="",0,1),0))</f>
        <v/>
      </c>
      <c r="J231" s="38" t="str">
        <f>IF(Data!I221="","",IF(ISNUMBER(MATCH(Data!J221,Data_Val!$A$2:$A$3,0)),0,1))</f>
        <v/>
      </c>
      <c r="K231" s="38" t="str">
        <f ca="1">IF(Data!I221="","",IF(ISNUMBER(Data!K221),IF(AND(Data!K221&gt;(TODAY()-(Data_Val!$K$3*365.25)),Data!K221&lt;=(TODAY()-(Data_Val!$K$2*365.25))),0,1),1))</f>
        <v/>
      </c>
      <c r="L231" s="16" t="str">
        <f>IF(Data!G221="","",IF(Data!G221=Data_Val!$C$2,IF(Data!L221="",0,1),0))</f>
        <v/>
      </c>
      <c r="M231" s="16" t="str">
        <f>IF(Data!L221="","",IF(ISNUMBER(MATCH(Data!M221,Data_Val!$A$2:$A$3,0)),0,1))</f>
        <v/>
      </c>
      <c r="N231" s="43" t="str">
        <f ca="1">IF(Data!L221="","",IF(ISNUMBER(Data!N221),IF(AND(Data!N221&gt;(TODAY()-(Data_Val!$L$3*365.25)),Data!N221&lt;=(TODAY()-(Data_Val!$L$2*365.25))),0,1),1))</f>
        <v/>
      </c>
      <c r="O231" s="18" t="str">
        <f>IF(Data!$G221="","",IF(Data!$G221=Data_Val!$C$2,IF(Data!O221="",0,1),0))</f>
        <v/>
      </c>
      <c r="P231" s="18" t="str">
        <f>IF(Data!O221="","",IF(ISNUMBER(MATCH(Data!P221,Data_Val!$A$2:$A$3,0)),0,1))</f>
        <v/>
      </c>
      <c r="Q231" s="44" t="str">
        <f ca="1">IF(Data!O221="","",IF(ISNUMBER(Data!Q221),IF(AND(Data!Q221&gt;(TODAY()-(Data_Val!$L$3*365.25)),Data!Q221&lt;=(TODAY()-(Data_Val!$L$2*365.25))),0,1),1))</f>
        <v/>
      </c>
    </row>
    <row r="232" spans="1:17" ht="12" customHeight="1" x14ac:dyDescent="0.25">
      <c r="A232" s="36" t="str">
        <f>IF(Data!B222="","",IF(COUNTIFS(Data!A$1:'Data'!A222,Data!A222)&lt;=1,0,1))</f>
        <v/>
      </c>
      <c r="B232" s="36"/>
      <c r="C232" s="36" t="str">
        <f>IF(Data!C222="","",(IF(ISNUMBER(MATCH("*@*.?*",Data!C222,0)),0,1)+IF(COUNTIFS(Data!C$1:'Data'!C222,Data!C222)&gt;1,1,0)))</f>
        <v/>
      </c>
      <c r="D232" s="36" t="str">
        <f>IF(Data!B222="","",IF(ISNUMBER(Data!D222),IF(AND(Data!D222&gt;999999999,Data!D222&lt;=9999999999),IF(COUNTIFS(Data!D$1:'Data'!D222,Data!D222)&lt;=1,0,1),1),1))</f>
        <v/>
      </c>
      <c r="E232" s="36" t="str">
        <f>IF(Data!B222="","",IF(ISNUMBER(MATCH(Data!E222,Data_Val!$A$2:$A$3,0)),0,1))</f>
        <v/>
      </c>
      <c r="F232" s="36" t="str">
        <f ca="1">IF(Data!B222="","",IF(ISNUMBER(Data!F222),IF(AND(Data!F222&gt;(TODAY()-(Data_Val!$H$3*365.25)),Data!F222&lt;=(TODAY()-(Data_Val!$H$2*365.25))),0,1),1))</f>
        <v/>
      </c>
      <c r="G232" s="12" t="str">
        <f>IF(Data!B222="","",IF(AND(Data!G222="",Data!H222&lt;&gt;""),1,IF(ISNUMBER(MATCH(Data!G222,Data_Val!$C$2:$C$5,0)),0,1)))</f>
        <v/>
      </c>
      <c r="H232" s="12" t="str">
        <f>IF(Data!B222="","",IF(AND(Data!G222&lt;&gt;"",Data!H222=""),1,IF(Data!G222="",1,IF(ISNUMBER(MATCH(Data!H222,Data_Val!$D$2:$D$35,0)),0,1))))</f>
        <v/>
      </c>
      <c r="I232" s="38" t="str">
        <f>IF(Data!G222="","",IF(Data!G222=Data_Val!$C$2,IF(Data!I222="",0,1),0))</f>
        <v/>
      </c>
      <c r="J232" s="38" t="str">
        <f>IF(Data!I222="","",IF(ISNUMBER(MATCH(Data!J222,Data_Val!$A$2:$A$3,0)),0,1))</f>
        <v/>
      </c>
      <c r="K232" s="38" t="str">
        <f ca="1">IF(Data!I222="","",IF(ISNUMBER(Data!K222),IF(AND(Data!K222&gt;(TODAY()-(Data_Val!$K$3*365.25)),Data!K222&lt;=(TODAY()-(Data_Val!$K$2*365.25))),0,1),1))</f>
        <v/>
      </c>
      <c r="L232" s="16" t="str">
        <f>IF(Data!G222="","",IF(Data!G222=Data_Val!$C$2,IF(Data!L222="",0,1),0))</f>
        <v/>
      </c>
      <c r="M232" s="16" t="str">
        <f>IF(Data!L222="","",IF(ISNUMBER(MATCH(Data!M222,Data_Val!$A$2:$A$3,0)),0,1))</f>
        <v/>
      </c>
      <c r="N232" s="43" t="str">
        <f ca="1">IF(Data!L222="","",IF(ISNUMBER(Data!N222),IF(AND(Data!N222&gt;(TODAY()-(Data_Val!$L$3*365.25)),Data!N222&lt;=(TODAY()-(Data_Val!$L$2*365.25))),0,1),1))</f>
        <v/>
      </c>
      <c r="O232" s="18" t="str">
        <f>IF(Data!$G222="","",IF(Data!$G222=Data_Val!$C$2,IF(Data!O222="",0,1),0))</f>
        <v/>
      </c>
      <c r="P232" s="18" t="str">
        <f>IF(Data!O222="","",IF(ISNUMBER(MATCH(Data!P222,Data_Val!$A$2:$A$3,0)),0,1))</f>
        <v/>
      </c>
      <c r="Q232" s="44" t="str">
        <f ca="1">IF(Data!O222="","",IF(ISNUMBER(Data!Q222),IF(AND(Data!Q222&gt;(TODAY()-(Data_Val!$L$3*365.25)),Data!Q222&lt;=(TODAY()-(Data_Val!$L$2*365.25))),0,1),1))</f>
        <v/>
      </c>
    </row>
    <row r="233" spans="1:17" ht="12" customHeight="1" x14ac:dyDescent="0.25">
      <c r="A233" s="36" t="str">
        <f>IF(Data!B223="","",IF(COUNTIFS(Data!A$1:'Data'!A223,Data!A223)&lt;=1,0,1))</f>
        <v/>
      </c>
      <c r="B233" s="36"/>
      <c r="C233" s="36" t="str">
        <f>IF(Data!C223="","",(IF(ISNUMBER(MATCH("*@*.?*",Data!C223,0)),0,1)+IF(COUNTIFS(Data!C$1:'Data'!C223,Data!C223)&gt;1,1,0)))</f>
        <v/>
      </c>
      <c r="D233" s="36" t="str">
        <f>IF(Data!B223="","",IF(ISNUMBER(Data!D223),IF(AND(Data!D223&gt;999999999,Data!D223&lt;=9999999999),IF(COUNTIFS(Data!D$1:'Data'!D223,Data!D223)&lt;=1,0,1),1),1))</f>
        <v/>
      </c>
      <c r="E233" s="36" t="str">
        <f>IF(Data!B223="","",IF(ISNUMBER(MATCH(Data!E223,Data_Val!$A$2:$A$3,0)),0,1))</f>
        <v/>
      </c>
      <c r="F233" s="36" t="str">
        <f ca="1">IF(Data!B223="","",IF(ISNUMBER(Data!F223),IF(AND(Data!F223&gt;(TODAY()-(Data_Val!$H$3*365.25)),Data!F223&lt;=(TODAY()-(Data_Val!$H$2*365.25))),0,1),1))</f>
        <v/>
      </c>
      <c r="G233" s="12" t="str">
        <f>IF(Data!B223="","",IF(AND(Data!G223="",Data!H223&lt;&gt;""),1,IF(ISNUMBER(MATCH(Data!G223,Data_Val!$C$2:$C$5,0)),0,1)))</f>
        <v/>
      </c>
      <c r="H233" s="12" t="str">
        <f>IF(Data!B223="","",IF(AND(Data!G223&lt;&gt;"",Data!H223=""),1,IF(Data!G223="",1,IF(ISNUMBER(MATCH(Data!H223,Data_Val!$D$2:$D$35,0)),0,1))))</f>
        <v/>
      </c>
      <c r="I233" s="38" t="str">
        <f>IF(Data!G223="","",IF(Data!G223=Data_Val!$C$2,IF(Data!I223="",0,1),0))</f>
        <v/>
      </c>
      <c r="J233" s="38" t="str">
        <f>IF(Data!I223="","",IF(ISNUMBER(MATCH(Data!J223,Data_Val!$A$2:$A$3,0)),0,1))</f>
        <v/>
      </c>
      <c r="K233" s="38" t="str">
        <f ca="1">IF(Data!I223="","",IF(ISNUMBER(Data!K223),IF(AND(Data!K223&gt;(TODAY()-(Data_Val!$K$3*365.25)),Data!K223&lt;=(TODAY()-(Data_Val!$K$2*365.25))),0,1),1))</f>
        <v/>
      </c>
      <c r="L233" s="16" t="str">
        <f>IF(Data!G223="","",IF(Data!G223=Data_Val!$C$2,IF(Data!L223="",0,1),0))</f>
        <v/>
      </c>
      <c r="M233" s="16" t="str">
        <f>IF(Data!L223="","",IF(ISNUMBER(MATCH(Data!M223,Data_Val!$A$2:$A$3,0)),0,1))</f>
        <v/>
      </c>
      <c r="N233" s="43" t="str">
        <f ca="1">IF(Data!L223="","",IF(ISNUMBER(Data!N223),IF(AND(Data!N223&gt;(TODAY()-(Data_Val!$L$3*365.25)),Data!N223&lt;=(TODAY()-(Data_Val!$L$2*365.25))),0,1),1))</f>
        <v/>
      </c>
      <c r="O233" s="18" t="str">
        <f>IF(Data!$G223="","",IF(Data!$G223=Data_Val!$C$2,IF(Data!O223="",0,1),0))</f>
        <v/>
      </c>
      <c r="P233" s="18" t="str">
        <f>IF(Data!O223="","",IF(ISNUMBER(MATCH(Data!P223,Data_Val!$A$2:$A$3,0)),0,1))</f>
        <v/>
      </c>
      <c r="Q233" s="44" t="str">
        <f ca="1">IF(Data!O223="","",IF(ISNUMBER(Data!Q223),IF(AND(Data!Q223&gt;(TODAY()-(Data_Val!$L$3*365.25)),Data!Q223&lt;=(TODAY()-(Data_Val!$L$2*365.25))),0,1),1))</f>
        <v/>
      </c>
    </row>
    <row r="234" spans="1:17" ht="12" customHeight="1" x14ac:dyDescent="0.25">
      <c r="A234" s="36" t="str">
        <f>IF(Data!B224="","",IF(COUNTIFS(Data!A$1:'Data'!A224,Data!A224)&lt;=1,0,1))</f>
        <v/>
      </c>
      <c r="B234" s="36"/>
      <c r="C234" s="36" t="str">
        <f>IF(Data!C224="","",(IF(ISNUMBER(MATCH("*@*.?*",Data!C224,0)),0,1)+IF(COUNTIFS(Data!C$1:'Data'!C224,Data!C224)&gt;1,1,0)))</f>
        <v/>
      </c>
      <c r="D234" s="36" t="str">
        <f>IF(Data!B224="","",IF(ISNUMBER(Data!D224),IF(AND(Data!D224&gt;999999999,Data!D224&lt;=9999999999),IF(COUNTIFS(Data!D$1:'Data'!D224,Data!D224)&lt;=1,0,1),1),1))</f>
        <v/>
      </c>
      <c r="E234" s="36" t="str">
        <f>IF(Data!B224="","",IF(ISNUMBER(MATCH(Data!E224,Data_Val!$A$2:$A$3,0)),0,1))</f>
        <v/>
      </c>
      <c r="F234" s="36" t="str">
        <f ca="1">IF(Data!B224="","",IF(ISNUMBER(Data!F224),IF(AND(Data!F224&gt;(TODAY()-(Data_Val!$H$3*365.25)),Data!F224&lt;=(TODAY()-(Data_Val!$H$2*365.25))),0,1),1))</f>
        <v/>
      </c>
      <c r="G234" s="12" t="str">
        <f>IF(Data!B224="","",IF(AND(Data!G224="",Data!H224&lt;&gt;""),1,IF(ISNUMBER(MATCH(Data!G224,Data_Val!$C$2:$C$5,0)),0,1)))</f>
        <v/>
      </c>
      <c r="H234" s="12" t="str">
        <f>IF(Data!B224="","",IF(AND(Data!G224&lt;&gt;"",Data!H224=""),1,IF(Data!G224="",1,IF(ISNUMBER(MATCH(Data!H224,Data_Val!$D$2:$D$35,0)),0,1))))</f>
        <v/>
      </c>
      <c r="I234" s="38" t="str">
        <f>IF(Data!G224="","",IF(Data!G224=Data_Val!$C$2,IF(Data!I224="",0,1),0))</f>
        <v/>
      </c>
      <c r="J234" s="38" t="str">
        <f>IF(Data!I224="","",IF(ISNUMBER(MATCH(Data!J224,Data_Val!$A$2:$A$3,0)),0,1))</f>
        <v/>
      </c>
      <c r="K234" s="38" t="str">
        <f ca="1">IF(Data!I224="","",IF(ISNUMBER(Data!K224),IF(AND(Data!K224&gt;(TODAY()-(Data_Val!$K$3*365.25)),Data!K224&lt;=(TODAY()-(Data_Val!$K$2*365.25))),0,1),1))</f>
        <v/>
      </c>
      <c r="L234" s="16" t="str">
        <f>IF(Data!G224="","",IF(Data!G224=Data_Val!$C$2,IF(Data!L224="",0,1),0))</f>
        <v/>
      </c>
      <c r="M234" s="16" t="str">
        <f>IF(Data!L224="","",IF(ISNUMBER(MATCH(Data!M224,Data_Val!$A$2:$A$3,0)),0,1))</f>
        <v/>
      </c>
      <c r="N234" s="43" t="str">
        <f ca="1">IF(Data!L224="","",IF(ISNUMBER(Data!N224),IF(AND(Data!N224&gt;(TODAY()-(Data_Val!$L$3*365.25)),Data!N224&lt;=(TODAY()-(Data_Val!$L$2*365.25))),0,1),1))</f>
        <v/>
      </c>
      <c r="O234" s="18" t="str">
        <f>IF(Data!$G224="","",IF(Data!$G224=Data_Val!$C$2,IF(Data!O224="",0,1),0))</f>
        <v/>
      </c>
      <c r="P234" s="18" t="str">
        <f>IF(Data!O224="","",IF(ISNUMBER(MATCH(Data!P224,Data_Val!$A$2:$A$3,0)),0,1))</f>
        <v/>
      </c>
      <c r="Q234" s="44" t="str">
        <f ca="1">IF(Data!O224="","",IF(ISNUMBER(Data!Q224),IF(AND(Data!Q224&gt;(TODAY()-(Data_Val!$L$3*365.25)),Data!Q224&lt;=(TODAY()-(Data_Val!$L$2*365.25))),0,1),1))</f>
        <v/>
      </c>
    </row>
    <row r="235" spans="1:17" ht="12" customHeight="1" x14ac:dyDescent="0.25">
      <c r="A235" s="36" t="str">
        <f>IF(Data!B225="","",IF(COUNTIFS(Data!A$1:'Data'!A225,Data!A225)&lt;=1,0,1))</f>
        <v/>
      </c>
      <c r="B235" s="36"/>
      <c r="C235" s="36" t="str">
        <f>IF(Data!C225="","",(IF(ISNUMBER(MATCH("*@*.?*",Data!C225,0)),0,1)+IF(COUNTIFS(Data!C$1:'Data'!C225,Data!C225)&gt;1,1,0)))</f>
        <v/>
      </c>
      <c r="D235" s="36" t="str">
        <f>IF(Data!B225="","",IF(ISNUMBER(Data!D225),IF(AND(Data!D225&gt;999999999,Data!D225&lt;=9999999999),IF(COUNTIFS(Data!D$1:'Data'!D225,Data!D225)&lt;=1,0,1),1),1))</f>
        <v/>
      </c>
      <c r="E235" s="36" t="str">
        <f>IF(Data!B225="","",IF(ISNUMBER(MATCH(Data!E225,Data_Val!$A$2:$A$3,0)),0,1))</f>
        <v/>
      </c>
      <c r="F235" s="36" t="str">
        <f ca="1">IF(Data!B225="","",IF(ISNUMBER(Data!F225),IF(AND(Data!F225&gt;(TODAY()-(Data_Val!$H$3*365.25)),Data!F225&lt;=(TODAY()-(Data_Val!$H$2*365.25))),0,1),1))</f>
        <v/>
      </c>
      <c r="G235" s="12" t="str">
        <f>IF(Data!B225="","",IF(AND(Data!G225="",Data!H225&lt;&gt;""),1,IF(ISNUMBER(MATCH(Data!G225,Data_Val!$C$2:$C$5,0)),0,1)))</f>
        <v/>
      </c>
      <c r="H235" s="12" t="str">
        <f>IF(Data!B225="","",IF(AND(Data!G225&lt;&gt;"",Data!H225=""),1,IF(Data!G225="",1,IF(ISNUMBER(MATCH(Data!H225,Data_Val!$D$2:$D$35,0)),0,1))))</f>
        <v/>
      </c>
      <c r="I235" s="38" t="str">
        <f>IF(Data!G225="","",IF(Data!G225=Data_Val!$C$2,IF(Data!I225="",0,1),0))</f>
        <v/>
      </c>
      <c r="J235" s="38" t="str">
        <f>IF(Data!I225="","",IF(ISNUMBER(MATCH(Data!J225,Data_Val!$A$2:$A$3,0)),0,1))</f>
        <v/>
      </c>
      <c r="K235" s="38" t="str">
        <f ca="1">IF(Data!I225="","",IF(ISNUMBER(Data!K225),IF(AND(Data!K225&gt;(TODAY()-(Data_Val!$K$3*365.25)),Data!K225&lt;=(TODAY()-(Data_Val!$K$2*365.25))),0,1),1))</f>
        <v/>
      </c>
      <c r="L235" s="16" t="str">
        <f>IF(Data!G225="","",IF(Data!G225=Data_Val!$C$2,IF(Data!L225="",0,1),0))</f>
        <v/>
      </c>
      <c r="M235" s="16" t="str">
        <f>IF(Data!L225="","",IF(ISNUMBER(MATCH(Data!M225,Data_Val!$A$2:$A$3,0)),0,1))</f>
        <v/>
      </c>
      <c r="N235" s="43" t="str">
        <f ca="1">IF(Data!L225="","",IF(ISNUMBER(Data!N225),IF(AND(Data!N225&gt;(TODAY()-(Data_Val!$L$3*365.25)),Data!N225&lt;=(TODAY()-(Data_Val!$L$2*365.25))),0,1),1))</f>
        <v/>
      </c>
      <c r="O235" s="18" t="str">
        <f>IF(Data!$G225="","",IF(Data!$G225=Data_Val!$C$2,IF(Data!O225="",0,1),0))</f>
        <v/>
      </c>
      <c r="P235" s="18" t="str">
        <f>IF(Data!O225="","",IF(ISNUMBER(MATCH(Data!P225,Data_Val!$A$2:$A$3,0)),0,1))</f>
        <v/>
      </c>
      <c r="Q235" s="44" t="str">
        <f ca="1">IF(Data!O225="","",IF(ISNUMBER(Data!Q225),IF(AND(Data!Q225&gt;(TODAY()-(Data_Val!$L$3*365.25)),Data!Q225&lt;=(TODAY()-(Data_Val!$L$2*365.25))),0,1),1))</f>
        <v/>
      </c>
    </row>
    <row r="236" spans="1:17" ht="12" customHeight="1" x14ac:dyDescent="0.25">
      <c r="A236" s="36" t="str">
        <f>IF(Data!B226="","",IF(COUNTIFS(Data!A$1:'Data'!A226,Data!A226)&lt;=1,0,1))</f>
        <v/>
      </c>
      <c r="B236" s="36"/>
      <c r="C236" s="36" t="str">
        <f>IF(Data!C226="","",(IF(ISNUMBER(MATCH("*@*.?*",Data!C226,0)),0,1)+IF(COUNTIFS(Data!C$1:'Data'!C226,Data!C226)&gt;1,1,0)))</f>
        <v/>
      </c>
      <c r="D236" s="36" t="str">
        <f>IF(Data!B226="","",IF(ISNUMBER(Data!D226),IF(AND(Data!D226&gt;999999999,Data!D226&lt;=9999999999),IF(COUNTIFS(Data!D$1:'Data'!D226,Data!D226)&lt;=1,0,1),1),1))</f>
        <v/>
      </c>
      <c r="E236" s="36" t="str">
        <f>IF(Data!B226="","",IF(ISNUMBER(MATCH(Data!E226,Data_Val!$A$2:$A$3,0)),0,1))</f>
        <v/>
      </c>
      <c r="F236" s="36" t="str">
        <f ca="1">IF(Data!B226="","",IF(ISNUMBER(Data!F226),IF(AND(Data!F226&gt;(TODAY()-(Data_Val!$H$3*365.25)),Data!F226&lt;=(TODAY()-(Data_Val!$H$2*365.25))),0,1),1))</f>
        <v/>
      </c>
      <c r="G236" s="12" t="str">
        <f>IF(Data!B226="","",IF(AND(Data!G226="",Data!H226&lt;&gt;""),1,IF(ISNUMBER(MATCH(Data!G226,Data_Val!$C$2:$C$5,0)),0,1)))</f>
        <v/>
      </c>
      <c r="H236" s="12" t="str">
        <f>IF(Data!B226="","",IF(AND(Data!G226&lt;&gt;"",Data!H226=""),1,IF(Data!G226="",1,IF(ISNUMBER(MATCH(Data!H226,Data_Val!$D$2:$D$35,0)),0,1))))</f>
        <v/>
      </c>
      <c r="I236" s="38" t="str">
        <f>IF(Data!G226="","",IF(Data!G226=Data_Val!$C$2,IF(Data!I226="",0,1),0))</f>
        <v/>
      </c>
      <c r="J236" s="38" t="str">
        <f>IF(Data!I226="","",IF(ISNUMBER(MATCH(Data!J226,Data_Val!$A$2:$A$3,0)),0,1))</f>
        <v/>
      </c>
      <c r="K236" s="38" t="str">
        <f ca="1">IF(Data!I226="","",IF(ISNUMBER(Data!K226),IF(AND(Data!K226&gt;(TODAY()-(Data_Val!$K$3*365.25)),Data!K226&lt;=(TODAY()-(Data_Val!$K$2*365.25))),0,1),1))</f>
        <v/>
      </c>
      <c r="L236" s="16" t="str">
        <f>IF(Data!G226="","",IF(Data!G226=Data_Val!$C$2,IF(Data!L226="",0,1),0))</f>
        <v/>
      </c>
      <c r="M236" s="16" t="str">
        <f>IF(Data!L226="","",IF(ISNUMBER(MATCH(Data!M226,Data_Val!$A$2:$A$3,0)),0,1))</f>
        <v/>
      </c>
      <c r="N236" s="43" t="str">
        <f ca="1">IF(Data!L226="","",IF(ISNUMBER(Data!N226),IF(AND(Data!N226&gt;(TODAY()-(Data_Val!$L$3*365.25)),Data!N226&lt;=(TODAY()-(Data_Val!$L$2*365.25))),0,1),1))</f>
        <v/>
      </c>
      <c r="O236" s="18" t="str">
        <f>IF(Data!$G226="","",IF(Data!$G226=Data_Val!$C$2,IF(Data!O226="",0,1),0))</f>
        <v/>
      </c>
      <c r="P236" s="18" t="str">
        <f>IF(Data!O226="","",IF(ISNUMBER(MATCH(Data!P226,Data_Val!$A$2:$A$3,0)),0,1))</f>
        <v/>
      </c>
      <c r="Q236" s="44" t="str">
        <f ca="1">IF(Data!O226="","",IF(ISNUMBER(Data!Q226),IF(AND(Data!Q226&gt;(TODAY()-(Data_Val!$L$3*365.25)),Data!Q226&lt;=(TODAY()-(Data_Val!$L$2*365.25))),0,1),1))</f>
        <v/>
      </c>
    </row>
    <row r="237" spans="1:17" ht="12" customHeight="1" x14ac:dyDescent="0.25">
      <c r="A237" s="36" t="str">
        <f>IF(Data!B227="","",IF(COUNTIFS(Data!A$1:'Data'!A227,Data!A227)&lt;=1,0,1))</f>
        <v/>
      </c>
      <c r="B237" s="36"/>
      <c r="C237" s="36" t="str">
        <f>IF(Data!C227="","",(IF(ISNUMBER(MATCH("*@*.?*",Data!C227,0)),0,1)+IF(COUNTIFS(Data!C$1:'Data'!C227,Data!C227)&gt;1,1,0)))</f>
        <v/>
      </c>
      <c r="D237" s="36" t="str">
        <f>IF(Data!B227="","",IF(ISNUMBER(Data!D227),IF(AND(Data!D227&gt;999999999,Data!D227&lt;=9999999999),IF(COUNTIFS(Data!D$1:'Data'!D227,Data!D227)&lt;=1,0,1),1),1))</f>
        <v/>
      </c>
      <c r="E237" s="36" t="str">
        <f>IF(Data!B227="","",IF(ISNUMBER(MATCH(Data!E227,Data_Val!$A$2:$A$3,0)),0,1))</f>
        <v/>
      </c>
      <c r="F237" s="36" t="str">
        <f ca="1">IF(Data!B227="","",IF(ISNUMBER(Data!F227),IF(AND(Data!F227&gt;(TODAY()-(Data_Val!$H$3*365.25)),Data!F227&lt;=(TODAY()-(Data_Val!$H$2*365.25))),0,1),1))</f>
        <v/>
      </c>
      <c r="G237" s="12" t="str">
        <f>IF(Data!B227="","",IF(AND(Data!G227="",Data!H227&lt;&gt;""),1,IF(ISNUMBER(MATCH(Data!G227,Data_Val!$C$2:$C$5,0)),0,1)))</f>
        <v/>
      </c>
      <c r="H237" s="12" t="str">
        <f>IF(Data!B227="","",IF(AND(Data!G227&lt;&gt;"",Data!H227=""),1,IF(Data!G227="",1,IF(ISNUMBER(MATCH(Data!H227,Data_Val!$D$2:$D$35,0)),0,1))))</f>
        <v/>
      </c>
      <c r="I237" s="38" t="str">
        <f>IF(Data!G227="","",IF(Data!G227=Data_Val!$C$2,IF(Data!I227="",0,1),0))</f>
        <v/>
      </c>
      <c r="J237" s="38" t="str">
        <f>IF(Data!I227="","",IF(ISNUMBER(MATCH(Data!J227,Data_Val!$A$2:$A$3,0)),0,1))</f>
        <v/>
      </c>
      <c r="K237" s="38" t="str">
        <f ca="1">IF(Data!I227="","",IF(ISNUMBER(Data!K227),IF(AND(Data!K227&gt;(TODAY()-(Data_Val!$K$3*365.25)),Data!K227&lt;=(TODAY()-(Data_Val!$K$2*365.25))),0,1),1))</f>
        <v/>
      </c>
      <c r="L237" s="16" t="str">
        <f>IF(Data!G227="","",IF(Data!G227=Data_Val!$C$2,IF(Data!L227="",0,1),0))</f>
        <v/>
      </c>
      <c r="M237" s="16" t="str">
        <f>IF(Data!L227="","",IF(ISNUMBER(MATCH(Data!M227,Data_Val!$A$2:$A$3,0)),0,1))</f>
        <v/>
      </c>
      <c r="N237" s="43" t="str">
        <f ca="1">IF(Data!L227="","",IF(ISNUMBER(Data!N227),IF(AND(Data!N227&gt;(TODAY()-(Data_Val!$L$3*365.25)),Data!N227&lt;=(TODAY()-(Data_Val!$L$2*365.25))),0,1),1))</f>
        <v/>
      </c>
      <c r="O237" s="18" t="str">
        <f>IF(Data!$G227="","",IF(Data!$G227=Data_Val!$C$2,IF(Data!O227="",0,1),0))</f>
        <v/>
      </c>
      <c r="P237" s="18" t="str">
        <f>IF(Data!O227="","",IF(ISNUMBER(MATCH(Data!P227,Data_Val!$A$2:$A$3,0)),0,1))</f>
        <v/>
      </c>
      <c r="Q237" s="44" t="str">
        <f ca="1">IF(Data!O227="","",IF(ISNUMBER(Data!Q227),IF(AND(Data!Q227&gt;(TODAY()-(Data_Val!$L$3*365.25)),Data!Q227&lt;=(TODAY()-(Data_Val!$L$2*365.25))),0,1),1))</f>
        <v/>
      </c>
    </row>
    <row r="238" spans="1:17" ht="12" customHeight="1" x14ac:dyDescent="0.25">
      <c r="A238" s="36" t="str">
        <f>IF(Data!B228="","",IF(COUNTIFS(Data!A$1:'Data'!A228,Data!A228)&lt;=1,0,1))</f>
        <v/>
      </c>
      <c r="B238" s="36"/>
      <c r="C238" s="36" t="str">
        <f>IF(Data!C228="","",(IF(ISNUMBER(MATCH("*@*.?*",Data!C228,0)),0,1)+IF(COUNTIFS(Data!C$1:'Data'!C228,Data!C228)&gt;1,1,0)))</f>
        <v/>
      </c>
      <c r="D238" s="36" t="str">
        <f>IF(Data!B228="","",IF(ISNUMBER(Data!D228),IF(AND(Data!D228&gt;999999999,Data!D228&lt;=9999999999),IF(COUNTIFS(Data!D$1:'Data'!D228,Data!D228)&lt;=1,0,1),1),1))</f>
        <v/>
      </c>
      <c r="E238" s="36" t="str">
        <f>IF(Data!B228="","",IF(ISNUMBER(MATCH(Data!E228,Data_Val!$A$2:$A$3,0)),0,1))</f>
        <v/>
      </c>
      <c r="F238" s="36" t="str">
        <f ca="1">IF(Data!B228="","",IF(ISNUMBER(Data!F228),IF(AND(Data!F228&gt;(TODAY()-(Data_Val!$H$3*365.25)),Data!F228&lt;=(TODAY()-(Data_Val!$H$2*365.25))),0,1),1))</f>
        <v/>
      </c>
      <c r="G238" s="12" t="str">
        <f>IF(Data!B228="","",IF(AND(Data!G228="",Data!H228&lt;&gt;""),1,IF(ISNUMBER(MATCH(Data!G228,Data_Val!$C$2:$C$5,0)),0,1)))</f>
        <v/>
      </c>
      <c r="H238" s="12" t="str">
        <f>IF(Data!B228="","",IF(AND(Data!G228&lt;&gt;"",Data!H228=""),1,IF(Data!G228="",1,IF(ISNUMBER(MATCH(Data!H228,Data_Val!$D$2:$D$35,0)),0,1))))</f>
        <v/>
      </c>
      <c r="I238" s="38" t="str">
        <f>IF(Data!G228="","",IF(Data!G228=Data_Val!$C$2,IF(Data!I228="",0,1),0))</f>
        <v/>
      </c>
      <c r="J238" s="38" t="str">
        <f>IF(Data!I228="","",IF(ISNUMBER(MATCH(Data!J228,Data_Val!$A$2:$A$3,0)),0,1))</f>
        <v/>
      </c>
      <c r="K238" s="38" t="str">
        <f ca="1">IF(Data!I228="","",IF(ISNUMBER(Data!K228),IF(AND(Data!K228&gt;(TODAY()-(Data_Val!$K$3*365.25)),Data!K228&lt;=(TODAY()-(Data_Val!$K$2*365.25))),0,1),1))</f>
        <v/>
      </c>
      <c r="L238" s="16" t="str">
        <f>IF(Data!G228="","",IF(Data!G228=Data_Val!$C$2,IF(Data!L228="",0,1),0))</f>
        <v/>
      </c>
      <c r="M238" s="16" t="str">
        <f>IF(Data!L228="","",IF(ISNUMBER(MATCH(Data!M228,Data_Val!$A$2:$A$3,0)),0,1))</f>
        <v/>
      </c>
      <c r="N238" s="43" t="str">
        <f ca="1">IF(Data!L228="","",IF(ISNUMBER(Data!N228),IF(AND(Data!N228&gt;(TODAY()-(Data_Val!$L$3*365.25)),Data!N228&lt;=(TODAY()-(Data_Val!$L$2*365.25))),0,1),1))</f>
        <v/>
      </c>
      <c r="O238" s="18" t="str">
        <f>IF(Data!$G228="","",IF(Data!$G228=Data_Val!$C$2,IF(Data!O228="",0,1),0))</f>
        <v/>
      </c>
      <c r="P238" s="18" t="str">
        <f>IF(Data!O228="","",IF(ISNUMBER(MATCH(Data!P228,Data_Val!$A$2:$A$3,0)),0,1))</f>
        <v/>
      </c>
      <c r="Q238" s="44" t="str">
        <f ca="1">IF(Data!O228="","",IF(ISNUMBER(Data!Q228),IF(AND(Data!Q228&gt;(TODAY()-(Data_Val!$L$3*365.25)),Data!Q228&lt;=(TODAY()-(Data_Val!$L$2*365.25))),0,1),1))</f>
        <v/>
      </c>
    </row>
    <row r="239" spans="1:17" ht="12" customHeight="1" x14ac:dyDescent="0.25">
      <c r="A239" s="36" t="str">
        <f>IF(Data!B229="","",IF(COUNTIFS(Data!A$1:'Data'!A229,Data!A229)&lt;=1,0,1))</f>
        <v/>
      </c>
      <c r="B239" s="36"/>
      <c r="C239" s="36" t="str">
        <f>IF(Data!C229="","",(IF(ISNUMBER(MATCH("*@*.?*",Data!C229,0)),0,1)+IF(COUNTIFS(Data!C$1:'Data'!C229,Data!C229)&gt;1,1,0)))</f>
        <v/>
      </c>
      <c r="D239" s="36" t="str">
        <f>IF(Data!B229="","",IF(ISNUMBER(Data!D229),IF(AND(Data!D229&gt;999999999,Data!D229&lt;=9999999999),IF(COUNTIFS(Data!D$1:'Data'!D229,Data!D229)&lt;=1,0,1),1),1))</f>
        <v/>
      </c>
      <c r="E239" s="36" t="str">
        <f>IF(Data!B229="","",IF(ISNUMBER(MATCH(Data!E229,Data_Val!$A$2:$A$3,0)),0,1))</f>
        <v/>
      </c>
      <c r="F239" s="36" t="str">
        <f ca="1">IF(Data!B229="","",IF(ISNUMBER(Data!F229),IF(AND(Data!F229&gt;(TODAY()-(Data_Val!$H$3*365.25)),Data!F229&lt;=(TODAY()-(Data_Val!$H$2*365.25))),0,1),1))</f>
        <v/>
      </c>
      <c r="G239" s="12" t="str">
        <f>IF(Data!B229="","",IF(AND(Data!G229="",Data!H229&lt;&gt;""),1,IF(ISNUMBER(MATCH(Data!G229,Data_Val!$C$2:$C$5,0)),0,1)))</f>
        <v/>
      </c>
      <c r="H239" s="12" t="str">
        <f>IF(Data!B229="","",IF(AND(Data!G229&lt;&gt;"",Data!H229=""),1,IF(Data!G229="",1,IF(ISNUMBER(MATCH(Data!H229,Data_Val!$D$2:$D$35,0)),0,1))))</f>
        <v/>
      </c>
      <c r="I239" s="38" t="str">
        <f>IF(Data!G229="","",IF(Data!G229=Data_Val!$C$2,IF(Data!I229="",0,1),0))</f>
        <v/>
      </c>
      <c r="J239" s="38" t="str">
        <f>IF(Data!I229="","",IF(ISNUMBER(MATCH(Data!J229,Data_Val!$A$2:$A$3,0)),0,1))</f>
        <v/>
      </c>
      <c r="K239" s="38" t="str">
        <f ca="1">IF(Data!I229="","",IF(ISNUMBER(Data!K229),IF(AND(Data!K229&gt;(TODAY()-(Data_Val!$K$3*365.25)),Data!K229&lt;=(TODAY()-(Data_Val!$K$2*365.25))),0,1),1))</f>
        <v/>
      </c>
      <c r="L239" s="16" t="str">
        <f>IF(Data!G229="","",IF(Data!G229=Data_Val!$C$2,IF(Data!L229="",0,1),0))</f>
        <v/>
      </c>
      <c r="M239" s="16" t="str">
        <f>IF(Data!L229="","",IF(ISNUMBER(MATCH(Data!M229,Data_Val!$A$2:$A$3,0)),0,1))</f>
        <v/>
      </c>
      <c r="N239" s="43" t="str">
        <f ca="1">IF(Data!L229="","",IF(ISNUMBER(Data!N229),IF(AND(Data!N229&gt;(TODAY()-(Data_Val!$L$3*365.25)),Data!N229&lt;=(TODAY()-(Data_Val!$L$2*365.25))),0,1),1))</f>
        <v/>
      </c>
      <c r="O239" s="18" t="str">
        <f>IF(Data!$G229="","",IF(Data!$G229=Data_Val!$C$2,IF(Data!O229="",0,1),0))</f>
        <v/>
      </c>
      <c r="P239" s="18" t="str">
        <f>IF(Data!O229="","",IF(ISNUMBER(MATCH(Data!P229,Data_Val!$A$2:$A$3,0)),0,1))</f>
        <v/>
      </c>
      <c r="Q239" s="44" t="str">
        <f ca="1">IF(Data!O229="","",IF(ISNUMBER(Data!Q229),IF(AND(Data!Q229&gt;(TODAY()-(Data_Val!$L$3*365.25)),Data!Q229&lt;=(TODAY()-(Data_Val!$L$2*365.25))),0,1),1))</f>
        <v/>
      </c>
    </row>
    <row r="240" spans="1:17" ht="12" customHeight="1" x14ac:dyDescent="0.25">
      <c r="A240" s="36" t="str">
        <f>IF(Data!B230="","",IF(COUNTIFS(Data!A$1:'Data'!A230,Data!A230)&lt;=1,0,1))</f>
        <v/>
      </c>
      <c r="B240" s="36"/>
      <c r="C240" s="36" t="str">
        <f>IF(Data!C230="","",(IF(ISNUMBER(MATCH("*@*.?*",Data!C230,0)),0,1)+IF(COUNTIFS(Data!C$1:'Data'!C230,Data!C230)&gt;1,1,0)))</f>
        <v/>
      </c>
      <c r="D240" s="36" t="str">
        <f>IF(Data!B230="","",IF(ISNUMBER(Data!D230),IF(AND(Data!D230&gt;999999999,Data!D230&lt;=9999999999),IF(COUNTIFS(Data!D$1:'Data'!D230,Data!D230)&lt;=1,0,1),1),1))</f>
        <v/>
      </c>
      <c r="E240" s="36" t="str">
        <f>IF(Data!B230="","",IF(ISNUMBER(MATCH(Data!E230,Data_Val!$A$2:$A$3,0)),0,1))</f>
        <v/>
      </c>
      <c r="F240" s="36" t="str">
        <f ca="1">IF(Data!B230="","",IF(ISNUMBER(Data!F230),IF(AND(Data!F230&gt;(TODAY()-(Data_Val!$H$3*365.25)),Data!F230&lt;=(TODAY()-(Data_Val!$H$2*365.25))),0,1),1))</f>
        <v/>
      </c>
      <c r="G240" s="12" t="str">
        <f>IF(Data!B230="","",IF(AND(Data!G230="",Data!H230&lt;&gt;""),1,IF(ISNUMBER(MATCH(Data!G230,Data_Val!$C$2:$C$5,0)),0,1)))</f>
        <v/>
      </c>
      <c r="H240" s="12" t="str">
        <f>IF(Data!B230="","",IF(AND(Data!G230&lt;&gt;"",Data!H230=""),1,IF(Data!G230="",1,IF(ISNUMBER(MATCH(Data!H230,Data_Val!$D$2:$D$35,0)),0,1))))</f>
        <v/>
      </c>
      <c r="I240" s="38" t="str">
        <f>IF(Data!G230="","",IF(Data!G230=Data_Val!$C$2,IF(Data!I230="",0,1),0))</f>
        <v/>
      </c>
      <c r="J240" s="38" t="str">
        <f>IF(Data!I230="","",IF(ISNUMBER(MATCH(Data!J230,Data_Val!$A$2:$A$3,0)),0,1))</f>
        <v/>
      </c>
      <c r="K240" s="38" t="str">
        <f ca="1">IF(Data!I230="","",IF(ISNUMBER(Data!K230),IF(AND(Data!K230&gt;(TODAY()-(Data_Val!$K$3*365.25)),Data!K230&lt;=(TODAY()-(Data_Val!$K$2*365.25))),0,1),1))</f>
        <v/>
      </c>
      <c r="L240" s="16" t="str">
        <f>IF(Data!G230="","",IF(Data!G230=Data_Val!$C$2,IF(Data!L230="",0,1),0))</f>
        <v/>
      </c>
      <c r="M240" s="16" t="str">
        <f>IF(Data!L230="","",IF(ISNUMBER(MATCH(Data!M230,Data_Val!$A$2:$A$3,0)),0,1))</f>
        <v/>
      </c>
      <c r="N240" s="43" t="str">
        <f ca="1">IF(Data!L230="","",IF(ISNUMBER(Data!N230),IF(AND(Data!N230&gt;(TODAY()-(Data_Val!$L$3*365.25)),Data!N230&lt;=(TODAY()-(Data_Val!$L$2*365.25))),0,1),1))</f>
        <v/>
      </c>
      <c r="O240" s="18" t="str">
        <f>IF(Data!$G230="","",IF(Data!$G230=Data_Val!$C$2,IF(Data!O230="",0,1),0))</f>
        <v/>
      </c>
      <c r="P240" s="18" t="str">
        <f>IF(Data!O230="","",IF(ISNUMBER(MATCH(Data!P230,Data_Val!$A$2:$A$3,0)),0,1))</f>
        <v/>
      </c>
      <c r="Q240" s="44" t="str">
        <f ca="1">IF(Data!O230="","",IF(ISNUMBER(Data!Q230),IF(AND(Data!Q230&gt;(TODAY()-(Data_Val!$L$3*365.25)),Data!Q230&lt;=(TODAY()-(Data_Val!$L$2*365.25))),0,1),1))</f>
        <v/>
      </c>
    </row>
    <row r="241" spans="1:17" ht="12" customHeight="1" x14ac:dyDescent="0.25">
      <c r="A241" s="36" t="str">
        <f>IF(Data!B231="","",IF(COUNTIFS(Data!A$1:'Data'!A231,Data!A231)&lt;=1,0,1))</f>
        <v/>
      </c>
      <c r="B241" s="36"/>
      <c r="C241" s="36" t="str">
        <f>IF(Data!C231="","",(IF(ISNUMBER(MATCH("*@*.?*",Data!C231,0)),0,1)+IF(COUNTIFS(Data!C$1:'Data'!C231,Data!C231)&gt;1,1,0)))</f>
        <v/>
      </c>
      <c r="D241" s="36" t="str">
        <f>IF(Data!B231="","",IF(ISNUMBER(Data!D231),IF(AND(Data!D231&gt;999999999,Data!D231&lt;=9999999999),IF(COUNTIFS(Data!D$1:'Data'!D231,Data!D231)&lt;=1,0,1),1),1))</f>
        <v/>
      </c>
      <c r="E241" s="36" t="str">
        <f>IF(Data!B231="","",IF(ISNUMBER(MATCH(Data!E231,Data_Val!$A$2:$A$3,0)),0,1))</f>
        <v/>
      </c>
      <c r="F241" s="36" t="str">
        <f ca="1">IF(Data!B231="","",IF(ISNUMBER(Data!F231),IF(AND(Data!F231&gt;(TODAY()-(Data_Val!$H$3*365.25)),Data!F231&lt;=(TODAY()-(Data_Val!$H$2*365.25))),0,1),1))</f>
        <v/>
      </c>
      <c r="G241" s="12" t="str">
        <f>IF(Data!B231="","",IF(AND(Data!G231="",Data!H231&lt;&gt;""),1,IF(ISNUMBER(MATCH(Data!G231,Data_Val!$C$2:$C$5,0)),0,1)))</f>
        <v/>
      </c>
      <c r="H241" s="12" t="str">
        <f>IF(Data!B231="","",IF(AND(Data!G231&lt;&gt;"",Data!H231=""),1,IF(Data!G231="",1,IF(ISNUMBER(MATCH(Data!H231,Data_Val!$D$2:$D$35,0)),0,1))))</f>
        <v/>
      </c>
      <c r="I241" s="38" t="str">
        <f>IF(Data!G231="","",IF(Data!G231=Data_Val!$C$2,IF(Data!I231="",0,1),0))</f>
        <v/>
      </c>
      <c r="J241" s="38" t="str">
        <f>IF(Data!I231="","",IF(ISNUMBER(MATCH(Data!J231,Data_Val!$A$2:$A$3,0)),0,1))</f>
        <v/>
      </c>
      <c r="K241" s="38" t="str">
        <f ca="1">IF(Data!I231="","",IF(ISNUMBER(Data!K231),IF(AND(Data!K231&gt;(TODAY()-(Data_Val!$K$3*365.25)),Data!K231&lt;=(TODAY()-(Data_Val!$K$2*365.25))),0,1),1))</f>
        <v/>
      </c>
      <c r="L241" s="16" t="str">
        <f>IF(Data!G231="","",IF(Data!G231=Data_Val!$C$2,IF(Data!L231="",0,1),0))</f>
        <v/>
      </c>
      <c r="M241" s="16" t="str">
        <f>IF(Data!L231="","",IF(ISNUMBER(MATCH(Data!M231,Data_Val!$A$2:$A$3,0)),0,1))</f>
        <v/>
      </c>
      <c r="N241" s="43" t="str">
        <f ca="1">IF(Data!L231="","",IF(ISNUMBER(Data!N231),IF(AND(Data!N231&gt;(TODAY()-(Data_Val!$L$3*365.25)),Data!N231&lt;=(TODAY()-(Data_Val!$L$2*365.25))),0,1),1))</f>
        <v/>
      </c>
      <c r="O241" s="18" t="str">
        <f>IF(Data!$G231="","",IF(Data!$G231=Data_Val!$C$2,IF(Data!O231="",0,1),0))</f>
        <v/>
      </c>
      <c r="P241" s="18" t="str">
        <f>IF(Data!O231="","",IF(ISNUMBER(MATCH(Data!P231,Data_Val!$A$2:$A$3,0)),0,1))</f>
        <v/>
      </c>
      <c r="Q241" s="44" t="str">
        <f ca="1">IF(Data!O231="","",IF(ISNUMBER(Data!Q231),IF(AND(Data!Q231&gt;(TODAY()-(Data_Val!$L$3*365.25)),Data!Q231&lt;=(TODAY()-(Data_Val!$L$2*365.25))),0,1),1))</f>
        <v/>
      </c>
    </row>
    <row r="242" spans="1:17" ht="12" customHeight="1" x14ac:dyDescent="0.25">
      <c r="A242" s="36" t="str">
        <f>IF(Data!B232="","",IF(COUNTIFS(Data!A$1:'Data'!A232,Data!A232)&lt;=1,0,1))</f>
        <v/>
      </c>
      <c r="B242" s="36"/>
      <c r="C242" s="36" t="str">
        <f>IF(Data!C232="","",(IF(ISNUMBER(MATCH("*@*.?*",Data!C232,0)),0,1)+IF(COUNTIFS(Data!C$1:'Data'!C232,Data!C232)&gt;1,1,0)))</f>
        <v/>
      </c>
      <c r="D242" s="36" t="str">
        <f>IF(Data!B232="","",IF(ISNUMBER(Data!D232),IF(AND(Data!D232&gt;999999999,Data!D232&lt;=9999999999),IF(COUNTIFS(Data!D$1:'Data'!D232,Data!D232)&lt;=1,0,1),1),1))</f>
        <v/>
      </c>
      <c r="E242" s="36" t="str">
        <f>IF(Data!B232="","",IF(ISNUMBER(MATCH(Data!E232,Data_Val!$A$2:$A$3,0)),0,1))</f>
        <v/>
      </c>
      <c r="F242" s="36" t="str">
        <f ca="1">IF(Data!B232="","",IF(ISNUMBER(Data!F232),IF(AND(Data!F232&gt;(TODAY()-(Data_Val!$H$3*365.25)),Data!F232&lt;=(TODAY()-(Data_Val!$H$2*365.25))),0,1),1))</f>
        <v/>
      </c>
      <c r="G242" s="12" t="str">
        <f>IF(Data!B232="","",IF(AND(Data!G232="",Data!H232&lt;&gt;""),1,IF(ISNUMBER(MATCH(Data!G232,Data_Val!$C$2:$C$5,0)),0,1)))</f>
        <v/>
      </c>
      <c r="H242" s="12" t="str">
        <f>IF(Data!B232="","",IF(AND(Data!G232&lt;&gt;"",Data!H232=""),1,IF(Data!G232="",1,IF(ISNUMBER(MATCH(Data!H232,Data_Val!$D$2:$D$35,0)),0,1))))</f>
        <v/>
      </c>
      <c r="I242" s="38" t="str">
        <f>IF(Data!G232="","",IF(Data!G232=Data_Val!$C$2,IF(Data!I232="",0,1),0))</f>
        <v/>
      </c>
      <c r="J242" s="38" t="str">
        <f>IF(Data!I232="","",IF(ISNUMBER(MATCH(Data!J232,Data_Val!$A$2:$A$3,0)),0,1))</f>
        <v/>
      </c>
      <c r="K242" s="38" t="str">
        <f ca="1">IF(Data!I232="","",IF(ISNUMBER(Data!K232),IF(AND(Data!K232&gt;(TODAY()-(Data_Val!$K$3*365.25)),Data!K232&lt;=(TODAY()-(Data_Val!$K$2*365.25))),0,1),1))</f>
        <v/>
      </c>
      <c r="L242" s="16" t="str">
        <f>IF(Data!G232="","",IF(Data!G232=Data_Val!$C$2,IF(Data!L232="",0,1),0))</f>
        <v/>
      </c>
      <c r="M242" s="16" t="str">
        <f>IF(Data!L232="","",IF(ISNUMBER(MATCH(Data!M232,Data_Val!$A$2:$A$3,0)),0,1))</f>
        <v/>
      </c>
      <c r="N242" s="43" t="str">
        <f ca="1">IF(Data!L232="","",IF(ISNUMBER(Data!N232),IF(AND(Data!N232&gt;(TODAY()-(Data_Val!$L$3*365.25)),Data!N232&lt;=(TODAY()-(Data_Val!$L$2*365.25))),0,1),1))</f>
        <v/>
      </c>
      <c r="O242" s="18" t="str">
        <f>IF(Data!$G232="","",IF(Data!$G232=Data_Val!$C$2,IF(Data!O232="",0,1),0))</f>
        <v/>
      </c>
      <c r="P242" s="18" t="str">
        <f>IF(Data!O232="","",IF(ISNUMBER(MATCH(Data!P232,Data_Val!$A$2:$A$3,0)),0,1))</f>
        <v/>
      </c>
      <c r="Q242" s="44" t="str">
        <f ca="1">IF(Data!O232="","",IF(ISNUMBER(Data!Q232),IF(AND(Data!Q232&gt;(TODAY()-(Data_Val!$L$3*365.25)),Data!Q232&lt;=(TODAY()-(Data_Val!$L$2*365.25))),0,1),1))</f>
        <v/>
      </c>
    </row>
    <row r="243" spans="1:17" ht="12" customHeight="1" x14ac:dyDescent="0.25">
      <c r="A243" s="36" t="str">
        <f>IF(Data!B233="","",IF(COUNTIFS(Data!A$1:'Data'!A233,Data!A233)&lt;=1,0,1))</f>
        <v/>
      </c>
      <c r="B243" s="36"/>
      <c r="C243" s="36" t="str">
        <f>IF(Data!C233="","",(IF(ISNUMBER(MATCH("*@*.?*",Data!C233,0)),0,1)+IF(COUNTIFS(Data!C$1:'Data'!C233,Data!C233)&gt;1,1,0)))</f>
        <v/>
      </c>
      <c r="D243" s="36" t="str">
        <f>IF(Data!B233="","",IF(ISNUMBER(Data!D233),IF(AND(Data!D233&gt;999999999,Data!D233&lt;=9999999999),IF(COUNTIFS(Data!D$1:'Data'!D233,Data!D233)&lt;=1,0,1),1),1))</f>
        <v/>
      </c>
      <c r="E243" s="36" t="str">
        <f>IF(Data!B233="","",IF(ISNUMBER(MATCH(Data!E233,Data_Val!$A$2:$A$3,0)),0,1))</f>
        <v/>
      </c>
      <c r="F243" s="36" t="str">
        <f ca="1">IF(Data!B233="","",IF(ISNUMBER(Data!F233),IF(AND(Data!F233&gt;(TODAY()-(Data_Val!$H$3*365.25)),Data!F233&lt;=(TODAY()-(Data_Val!$H$2*365.25))),0,1),1))</f>
        <v/>
      </c>
      <c r="G243" s="12" t="str">
        <f>IF(Data!B233="","",IF(AND(Data!G233="",Data!H233&lt;&gt;""),1,IF(ISNUMBER(MATCH(Data!G233,Data_Val!$C$2:$C$5,0)),0,1)))</f>
        <v/>
      </c>
      <c r="H243" s="12" t="str">
        <f>IF(Data!B233="","",IF(AND(Data!G233&lt;&gt;"",Data!H233=""),1,IF(Data!G233="",1,IF(ISNUMBER(MATCH(Data!H233,Data_Val!$D$2:$D$35,0)),0,1))))</f>
        <v/>
      </c>
      <c r="I243" s="38" t="str">
        <f>IF(Data!G233="","",IF(Data!G233=Data_Val!$C$2,IF(Data!I233="",0,1),0))</f>
        <v/>
      </c>
      <c r="J243" s="38" t="str">
        <f>IF(Data!I233="","",IF(ISNUMBER(MATCH(Data!J233,Data_Val!$A$2:$A$3,0)),0,1))</f>
        <v/>
      </c>
      <c r="K243" s="38" t="str">
        <f ca="1">IF(Data!I233="","",IF(ISNUMBER(Data!K233),IF(AND(Data!K233&gt;(TODAY()-(Data_Val!$K$3*365.25)),Data!K233&lt;=(TODAY()-(Data_Val!$K$2*365.25))),0,1),1))</f>
        <v/>
      </c>
      <c r="L243" s="16" t="str">
        <f>IF(Data!G233="","",IF(Data!G233=Data_Val!$C$2,IF(Data!L233="",0,1),0))</f>
        <v/>
      </c>
      <c r="M243" s="16" t="str">
        <f>IF(Data!L233="","",IF(ISNUMBER(MATCH(Data!M233,Data_Val!$A$2:$A$3,0)),0,1))</f>
        <v/>
      </c>
      <c r="N243" s="43" t="str">
        <f ca="1">IF(Data!L233="","",IF(ISNUMBER(Data!N233),IF(AND(Data!N233&gt;(TODAY()-(Data_Val!$L$3*365.25)),Data!N233&lt;=(TODAY()-(Data_Val!$L$2*365.25))),0,1),1))</f>
        <v/>
      </c>
      <c r="O243" s="18" t="str">
        <f>IF(Data!$G233="","",IF(Data!$G233=Data_Val!$C$2,IF(Data!O233="",0,1),0))</f>
        <v/>
      </c>
      <c r="P243" s="18" t="str">
        <f>IF(Data!O233="","",IF(ISNUMBER(MATCH(Data!P233,Data_Val!$A$2:$A$3,0)),0,1))</f>
        <v/>
      </c>
      <c r="Q243" s="44" t="str">
        <f ca="1">IF(Data!O233="","",IF(ISNUMBER(Data!Q233),IF(AND(Data!Q233&gt;(TODAY()-(Data_Val!$L$3*365.25)),Data!Q233&lt;=(TODAY()-(Data_Val!$L$2*365.25))),0,1),1))</f>
        <v/>
      </c>
    </row>
    <row r="244" spans="1:17" ht="12" customHeight="1" x14ac:dyDescent="0.25">
      <c r="A244" s="36" t="str">
        <f>IF(Data!B234="","",IF(COUNTIFS(Data!A$1:'Data'!A234,Data!A234)&lt;=1,0,1))</f>
        <v/>
      </c>
      <c r="B244" s="36"/>
      <c r="C244" s="36" t="str">
        <f>IF(Data!C234="","",(IF(ISNUMBER(MATCH("*@*.?*",Data!C234,0)),0,1)+IF(COUNTIFS(Data!C$1:'Data'!C234,Data!C234)&gt;1,1,0)))</f>
        <v/>
      </c>
      <c r="D244" s="36" t="str">
        <f>IF(Data!B234="","",IF(ISNUMBER(Data!D234),IF(AND(Data!D234&gt;999999999,Data!D234&lt;=9999999999),IF(COUNTIFS(Data!D$1:'Data'!D234,Data!D234)&lt;=1,0,1),1),1))</f>
        <v/>
      </c>
      <c r="E244" s="36" t="str">
        <f>IF(Data!B234="","",IF(ISNUMBER(MATCH(Data!E234,Data_Val!$A$2:$A$3,0)),0,1))</f>
        <v/>
      </c>
      <c r="F244" s="36" t="str">
        <f ca="1">IF(Data!B234="","",IF(ISNUMBER(Data!F234),IF(AND(Data!F234&gt;(TODAY()-(Data_Val!$H$3*365.25)),Data!F234&lt;=(TODAY()-(Data_Val!$H$2*365.25))),0,1),1))</f>
        <v/>
      </c>
      <c r="G244" s="12" t="str">
        <f>IF(Data!B234="","",IF(AND(Data!G234="",Data!H234&lt;&gt;""),1,IF(ISNUMBER(MATCH(Data!G234,Data_Val!$C$2:$C$5,0)),0,1)))</f>
        <v/>
      </c>
      <c r="H244" s="12" t="str">
        <f>IF(Data!B234="","",IF(AND(Data!G234&lt;&gt;"",Data!H234=""),1,IF(Data!G234="",1,IF(ISNUMBER(MATCH(Data!H234,Data_Val!$D$2:$D$35,0)),0,1))))</f>
        <v/>
      </c>
      <c r="I244" s="38" t="str">
        <f>IF(Data!G234="","",IF(Data!G234=Data_Val!$C$2,IF(Data!I234="",0,1),0))</f>
        <v/>
      </c>
      <c r="J244" s="38" t="str">
        <f>IF(Data!I234="","",IF(ISNUMBER(MATCH(Data!J234,Data_Val!$A$2:$A$3,0)),0,1))</f>
        <v/>
      </c>
      <c r="K244" s="38" t="str">
        <f ca="1">IF(Data!I234="","",IF(ISNUMBER(Data!K234),IF(AND(Data!K234&gt;(TODAY()-(Data_Val!$K$3*365.25)),Data!K234&lt;=(TODAY()-(Data_Val!$K$2*365.25))),0,1),1))</f>
        <v/>
      </c>
      <c r="L244" s="16" t="str">
        <f>IF(Data!G234="","",IF(Data!G234=Data_Val!$C$2,IF(Data!L234="",0,1),0))</f>
        <v/>
      </c>
      <c r="M244" s="16" t="str">
        <f>IF(Data!L234="","",IF(ISNUMBER(MATCH(Data!M234,Data_Val!$A$2:$A$3,0)),0,1))</f>
        <v/>
      </c>
      <c r="N244" s="43" t="str">
        <f ca="1">IF(Data!L234="","",IF(ISNUMBER(Data!N234),IF(AND(Data!N234&gt;(TODAY()-(Data_Val!$L$3*365.25)),Data!N234&lt;=(TODAY()-(Data_Val!$L$2*365.25))),0,1),1))</f>
        <v/>
      </c>
      <c r="O244" s="18" t="str">
        <f>IF(Data!$G234="","",IF(Data!$G234=Data_Val!$C$2,IF(Data!O234="",0,1),0))</f>
        <v/>
      </c>
      <c r="P244" s="18" t="str">
        <f>IF(Data!O234="","",IF(ISNUMBER(MATCH(Data!P234,Data_Val!$A$2:$A$3,0)),0,1))</f>
        <v/>
      </c>
      <c r="Q244" s="44" t="str">
        <f ca="1">IF(Data!O234="","",IF(ISNUMBER(Data!Q234),IF(AND(Data!Q234&gt;(TODAY()-(Data_Val!$L$3*365.25)),Data!Q234&lt;=(TODAY()-(Data_Val!$L$2*365.25))),0,1),1))</f>
        <v/>
      </c>
    </row>
    <row r="245" spans="1:17" ht="12" customHeight="1" x14ac:dyDescent="0.25">
      <c r="A245" s="36" t="str">
        <f>IF(Data!B235="","",IF(COUNTIFS(Data!A$1:'Data'!A235,Data!A235)&lt;=1,0,1))</f>
        <v/>
      </c>
      <c r="B245" s="36"/>
      <c r="C245" s="36" t="str">
        <f>IF(Data!C235="","",(IF(ISNUMBER(MATCH("*@*.?*",Data!C235,0)),0,1)+IF(COUNTIFS(Data!C$1:'Data'!C235,Data!C235)&gt;1,1,0)))</f>
        <v/>
      </c>
      <c r="D245" s="36" t="str">
        <f>IF(Data!B235="","",IF(ISNUMBER(Data!D235),IF(AND(Data!D235&gt;999999999,Data!D235&lt;=9999999999),IF(COUNTIFS(Data!D$1:'Data'!D235,Data!D235)&lt;=1,0,1),1),1))</f>
        <v/>
      </c>
      <c r="E245" s="36" t="str">
        <f>IF(Data!B235="","",IF(ISNUMBER(MATCH(Data!E235,Data_Val!$A$2:$A$3,0)),0,1))</f>
        <v/>
      </c>
      <c r="F245" s="36" t="str">
        <f ca="1">IF(Data!B235="","",IF(ISNUMBER(Data!F235),IF(AND(Data!F235&gt;(TODAY()-(Data_Val!$H$3*365.25)),Data!F235&lt;=(TODAY()-(Data_Val!$H$2*365.25))),0,1),1))</f>
        <v/>
      </c>
      <c r="G245" s="12" t="str">
        <f>IF(Data!B235="","",IF(AND(Data!G235="",Data!H235&lt;&gt;""),1,IF(ISNUMBER(MATCH(Data!G235,Data_Val!$C$2:$C$5,0)),0,1)))</f>
        <v/>
      </c>
      <c r="H245" s="12" t="str">
        <f>IF(Data!B235="","",IF(AND(Data!G235&lt;&gt;"",Data!H235=""),1,IF(Data!G235="",1,IF(ISNUMBER(MATCH(Data!H235,Data_Val!$D$2:$D$35,0)),0,1))))</f>
        <v/>
      </c>
      <c r="I245" s="38" t="str">
        <f>IF(Data!G235="","",IF(Data!G235=Data_Val!$C$2,IF(Data!I235="",0,1),0))</f>
        <v/>
      </c>
      <c r="J245" s="38" t="str">
        <f>IF(Data!I235="","",IF(ISNUMBER(MATCH(Data!J235,Data_Val!$A$2:$A$3,0)),0,1))</f>
        <v/>
      </c>
      <c r="K245" s="38" t="str">
        <f ca="1">IF(Data!I235="","",IF(ISNUMBER(Data!K235),IF(AND(Data!K235&gt;(TODAY()-(Data_Val!$K$3*365.25)),Data!K235&lt;=(TODAY()-(Data_Val!$K$2*365.25))),0,1),1))</f>
        <v/>
      </c>
      <c r="L245" s="16" t="str">
        <f>IF(Data!G235="","",IF(Data!G235=Data_Val!$C$2,IF(Data!L235="",0,1),0))</f>
        <v/>
      </c>
      <c r="M245" s="16" t="str">
        <f>IF(Data!L235="","",IF(ISNUMBER(MATCH(Data!M235,Data_Val!$A$2:$A$3,0)),0,1))</f>
        <v/>
      </c>
      <c r="N245" s="43" t="str">
        <f ca="1">IF(Data!L235="","",IF(ISNUMBER(Data!N235),IF(AND(Data!N235&gt;(TODAY()-(Data_Val!$L$3*365.25)),Data!N235&lt;=(TODAY()-(Data_Val!$L$2*365.25))),0,1),1))</f>
        <v/>
      </c>
      <c r="O245" s="18" t="str">
        <f>IF(Data!$G235="","",IF(Data!$G235=Data_Val!$C$2,IF(Data!O235="",0,1),0))</f>
        <v/>
      </c>
      <c r="P245" s="18" t="str">
        <f>IF(Data!O235="","",IF(ISNUMBER(MATCH(Data!P235,Data_Val!$A$2:$A$3,0)),0,1))</f>
        <v/>
      </c>
      <c r="Q245" s="44" t="str">
        <f ca="1">IF(Data!O235="","",IF(ISNUMBER(Data!Q235),IF(AND(Data!Q235&gt;(TODAY()-(Data_Val!$L$3*365.25)),Data!Q235&lt;=(TODAY()-(Data_Val!$L$2*365.25))),0,1),1))</f>
        <v/>
      </c>
    </row>
    <row r="246" spans="1:17" ht="12" customHeight="1" x14ac:dyDescent="0.25">
      <c r="A246" s="36" t="str">
        <f>IF(Data!B236="","",IF(COUNTIFS(Data!A$1:'Data'!A236,Data!A236)&lt;=1,0,1))</f>
        <v/>
      </c>
      <c r="B246" s="36"/>
      <c r="C246" s="36" t="str">
        <f>IF(Data!C236="","",(IF(ISNUMBER(MATCH("*@*.?*",Data!C236,0)),0,1)+IF(COUNTIFS(Data!C$1:'Data'!C236,Data!C236)&gt;1,1,0)))</f>
        <v/>
      </c>
      <c r="D246" s="36" t="str">
        <f>IF(Data!B236="","",IF(ISNUMBER(Data!D236),IF(AND(Data!D236&gt;999999999,Data!D236&lt;=9999999999),IF(COUNTIFS(Data!D$1:'Data'!D236,Data!D236)&lt;=1,0,1),1),1))</f>
        <v/>
      </c>
      <c r="E246" s="36" t="str">
        <f>IF(Data!B236="","",IF(ISNUMBER(MATCH(Data!E236,Data_Val!$A$2:$A$3,0)),0,1))</f>
        <v/>
      </c>
      <c r="F246" s="36" t="str">
        <f ca="1">IF(Data!B236="","",IF(ISNUMBER(Data!F236),IF(AND(Data!F236&gt;(TODAY()-(Data_Val!$H$3*365.25)),Data!F236&lt;=(TODAY()-(Data_Val!$H$2*365.25))),0,1),1))</f>
        <v/>
      </c>
      <c r="G246" s="12" t="str">
        <f>IF(Data!B236="","",IF(AND(Data!G236="",Data!H236&lt;&gt;""),1,IF(ISNUMBER(MATCH(Data!G236,Data_Val!$C$2:$C$5,0)),0,1)))</f>
        <v/>
      </c>
      <c r="H246" s="12" t="str">
        <f>IF(Data!B236="","",IF(AND(Data!G236&lt;&gt;"",Data!H236=""),1,IF(Data!G236="",1,IF(ISNUMBER(MATCH(Data!H236,Data_Val!$D$2:$D$35,0)),0,1))))</f>
        <v/>
      </c>
      <c r="I246" s="38" t="str">
        <f>IF(Data!G236="","",IF(Data!G236=Data_Val!$C$2,IF(Data!I236="",0,1),0))</f>
        <v/>
      </c>
      <c r="J246" s="38" t="str">
        <f>IF(Data!I236="","",IF(ISNUMBER(MATCH(Data!J236,Data_Val!$A$2:$A$3,0)),0,1))</f>
        <v/>
      </c>
      <c r="K246" s="38" t="str">
        <f ca="1">IF(Data!I236="","",IF(ISNUMBER(Data!K236),IF(AND(Data!K236&gt;(TODAY()-(Data_Val!$K$3*365.25)),Data!K236&lt;=(TODAY()-(Data_Val!$K$2*365.25))),0,1),1))</f>
        <v/>
      </c>
      <c r="L246" s="16" t="str">
        <f>IF(Data!G236="","",IF(Data!G236=Data_Val!$C$2,IF(Data!L236="",0,1),0))</f>
        <v/>
      </c>
      <c r="M246" s="16" t="str">
        <f>IF(Data!L236="","",IF(ISNUMBER(MATCH(Data!M236,Data_Val!$A$2:$A$3,0)),0,1))</f>
        <v/>
      </c>
      <c r="N246" s="43" t="str">
        <f ca="1">IF(Data!L236="","",IF(ISNUMBER(Data!N236),IF(AND(Data!N236&gt;(TODAY()-(Data_Val!$L$3*365.25)),Data!N236&lt;=(TODAY()-(Data_Val!$L$2*365.25))),0,1),1))</f>
        <v/>
      </c>
      <c r="O246" s="18" t="str">
        <f>IF(Data!$G236="","",IF(Data!$G236=Data_Val!$C$2,IF(Data!O236="",0,1),0))</f>
        <v/>
      </c>
      <c r="P246" s="18" t="str">
        <f>IF(Data!O236="","",IF(ISNUMBER(MATCH(Data!P236,Data_Val!$A$2:$A$3,0)),0,1))</f>
        <v/>
      </c>
      <c r="Q246" s="44" t="str">
        <f ca="1">IF(Data!O236="","",IF(ISNUMBER(Data!Q236),IF(AND(Data!Q236&gt;(TODAY()-(Data_Val!$L$3*365.25)),Data!Q236&lt;=(TODAY()-(Data_Val!$L$2*365.25))),0,1),1))</f>
        <v/>
      </c>
    </row>
    <row r="247" spans="1:17" ht="12" customHeight="1" x14ac:dyDescent="0.25">
      <c r="A247" s="36" t="str">
        <f>IF(Data!B237="","",IF(COUNTIFS(Data!A$1:'Data'!A237,Data!A237)&lt;=1,0,1))</f>
        <v/>
      </c>
      <c r="B247" s="36"/>
      <c r="C247" s="36" t="str">
        <f>IF(Data!C237="","",(IF(ISNUMBER(MATCH("*@*.?*",Data!C237,0)),0,1)+IF(COUNTIFS(Data!C$1:'Data'!C237,Data!C237)&gt;1,1,0)))</f>
        <v/>
      </c>
      <c r="D247" s="36" t="str">
        <f>IF(Data!B237="","",IF(ISNUMBER(Data!D237),IF(AND(Data!D237&gt;999999999,Data!D237&lt;=9999999999),IF(COUNTIFS(Data!D$1:'Data'!D237,Data!D237)&lt;=1,0,1),1),1))</f>
        <v/>
      </c>
      <c r="E247" s="36" t="str">
        <f>IF(Data!B237="","",IF(ISNUMBER(MATCH(Data!E237,Data_Val!$A$2:$A$3,0)),0,1))</f>
        <v/>
      </c>
      <c r="F247" s="36" t="str">
        <f ca="1">IF(Data!B237="","",IF(ISNUMBER(Data!F237),IF(AND(Data!F237&gt;(TODAY()-(Data_Val!$H$3*365.25)),Data!F237&lt;=(TODAY()-(Data_Val!$H$2*365.25))),0,1),1))</f>
        <v/>
      </c>
      <c r="G247" s="12" t="str">
        <f>IF(Data!B237="","",IF(AND(Data!G237="",Data!H237&lt;&gt;""),1,IF(ISNUMBER(MATCH(Data!G237,Data_Val!$C$2:$C$5,0)),0,1)))</f>
        <v/>
      </c>
      <c r="H247" s="12" t="str">
        <f>IF(Data!B237="","",IF(AND(Data!G237&lt;&gt;"",Data!H237=""),1,IF(Data!G237="",1,IF(ISNUMBER(MATCH(Data!H237,Data_Val!$D$2:$D$35,0)),0,1))))</f>
        <v/>
      </c>
      <c r="I247" s="38" t="str">
        <f>IF(Data!G237="","",IF(Data!G237=Data_Val!$C$2,IF(Data!I237="",0,1),0))</f>
        <v/>
      </c>
      <c r="J247" s="38" t="str">
        <f>IF(Data!I237="","",IF(ISNUMBER(MATCH(Data!J237,Data_Val!$A$2:$A$3,0)),0,1))</f>
        <v/>
      </c>
      <c r="K247" s="38" t="str">
        <f ca="1">IF(Data!I237="","",IF(ISNUMBER(Data!K237),IF(AND(Data!K237&gt;(TODAY()-(Data_Val!$K$3*365.25)),Data!K237&lt;=(TODAY()-(Data_Val!$K$2*365.25))),0,1),1))</f>
        <v/>
      </c>
      <c r="L247" s="16" t="str">
        <f>IF(Data!G237="","",IF(Data!G237=Data_Val!$C$2,IF(Data!L237="",0,1),0))</f>
        <v/>
      </c>
      <c r="M247" s="16" t="str">
        <f>IF(Data!L237="","",IF(ISNUMBER(MATCH(Data!M237,Data_Val!$A$2:$A$3,0)),0,1))</f>
        <v/>
      </c>
      <c r="N247" s="43" t="str">
        <f ca="1">IF(Data!L237="","",IF(ISNUMBER(Data!N237),IF(AND(Data!N237&gt;(TODAY()-(Data_Val!$L$3*365.25)),Data!N237&lt;=(TODAY()-(Data_Val!$L$2*365.25))),0,1),1))</f>
        <v/>
      </c>
      <c r="O247" s="18" t="str">
        <f>IF(Data!$G237="","",IF(Data!$G237=Data_Val!$C$2,IF(Data!O237="",0,1),0))</f>
        <v/>
      </c>
      <c r="P247" s="18" t="str">
        <f>IF(Data!O237="","",IF(ISNUMBER(MATCH(Data!P237,Data_Val!$A$2:$A$3,0)),0,1))</f>
        <v/>
      </c>
      <c r="Q247" s="44" t="str">
        <f ca="1">IF(Data!O237="","",IF(ISNUMBER(Data!Q237),IF(AND(Data!Q237&gt;(TODAY()-(Data_Val!$L$3*365.25)),Data!Q237&lt;=(TODAY()-(Data_Val!$L$2*365.25))),0,1),1))</f>
        <v/>
      </c>
    </row>
    <row r="248" spans="1:17" ht="12" customHeight="1" x14ac:dyDescent="0.25">
      <c r="A248" s="36" t="str">
        <f>IF(Data!B238="","",IF(COUNTIFS(Data!A$1:'Data'!A238,Data!A238)&lt;=1,0,1))</f>
        <v/>
      </c>
      <c r="B248" s="36"/>
      <c r="C248" s="36" t="str">
        <f>IF(Data!C238="","",(IF(ISNUMBER(MATCH("*@*.?*",Data!C238,0)),0,1)+IF(COUNTIFS(Data!C$1:'Data'!C238,Data!C238)&gt;1,1,0)))</f>
        <v/>
      </c>
      <c r="D248" s="36" t="str">
        <f>IF(Data!B238="","",IF(ISNUMBER(Data!D238),IF(AND(Data!D238&gt;999999999,Data!D238&lt;=9999999999),IF(COUNTIFS(Data!D$1:'Data'!D238,Data!D238)&lt;=1,0,1),1),1))</f>
        <v/>
      </c>
      <c r="E248" s="36" t="str">
        <f>IF(Data!B238="","",IF(ISNUMBER(MATCH(Data!E238,Data_Val!$A$2:$A$3,0)),0,1))</f>
        <v/>
      </c>
      <c r="F248" s="36" t="str">
        <f ca="1">IF(Data!B238="","",IF(ISNUMBER(Data!F238),IF(AND(Data!F238&gt;(TODAY()-(Data_Val!$H$3*365.25)),Data!F238&lt;=(TODAY()-(Data_Val!$H$2*365.25))),0,1),1))</f>
        <v/>
      </c>
      <c r="G248" s="12" t="str">
        <f>IF(Data!B238="","",IF(AND(Data!G238="",Data!H238&lt;&gt;""),1,IF(ISNUMBER(MATCH(Data!G238,Data_Val!$C$2:$C$5,0)),0,1)))</f>
        <v/>
      </c>
      <c r="H248" s="12" t="str">
        <f>IF(Data!B238="","",IF(AND(Data!G238&lt;&gt;"",Data!H238=""),1,IF(Data!G238="",1,IF(ISNUMBER(MATCH(Data!H238,Data_Val!$D$2:$D$35,0)),0,1))))</f>
        <v/>
      </c>
      <c r="I248" s="38" t="str">
        <f>IF(Data!G238="","",IF(Data!G238=Data_Val!$C$2,IF(Data!I238="",0,1),0))</f>
        <v/>
      </c>
      <c r="J248" s="38" t="str">
        <f>IF(Data!I238="","",IF(ISNUMBER(MATCH(Data!J238,Data_Val!$A$2:$A$3,0)),0,1))</f>
        <v/>
      </c>
      <c r="K248" s="38" t="str">
        <f ca="1">IF(Data!I238="","",IF(ISNUMBER(Data!K238),IF(AND(Data!K238&gt;(TODAY()-(Data_Val!$K$3*365.25)),Data!K238&lt;=(TODAY()-(Data_Val!$K$2*365.25))),0,1),1))</f>
        <v/>
      </c>
      <c r="L248" s="16" t="str">
        <f>IF(Data!G238="","",IF(Data!G238=Data_Val!$C$2,IF(Data!L238="",0,1),0))</f>
        <v/>
      </c>
      <c r="M248" s="16" t="str">
        <f>IF(Data!L238="","",IF(ISNUMBER(MATCH(Data!M238,Data_Val!$A$2:$A$3,0)),0,1))</f>
        <v/>
      </c>
      <c r="N248" s="43" t="str">
        <f ca="1">IF(Data!L238="","",IF(ISNUMBER(Data!N238),IF(AND(Data!N238&gt;(TODAY()-(Data_Val!$L$3*365.25)),Data!N238&lt;=(TODAY()-(Data_Val!$L$2*365.25))),0,1),1))</f>
        <v/>
      </c>
      <c r="O248" s="18" t="str">
        <f>IF(Data!$G238="","",IF(Data!$G238=Data_Val!$C$2,IF(Data!O238="",0,1),0))</f>
        <v/>
      </c>
      <c r="P248" s="18" t="str">
        <f>IF(Data!O238="","",IF(ISNUMBER(MATCH(Data!P238,Data_Val!$A$2:$A$3,0)),0,1))</f>
        <v/>
      </c>
      <c r="Q248" s="44" t="str">
        <f ca="1">IF(Data!O238="","",IF(ISNUMBER(Data!Q238),IF(AND(Data!Q238&gt;(TODAY()-(Data_Val!$L$3*365.25)),Data!Q238&lt;=(TODAY()-(Data_Val!$L$2*365.25))),0,1),1))</f>
        <v/>
      </c>
    </row>
    <row r="249" spans="1:17" ht="12" customHeight="1" x14ac:dyDescent="0.25">
      <c r="A249" s="36" t="str">
        <f>IF(Data!B239="","",IF(COUNTIFS(Data!A$1:'Data'!A239,Data!A239)&lt;=1,0,1))</f>
        <v/>
      </c>
      <c r="B249" s="36"/>
      <c r="C249" s="36" t="str">
        <f>IF(Data!C239="","",(IF(ISNUMBER(MATCH("*@*.?*",Data!C239,0)),0,1)+IF(COUNTIFS(Data!C$1:'Data'!C239,Data!C239)&gt;1,1,0)))</f>
        <v/>
      </c>
      <c r="D249" s="36" t="str">
        <f>IF(Data!B239="","",IF(ISNUMBER(Data!D239),IF(AND(Data!D239&gt;999999999,Data!D239&lt;=9999999999),IF(COUNTIFS(Data!D$1:'Data'!D239,Data!D239)&lt;=1,0,1),1),1))</f>
        <v/>
      </c>
      <c r="E249" s="36" t="str">
        <f>IF(Data!B239="","",IF(ISNUMBER(MATCH(Data!E239,Data_Val!$A$2:$A$3,0)),0,1))</f>
        <v/>
      </c>
      <c r="F249" s="36" t="str">
        <f ca="1">IF(Data!B239="","",IF(ISNUMBER(Data!F239),IF(AND(Data!F239&gt;(TODAY()-(Data_Val!$H$3*365.25)),Data!F239&lt;=(TODAY()-(Data_Val!$H$2*365.25))),0,1),1))</f>
        <v/>
      </c>
      <c r="G249" s="12" t="str">
        <f>IF(Data!B239="","",IF(AND(Data!G239="",Data!H239&lt;&gt;""),1,IF(ISNUMBER(MATCH(Data!G239,Data_Val!$C$2:$C$5,0)),0,1)))</f>
        <v/>
      </c>
      <c r="H249" s="12" t="str">
        <f>IF(Data!B239="","",IF(AND(Data!G239&lt;&gt;"",Data!H239=""),1,IF(Data!G239="",1,IF(ISNUMBER(MATCH(Data!H239,Data_Val!$D$2:$D$35,0)),0,1))))</f>
        <v/>
      </c>
      <c r="I249" s="38" t="str">
        <f>IF(Data!G239="","",IF(Data!G239=Data_Val!$C$2,IF(Data!I239="",0,1),0))</f>
        <v/>
      </c>
      <c r="J249" s="38" t="str">
        <f>IF(Data!I239="","",IF(ISNUMBER(MATCH(Data!J239,Data_Val!$A$2:$A$3,0)),0,1))</f>
        <v/>
      </c>
      <c r="K249" s="38" t="str">
        <f ca="1">IF(Data!I239="","",IF(ISNUMBER(Data!K239),IF(AND(Data!K239&gt;(TODAY()-(Data_Val!$K$3*365.25)),Data!K239&lt;=(TODAY()-(Data_Val!$K$2*365.25))),0,1),1))</f>
        <v/>
      </c>
      <c r="L249" s="16" t="str">
        <f>IF(Data!G239="","",IF(Data!G239=Data_Val!$C$2,IF(Data!L239="",0,1),0))</f>
        <v/>
      </c>
      <c r="M249" s="16" t="str">
        <f>IF(Data!L239="","",IF(ISNUMBER(MATCH(Data!M239,Data_Val!$A$2:$A$3,0)),0,1))</f>
        <v/>
      </c>
      <c r="N249" s="43" t="str">
        <f ca="1">IF(Data!L239="","",IF(ISNUMBER(Data!N239),IF(AND(Data!N239&gt;(TODAY()-(Data_Val!$L$3*365.25)),Data!N239&lt;=(TODAY()-(Data_Val!$L$2*365.25))),0,1),1))</f>
        <v/>
      </c>
      <c r="O249" s="18" t="str">
        <f>IF(Data!$G239="","",IF(Data!$G239=Data_Val!$C$2,IF(Data!O239="",0,1),0))</f>
        <v/>
      </c>
      <c r="P249" s="18" t="str">
        <f>IF(Data!O239="","",IF(ISNUMBER(MATCH(Data!P239,Data_Val!$A$2:$A$3,0)),0,1))</f>
        <v/>
      </c>
      <c r="Q249" s="44" t="str">
        <f ca="1">IF(Data!O239="","",IF(ISNUMBER(Data!Q239),IF(AND(Data!Q239&gt;(TODAY()-(Data_Val!$L$3*365.25)),Data!Q239&lt;=(TODAY()-(Data_Val!$L$2*365.25))),0,1),1))</f>
        <v/>
      </c>
    </row>
    <row r="250" spans="1:17" ht="12" customHeight="1" x14ac:dyDescent="0.25">
      <c r="A250" s="36" t="str">
        <f>IF(Data!B240="","",IF(COUNTIFS(Data!A$1:'Data'!A240,Data!A240)&lt;=1,0,1))</f>
        <v/>
      </c>
      <c r="B250" s="36"/>
      <c r="C250" s="36" t="str">
        <f>IF(Data!C240="","",(IF(ISNUMBER(MATCH("*@*.?*",Data!C240,0)),0,1)+IF(COUNTIFS(Data!C$1:'Data'!C240,Data!C240)&gt;1,1,0)))</f>
        <v/>
      </c>
      <c r="D250" s="36" t="str">
        <f>IF(Data!B240="","",IF(ISNUMBER(Data!D240),IF(AND(Data!D240&gt;999999999,Data!D240&lt;=9999999999),IF(COUNTIFS(Data!D$1:'Data'!D240,Data!D240)&lt;=1,0,1),1),1))</f>
        <v/>
      </c>
      <c r="E250" s="36" t="str">
        <f>IF(Data!B240="","",IF(ISNUMBER(MATCH(Data!E240,Data_Val!$A$2:$A$3,0)),0,1))</f>
        <v/>
      </c>
      <c r="F250" s="36" t="str">
        <f ca="1">IF(Data!B240="","",IF(ISNUMBER(Data!F240),IF(AND(Data!F240&gt;(TODAY()-(Data_Val!$H$3*365.25)),Data!F240&lt;=(TODAY()-(Data_Val!$H$2*365.25))),0,1),1))</f>
        <v/>
      </c>
      <c r="G250" s="12" t="str">
        <f>IF(Data!B240="","",IF(AND(Data!G240="",Data!H240&lt;&gt;""),1,IF(ISNUMBER(MATCH(Data!G240,Data_Val!$C$2:$C$5,0)),0,1)))</f>
        <v/>
      </c>
      <c r="H250" s="12" t="str">
        <f>IF(Data!B240="","",IF(AND(Data!G240&lt;&gt;"",Data!H240=""),1,IF(Data!G240="",1,IF(ISNUMBER(MATCH(Data!H240,Data_Val!$D$2:$D$35,0)),0,1))))</f>
        <v/>
      </c>
      <c r="I250" s="38" t="str">
        <f>IF(Data!G240="","",IF(Data!G240=Data_Val!$C$2,IF(Data!I240="",0,1),0))</f>
        <v/>
      </c>
      <c r="J250" s="38" t="str">
        <f>IF(Data!I240="","",IF(ISNUMBER(MATCH(Data!J240,Data_Val!$A$2:$A$3,0)),0,1))</f>
        <v/>
      </c>
      <c r="K250" s="38" t="str">
        <f ca="1">IF(Data!I240="","",IF(ISNUMBER(Data!K240),IF(AND(Data!K240&gt;(TODAY()-(Data_Val!$K$3*365.25)),Data!K240&lt;=(TODAY()-(Data_Val!$K$2*365.25))),0,1),1))</f>
        <v/>
      </c>
      <c r="L250" s="16" t="str">
        <f>IF(Data!G240="","",IF(Data!G240=Data_Val!$C$2,IF(Data!L240="",0,1),0))</f>
        <v/>
      </c>
      <c r="M250" s="16" t="str">
        <f>IF(Data!L240="","",IF(ISNUMBER(MATCH(Data!M240,Data_Val!$A$2:$A$3,0)),0,1))</f>
        <v/>
      </c>
      <c r="N250" s="43" t="str">
        <f ca="1">IF(Data!L240="","",IF(ISNUMBER(Data!N240),IF(AND(Data!N240&gt;(TODAY()-(Data_Val!$L$3*365.25)),Data!N240&lt;=(TODAY()-(Data_Val!$L$2*365.25))),0,1),1))</f>
        <v/>
      </c>
      <c r="O250" s="18" t="str">
        <f>IF(Data!$G240="","",IF(Data!$G240=Data_Val!$C$2,IF(Data!O240="",0,1),0))</f>
        <v/>
      </c>
      <c r="P250" s="18" t="str">
        <f>IF(Data!O240="","",IF(ISNUMBER(MATCH(Data!P240,Data_Val!$A$2:$A$3,0)),0,1))</f>
        <v/>
      </c>
      <c r="Q250" s="44" t="str">
        <f ca="1">IF(Data!O240="","",IF(ISNUMBER(Data!Q240),IF(AND(Data!Q240&gt;(TODAY()-(Data_Val!$L$3*365.25)),Data!Q240&lt;=(TODAY()-(Data_Val!$L$2*365.25))),0,1),1))</f>
        <v/>
      </c>
    </row>
    <row r="251" spans="1:17" ht="12" customHeight="1" x14ac:dyDescent="0.25">
      <c r="A251" s="36" t="str">
        <f>IF(Data!B241="","",IF(COUNTIFS(Data!A$1:'Data'!A241,Data!A241)&lt;=1,0,1))</f>
        <v/>
      </c>
      <c r="B251" s="36"/>
      <c r="C251" s="36" t="str">
        <f>IF(Data!C241="","",(IF(ISNUMBER(MATCH("*@*.?*",Data!C241,0)),0,1)+IF(COUNTIFS(Data!C$1:'Data'!C241,Data!C241)&gt;1,1,0)))</f>
        <v/>
      </c>
      <c r="D251" s="36" t="str">
        <f>IF(Data!B241="","",IF(ISNUMBER(Data!D241),IF(AND(Data!D241&gt;999999999,Data!D241&lt;=9999999999),IF(COUNTIFS(Data!D$1:'Data'!D241,Data!D241)&lt;=1,0,1),1),1))</f>
        <v/>
      </c>
      <c r="E251" s="36" t="str">
        <f>IF(Data!B241="","",IF(ISNUMBER(MATCH(Data!E241,Data_Val!$A$2:$A$3,0)),0,1))</f>
        <v/>
      </c>
      <c r="F251" s="36" t="str">
        <f ca="1">IF(Data!B241="","",IF(ISNUMBER(Data!F241),IF(AND(Data!F241&gt;(TODAY()-(Data_Val!$H$3*365.25)),Data!F241&lt;=(TODAY()-(Data_Val!$H$2*365.25))),0,1),1))</f>
        <v/>
      </c>
      <c r="G251" s="12" t="str">
        <f>IF(Data!B241="","",IF(AND(Data!G241="",Data!H241&lt;&gt;""),1,IF(ISNUMBER(MATCH(Data!G241,Data_Val!$C$2:$C$5,0)),0,1)))</f>
        <v/>
      </c>
      <c r="H251" s="12" t="str">
        <f>IF(Data!B241="","",IF(AND(Data!G241&lt;&gt;"",Data!H241=""),1,IF(Data!G241="",1,IF(ISNUMBER(MATCH(Data!H241,Data_Val!$D$2:$D$35,0)),0,1))))</f>
        <v/>
      </c>
      <c r="I251" s="38" t="str">
        <f>IF(Data!G241="","",IF(Data!G241=Data_Val!$C$2,IF(Data!I241="",0,1),0))</f>
        <v/>
      </c>
      <c r="J251" s="38" t="str">
        <f>IF(Data!I241="","",IF(ISNUMBER(MATCH(Data!J241,Data_Val!$A$2:$A$3,0)),0,1))</f>
        <v/>
      </c>
      <c r="K251" s="38" t="str">
        <f ca="1">IF(Data!I241="","",IF(ISNUMBER(Data!K241),IF(AND(Data!K241&gt;(TODAY()-(Data_Val!$K$3*365.25)),Data!K241&lt;=(TODAY()-(Data_Val!$K$2*365.25))),0,1),1))</f>
        <v/>
      </c>
      <c r="L251" s="16" t="str">
        <f>IF(Data!G241="","",IF(Data!G241=Data_Val!$C$2,IF(Data!L241="",0,1),0))</f>
        <v/>
      </c>
      <c r="M251" s="16" t="str">
        <f>IF(Data!L241="","",IF(ISNUMBER(MATCH(Data!M241,Data_Val!$A$2:$A$3,0)),0,1))</f>
        <v/>
      </c>
      <c r="N251" s="43" t="str">
        <f ca="1">IF(Data!L241="","",IF(ISNUMBER(Data!N241),IF(AND(Data!N241&gt;(TODAY()-(Data_Val!$L$3*365.25)),Data!N241&lt;=(TODAY()-(Data_Val!$L$2*365.25))),0,1),1))</f>
        <v/>
      </c>
      <c r="O251" s="18" t="str">
        <f>IF(Data!$G241="","",IF(Data!$G241=Data_Val!$C$2,IF(Data!O241="",0,1),0))</f>
        <v/>
      </c>
      <c r="P251" s="18" t="str">
        <f>IF(Data!O241="","",IF(ISNUMBER(MATCH(Data!P241,Data_Val!$A$2:$A$3,0)),0,1))</f>
        <v/>
      </c>
      <c r="Q251" s="44" t="str">
        <f ca="1">IF(Data!O241="","",IF(ISNUMBER(Data!Q241),IF(AND(Data!Q241&gt;(TODAY()-(Data_Val!$L$3*365.25)),Data!Q241&lt;=(TODAY()-(Data_Val!$L$2*365.25))),0,1),1))</f>
        <v/>
      </c>
    </row>
    <row r="252" spans="1:17" ht="12" customHeight="1" x14ac:dyDescent="0.25">
      <c r="A252" s="36" t="str">
        <f>IF(Data!B242="","",IF(COUNTIFS(Data!A$1:'Data'!A242,Data!A242)&lt;=1,0,1))</f>
        <v/>
      </c>
      <c r="B252" s="36"/>
      <c r="C252" s="36" t="str">
        <f>IF(Data!C242="","",(IF(ISNUMBER(MATCH("*@*.?*",Data!C242,0)),0,1)+IF(COUNTIFS(Data!C$1:'Data'!C242,Data!C242)&gt;1,1,0)))</f>
        <v/>
      </c>
      <c r="D252" s="36" t="str">
        <f>IF(Data!B242="","",IF(ISNUMBER(Data!D242),IF(AND(Data!D242&gt;999999999,Data!D242&lt;=9999999999),IF(COUNTIFS(Data!D$1:'Data'!D242,Data!D242)&lt;=1,0,1),1),1))</f>
        <v/>
      </c>
      <c r="E252" s="36" t="str">
        <f>IF(Data!B242="","",IF(ISNUMBER(MATCH(Data!E242,Data_Val!$A$2:$A$3,0)),0,1))</f>
        <v/>
      </c>
      <c r="F252" s="36" t="str">
        <f ca="1">IF(Data!B242="","",IF(ISNUMBER(Data!F242),IF(AND(Data!F242&gt;(TODAY()-(Data_Val!$H$3*365.25)),Data!F242&lt;=(TODAY()-(Data_Val!$H$2*365.25))),0,1),1))</f>
        <v/>
      </c>
      <c r="G252" s="12" t="str">
        <f>IF(Data!B242="","",IF(AND(Data!G242="",Data!H242&lt;&gt;""),1,IF(ISNUMBER(MATCH(Data!G242,Data_Val!$C$2:$C$5,0)),0,1)))</f>
        <v/>
      </c>
      <c r="H252" s="12" t="str">
        <f>IF(Data!B242="","",IF(AND(Data!G242&lt;&gt;"",Data!H242=""),1,IF(Data!G242="",1,IF(ISNUMBER(MATCH(Data!H242,Data_Val!$D$2:$D$35,0)),0,1))))</f>
        <v/>
      </c>
      <c r="I252" s="38" t="str">
        <f>IF(Data!G242="","",IF(Data!G242=Data_Val!$C$2,IF(Data!I242="",0,1),0))</f>
        <v/>
      </c>
      <c r="J252" s="38" t="str">
        <f>IF(Data!I242="","",IF(ISNUMBER(MATCH(Data!J242,Data_Val!$A$2:$A$3,0)),0,1))</f>
        <v/>
      </c>
      <c r="K252" s="38" t="str">
        <f ca="1">IF(Data!I242="","",IF(ISNUMBER(Data!K242),IF(AND(Data!K242&gt;(TODAY()-(Data_Val!$K$3*365.25)),Data!K242&lt;=(TODAY()-(Data_Val!$K$2*365.25))),0,1),1))</f>
        <v/>
      </c>
      <c r="L252" s="16" t="str">
        <f>IF(Data!G242="","",IF(Data!G242=Data_Val!$C$2,IF(Data!L242="",0,1),0))</f>
        <v/>
      </c>
      <c r="M252" s="16" t="str">
        <f>IF(Data!L242="","",IF(ISNUMBER(MATCH(Data!M242,Data_Val!$A$2:$A$3,0)),0,1))</f>
        <v/>
      </c>
      <c r="N252" s="43" t="str">
        <f ca="1">IF(Data!L242="","",IF(ISNUMBER(Data!N242),IF(AND(Data!N242&gt;(TODAY()-(Data_Val!$L$3*365.25)),Data!N242&lt;=(TODAY()-(Data_Val!$L$2*365.25))),0,1),1))</f>
        <v/>
      </c>
      <c r="O252" s="18" t="str">
        <f>IF(Data!$G242="","",IF(Data!$G242=Data_Val!$C$2,IF(Data!O242="",0,1),0))</f>
        <v/>
      </c>
      <c r="P252" s="18" t="str">
        <f>IF(Data!O242="","",IF(ISNUMBER(MATCH(Data!P242,Data_Val!$A$2:$A$3,0)),0,1))</f>
        <v/>
      </c>
      <c r="Q252" s="44" t="str">
        <f ca="1">IF(Data!O242="","",IF(ISNUMBER(Data!Q242),IF(AND(Data!Q242&gt;(TODAY()-(Data_Val!$L$3*365.25)),Data!Q242&lt;=(TODAY()-(Data_Val!$L$2*365.25))),0,1),1))</f>
        <v/>
      </c>
    </row>
    <row r="253" spans="1:17" ht="12" customHeight="1" x14ac:dyDescent="0.25">
      <c r="A253" s="36" t="str">
        <f>IF(Data!B243="","",IF(COUNTIFS(Data!A$1:'Data'!A243,Data!A243)&lt;=1,0,1))</f>
        <v/>
      </c>
      <c r="B253" s="36"/>
      <c r="C253" s="36" t="str">
        <f>IF(Data!C243="","",(IF(ISNUMBER(MATCH("*@*.?*",Data!C243,0)),0,1)+IF(COUNTIFS(Data!C$1:'Data'!C243,Data!C243)&gt;1,1,0)))</f>
        <v/>
      </c>
      <c r="D253" s="36" t="str">
        <f>IF(Data!B243="","",IF(ISNUMBER(Data!D243),IF(AND(Data!D243&gt;999999999,Data!D243&lt;=9999999999),IF(COUNTIFS(Data!D$1:'Data'!D243,Data!D243)&lt;=1,0,1),1),1))</f>
        <v/>
      </c>
      <c r="E253" s="36" t="str">
        <f>IF(Data!B243="","",IF(ISNUMBER(MATCH(Data!E243,Data_Val!$A$2:$A$3,0)),0,1))</f>
        <v/>
      </c>
      <c r="F253" s="36" t="str">
        <f ca="1">IF(Data!B243="","",IF(ISNUMBER(Data!F243),IF(AND(Data!F243&gt;(TODAY()-(Data_Val!$H$3*365.25)),Data!F243&lt;=(TODAY()-(Data_Val!$H$2*365.25))),0,1),1))</f>
        <v/>
      </c>
      <c r="G253" s="12" t="str">
        <f>IF(Data!B243="","",IF(AND(Data!G243="",Data!H243&lt;&gt;""),1,IF(ISNUMBER(MATCH(Data!G243,Data_Val!$C$2:$C$5,0)),0,1)))</f>
        <v/>
      </c>
      <c r="H253" s="12" t="str">
        <f>IF(Data!B243="","",IF(AND(Data!G243&lt;&gt;"",Data!H243=""),1,IF(Data!G243="",1,IF(ISNUMBER(MATCH(Data!H243,Data_Val!$D$2:$D$35,0)),0,1))))</f>
        <v/>
      </c>
      <c r="I253" s="38" t="str">
        <f>IF(Data!G243="","",IF(Data!G243=Data_Val!$C$2,IF(Data!I243="",0,1),0))</f>
        <v/>
      </c>
      <c r="J253" s="38" t="str">
        <f>IF(Data!I243="","",IF(ISNUMBER(MATCH(Data!J243,Data_Val!$A$2:$A$3,0)),0,1))</f>
        <v/>
      </c>
      <c r="K253" s="38" t="str">
        <f ca="1">IF(Data!I243="","",IF(ISNUMBER(Data!K243),IF(AND(Data!K243&gt;(TODAY()-(Data_Val!$K$3*365.25)),Data!K243&lt;=(TODAY()-(Data_Val!$K$2*365.25))),0,1),1))</f>
        <v/>
      </c>
      <c r="L253" s="16" t="str">
        <f>IF(Data!G243="","",IF(Data!G243=Data_Val!$C$2,IF(Data!L243="",0,1),0))</f>
        <v/>
      </c>
      <c r="M253" s="16" t="str">
        <f>IF(Data!L243="","",IF(ISNUMBER(MATCH(Data!M243,Data_Val!$A$2:$A$3,0)),0,1))</f>
        <v/>
      </c>
      <c r="N253" s="43" t="str">
        <f ca="1">IF(Data!L243="","",IF(ISNUMBER(Data!N243),IF(AND(Data!N243&gt;(TODAY()-(Data_Val!$L$3*365.25)),Data!N243&lt;=(TODAY()-(Data_Val!$L$2*365.25))),0,1),1))</f>
        <v/>
      </c>
      <c r="O253" s="18" t="str">
        <f>IF(Data!$G243="","",IF(Data!$G243=Data_Val!$C$2,IF(Data!O243="",0,1),0))</f>
        <v/>
      </c>
      <c r="P253" s="18" t="str">
        <f>IF(Data!O243="","",IF(ISNUMBER(MATCH(Data!P243,Data_Val!$A$2:$A$3,0)),0,1))</f>
        <v/>
      </c>
      <c r="Q253" s="44" t="str">
        <f ca="1">IF(Data!O243="","",IF(ISNUMBER(Data!Q243),IF(AND(Data!Q243&gt;(TODAY()-(Data_Val!$L$3*365.25)),Data!Q243&lt;=(TODAY()-(Data_Val!$L$2*365.25))),0,1),1))</f>
        <v/>
      </c>
    </row>
    <row r="254" spans="1:17" ht="12" customHeight="1" x14ac:dyDescent="0.25">
      <c r="A254" s="36" t="str">
        <f>IF(Data!B244="","",IF(COUNTIFS(Data!A$1:'Data'!A244,Data!A244)&lt;=1,0,1))</f>
        <v/>
      </c>
      <c r="B254" s="36"/>
      <c r="C254" s="36" t="str">
        <f>IF(Data!C244="","",(IF(ISNUMBER(MATCH("*@*.?*",Data!C244,0)),0,1)+IF(COUNTIFS(Data!C$1:'Data'!C244,Data!C244)&gt;1,1,0)))</f>
        <v/>
      </c>
      <c r="D254" s="36" t="str">
        <f>IF(Data!B244="","",IF(ISNUMBER(Data!D244),IF(AND(Data!D244&gt;999999999,Data!D244&lt;=9999999999),IF(COUNTIFS(Data!D$1:'Data'!D244,Data!D244)&lt;=1,0,1),1),1))</f>
        <v/>
      </c>
      <c r="E254" s="36" t="str">
        <f>IF(Data!B244="","",IF(ISNUMBER(MATCH(Data!E244,Data_Val!$A$2:$A$3,0)),0,1))</f>
        <v/>
      </c>
      <c r="F254" s="36" t="str">
        <f ca="1">IF(Data!B244="","",IF(ISNUMBER(Data!F244),IF(AND(Data!F244&gt;(TODAY()-(Data_Val!$H$3*365.25)),Data!F244&lt;=(TODAY()-(Data_Val!$H$2*365.25))),0,1),1))</f>
        <v/>
      </c>
      <c r="G254" s="12" t="str">
        <f>IF(Data!B244="","",IF(AND(Data!G244="",Data!H244&lt;&gt;""),1,IF(ISNUMBER(MATCH(Data!G244,Data_Val!$C$2:$C$5,0)),0,1)))</f>
        <v/>
      </c>
      <c r="H254" s="12" t="str">
        <f>IF(Data!B244="","",IF(AND(Data!G244&lt;&gt;"",Data!H244=""),1,IF(Data!G244="",1,IF(ISNUMBER(MATCH(Data!H244,Data_Val!$D$2:$D$35,0)),0,1))))</f>
        <v/>
      </c>
      <c r="I254" s="38" t="str">
        <f>IF(Data!G244="","",IF(Data!G244=Data_Val!$C$2,IF(Data!I244="",0,1),0))</f>
        <v/>
      </c>
      <c r="J254" s="38" t="str">
        <f>IF(Data!I244="","",IF(ISNUMBER(MATCH(Data!J244,Data_Val!$A$2:$A$3,0)),0,1))</f>
        <v/>
      </c>
      <c r="K254" s="38" t="str">
        <f ca="1">IF(Data!I244="","",IF(ISNUMBER(Data!K244),IF(AND(Data!K244&gt;(TODAY()-(Data_Val!$K$3*365.25)),Data!K244&lt;=(TODAY()-(Data_Val!$K$2*365.25))),0,1),1))</f>
        <v/>
      </c>
      <c r="L254" s="16" t="str">
        <f>IF(Data!G244="","",IF(Data!G244=Data_Val!$C$2,IF(Data!L244="",0,1),0))</f>
        <v/>
      </c>
      <c r="M254" s="16" t="str">
        <f>IF(Data!L244="","",IF(ISNUMBER(MATCH(Data!M244,Data_Val!$A$2:$A$3,0)),0,1))</f>
        <v/>
      </c>
      <c r="N254" s="43" t="str">
        <f ca="1">IF(Data!L244="","",IF(ISNUMBER(Data!N244),IF(AND(Data!N244&gt;(TODAY()-(Data_Val!$L$3*365.25)),Data!N244&lt;=(TODAY()-(Data_Val!$L$2*365.25))),0,1),1))</f>
        <v/>
      </c>
      <c r="O254" s="18" t="str">
        <f>IF(Data!$G244="","",IF(Data!$G244=Data_Val!$C$2,IF(Data!O244="",0,1),0))</f>
        <v/>
      </c>
      <c r="P254" s="18" t="str">
        <f>IF(Data!O244="","",IF(ISNUMBER(MATCH(Data!P244,Data_Val!$A$2:$A$3,0)),0,1))</f>
        <v/>
      </c>
      <c r="Q254" s="44" t="str">
        <f ca="1">IF(Data!O244="","",IF(ISNUMBER(Data!Q244),IF(AND(Data!Q244&gt;(TODAY()-(Data_Val!$L$3*365.25)),Data!Q244&lt;=(TODAY()-(Data_Val!$L$2*365.25))),0,1),1))</f>
        <v/>
      </c>
    </row>
    <row r="255" spans="1:17" ht="12" customHeight="1" x14ac:dyDescent="0.25">
      <c r="A255" s="36" t="str">
        <f>IF(Data!B245="","",IF(COUNTIFS(Data!A$1:'Data'!A245,Data!A245)&lt;=1,0,1))</f>
        <v/>
      </c>
      <c r="B255" s="36"/>
      <c r="C255" s="36" t="str">
        <f>IF(Data!C245="","",(IF(ISNUMBER(MATCH("*@*.?*",Data!C245,0)),0,1)+IF(COUNTIFS(Data!C$1:'Data'!C245,Data!C245)&gt;1,1,0)))</f>
        <v/>
      </c>
      <c r="D255" s="36" t="str">
        <f>IF(Data!B245="","",IF(ISNUMBER(Data!D245),IF(AND(Data!D245&gt;999999999,Data!D245&lt;=9999999999),IF(COUNTIFS(Data!D$1:'Data'!D245,Data!D245)&lt;=1,0,1),1),1))</f>
        <v/>
      </c>
      <c r="E255" s="36" t="str">
        <f>IF(Data!B245="","",IF(ISNUMBER(MATCH(Data!E245,Data_Val!$A$2:$A$3,0)),0,1))</f>
        <v/>
      </c>
      <c r="F255" s="36" t="str">
        <f ca="1">IF(Data!B245="","",IF(ISNUMBER(Data!F245),IF(AND(Data!F245&gt;(TODAY()-(Data_Val!$H$3*365.25)),Data!F245&lt;=(TODAY()-(Data_Val!$H$2*365.25))),0,1),1))</f>
        <v/>
      </c>
      <c r="G255" s="12" t="str">
        <f>IF(Data!B245="","",IF(AND(Data!G245="",Data!H245&lt;&gt;""),1,IF(ISNUMBER(MATCH(Data!G245,Data_Val!$C$2:$C$5,0)),0,1)))</f>
        <v/>
      </c>
      <c r="H255" s="12" t="str">
        <f>IF(Data!B245="","",IF(AND(Data!G245&lt;&gt;"",Data!H245=""),1,IF(Data!G245="",1,IF(ISNUMBER(MATCH(Data!H245,Data_Val!$D$2:$D$35,0)),0,1))))</f>
        <v/>
      </c>
      <c r="I255" s="38" t="str">
        <f>IF(Data!G245="","",IF(Data!G245=Data_Val!$C$2,IF(Data!I245="",0,1),0))</f>
        <v/>
      </c>
      <c r="J255" s="38" t="str">
        <f>IF(Data!I245="","",IF(ISNUMBER(MATCH(Data!J245,Data_Val!$A$2:$A$3,0)),0,1))</f>
        <v/>
      </c>
      <c r="K255" s="38" t="str">
        <f ca="1">IF(Data!I245="","",IF(ISNUMBER(Data!K245),IF(AND(Data!K245&gt;(TODAY()-(Data_Val!$K$3*365.25)),Data!K245&lt;=(TODAY()-(Data_Val!$K$2*365.25))),0,1),1))</f>
        <v/>
      </c>
      <c r="L255" s="16" t="str">
        <f>IF(Data!G245="","",IF(Data!G245=Data_Val!$C$2,IF(Data!L245="",0,1),0))</f>
        <v/>
      </c>
      <c r="M255" s="16" t="str">
        <f>IF(Data!L245="","",IF(ISNUMBER(MATCH(Data!M245,Data_Val!$A$2:$A$3,0)),0,1))</f>
        <v/>
      </c>
      <c r="N255" s="43" t="str">
        <f ca="1">IF(Data!L245="","",IF(ISNUMBER(Data!N245),IF(AND(Data!N245&gt;(TODAY()-(Data_Val!$L$3*365.25)),Data!N245&lt;=(TODAY()-(Data_Val!$L$2*365.25))),0,1),1))</f>
        <v/>
      </c>
      <c r="O255" s="18" t="str">
        <f>IF(Data!$G245="","",IF(Data!$G245=Data_Val!$C$2,IF(Data!O245="",0,1),0))</f>
        <v/>
      </c>
      <c r="P255" s="18" t="str">
        <f>IF(Data!O245="","",IF(ISNUMBER(MATCH(Data!P245,Data_Val!$A$2:$A$3,0)),0,1))</f>
        <v/>
      </c>
      <c r="Q255" s="44" t="str">
        <f ca="1">IF(Data!O245="","",IF(ISNUMBER(Data!Q245),IF(AND(Data!Q245&gt;(TODAY()-(Data_Val!$L$3*365.25)),Data!Q245&lt;=(TODAY()-(Data_Val!$L$2*365.25))),0,1),1))</f>
        <v/>
      </c>
    </row>
    <row r="256" spans="1:17" ht="12" customHeight="1" x14ac:dyDescent="0.25">
      <c r="A256" s="36" t="str">
        <f>IF(Data!B246="","",IF(COUNTIFS(Data!A$1:'Data'!A246,Data!A246)&lt;=1,0,1))</f>
        <v/>
      </c>
      <c r="B256" s="36"/>
      <c r="C256" s="36" t="str">
        <f>IF(Data!C246="","",(IF(ISNUMBER(MATCH("*@*.?*",Data!C246,0)),0,1)+IF(COUNTIFS(Data!C$1:'Data'!C246,Data!C246)&gt;1,1,0)))</f>
        <v/>
      </c>
      <c r="D256" s="36" t="str">
        <f>IF(Data!B246="","",IF(ISNUMBER(Data!D246),IF(AND(Data!D246&gt;999999999,Data!D246&lt;=9999999999),IF(COUNTIFS(Data!D$1:'Data'!D246,Data!D246)&lt;=1,0,1),1),1))</f>
        <v/>
      </c>
      <c r="E256" s="36" t="str">
        <f>IF(Data!B246="","",IF(ISNUMBER(MATCH(Data!E246,Data_Val!$A$2:$A$3,0)),0,1))</f>
        <v/>
      </c>
      <c r="F256" s="36" t="str">
        <f ca="1">IF(Data!B246="","",IF(ISNUMBER(Data!F246),IF(AND(Data!F246&gt;(TODAY()-(Data_Val!$H$3*365.25)),Data!F246&lt;=(TODAY()-(Data_Val!$H$2*365.25))),0,1),1))</f>
        <v/>
      </c>
      <c r="G256" s="12" t="str">
        <f>IF(Data!B246="","",IF(AND(Data!G246="",Data!H246&lt;&gt;""),1,IF(ISNUMBER(MATCH(Data!G246,Data_Val!$C$2:$C$5,0)),0,1)))</f>
        <v/>
      </c>
      <c r="H256" s="12" t="str">
        <f>IF(Data!B246="","",IF(AND(Data!G246&lt;&gt;"",Data!H246=""),1,IF(Data!G246="",1,IF(ISNUMBER(MATCH(Data!H246,Data_Val!$D$2:$D$35,0)),0,1))))</f>
        <v/>
      </c>
      <c r="I256" s="38" t="str">
        <f>IF(Data!G246="","",IF(Data!G246=Data_Val!$C$2,IF(Data!I246="",0,1),0))</f>
        <v/>
      </c>
      <c r="J256" s="38" t="str">
        <f>IF(Data!I246="","",IF(ISNUMBER(MATCH(Data!J246,Data_Val!$A$2:$A$3,0)),0,1))</f>
        <v/>
      </c>
      <c r="K256" s="38" t="str">
        <f ca="1">IF(Data!I246="","",IF(ISNUMBER(Data!K246),IF(AND(Data!K246&gt;(TODAY()-(Data_Val!$K$3*365.25)),Data!K246&lt;=(TODAY()-(Data_Val!$K$2*365.25))),0,1),1))</f>
        <v/>
      </c>
      <c r="L256" s="16" t="str">
        <f>IF(Data!G246="","",IF(Data!G246=Data_Val!$C$2,IF(Data!L246="",0,1),0))</f>
        <v/>
      </c>
      <c r="M256" s="16" t="str">
        <f>IF(Data!L246="","",IF(ISNUMBER(MATCH(Data!M246,Data_Val!$A$2:$A$3,0)),0,1))</f>
        <v/>
      </c>
      <c r="N256" s="43" t="str">
        <f ca="1">IF(Data!L246="","",IF(ISNUMBER(Data!N246),IF(AND(Data!N246&gt;(TODAY()-(Data_Val!$L$3*365.25)),Data!N246&lt;=(TODAY()-(Data_Val!$L$2*365.25))),0,1),1))</f>
        <v/>
      </c>
      <c r="O256" s="18" t="str">
        <f>IF(Data!$G246="","",IF(Data!$G246=Data_Val!$C$2,IF(Data!O246="",0,1),0))</f>
        <v/>
      </c>
      <c r="P256" s="18" t="str">
        <f>IF(Data!O246="","",IF(ISNUMBER(MATCH(Data!P246,Data_Val!$A$2:$A$3,0)),0,1))</f>
        <v/>
      </c>
      <c r="Q256" s="44" t="str">
        <f ca="1">IF(Data!O246="","",IF(ISNUMBER(Data!Q246),IF(AND(Data!Q246&gt;(TODAY()-(Data_Val!$L$3*365.25)),Data!Q246&lt;=(TODAY()-(Data_Val!$L$2*365.25))),0,1),1))</f>
        <v/>
      </c>
    </row>
    <row r="257" spans="1:17" ht="12" customHeight="1" x14ac:dyDescent="0.25">
      <c r="A257" s="36" t="str">
        <f>IF(Data!B247="","",IF(COUNTIFS(Data!A$1:'Data'!A247,Data!A247)&lt;=1,0,1))</f>
        <v/>
      </c>
      <c r="B257" s="36"/>
      <c r="C257" s="36" t="str">
        <f>IF(Data!C247="","",(IF(ISNUMBER(MATCH("*@*.?*",Data!C247,0)),0,1)+IF(COUNTIFS(Data!C$1:'Data'!C247,Data!C247)&gt;1,1,0)))</f>
        <v/>
      </c>
      <c r="D257" s="36" t="str">
        <f>IF(Data!B247="","",IF(ISNUMBER(Data!D247),IF(AND(Data!D247&gt;999999999,Data!D247&lt;=9999999999),IF(COUNTIFS(Data!D$1:'Data'!D247,Data!D247)&lt;=1,0,1),1),1))</f>
        <v/>
      </c>
      <c r="E257" s="36" t="str">
        <f>IF(Data!B247="","",IF(ISNUMBER(MATCH(Data!E247,Data_Val!$A$2:$A$3,0)),0,1))</f>
        <v/>
      </c>
      <c r="F257" s="36" t="str">
        <f ca="1">IF(Data!B247="","",IF(ISNUMBER(Data!F247),IF(AND(Data!F247&gt;(TODAY()-(Data_Val!$H$3*365.25)),Data!F247&lt;=(TODAY()-(Data_Val!$H$2*365.25))),0,1),1))</f>
        <v/>
      </c>
      <c r="G257" s="12" t="str">
        <f>IF(Data!B247="","",IF(AND(Data!G247="",Data!H247&lt;&gt;""),1,IF(ISNUMBER(MATCH(Data!G247,Data_Val!$C$2:$C$5,0)),0,1)))</f>
        <v/>
      </c>
      <c r="H257" s="12" t="str">
        <f>IF(Data!B247="","",IF(AND(Data!G247&lt;&gt;"",Data!H247=""),1,IF(Data!G247="",1,IF(ISNUMBER(MATCH(Data!H247,Data_Val!$D$2:$D$35,0)),0,1))))</f>
        <v/>
      </c>
      <c r="I257" s="38" t="str">
        <f>IF(Data!G247="","",IF(Data!G247=Data_Val!$C$2,IF(Data!I247="",0,1),0))</f>
        <v/>
      </c>
      <c r="J257" s="38" t="str">
        <f>IF(Data!I247="","",IF(ISNUMBER(MATCH(Data!J247,Data_Val!$A$2:$A$3,0)),0,1))</f>
        <v/>
      </c>
      <c r="K257" s="38" t="str">
        <f ca="1">IF(Data!I247="","",IF(ISNUMBER(Data!K247),IF(AND(Data!K247&gt;(TODAY()-(Data_Val!$K$3*365.25)),Data!K247&lt;=(TODAY()-(Data_Val!$K$2*365.25))),0,1),1))</f>
        <v/>
      </c>
      <c r="L257" s="16" t="str">
        <f>IF(Data!G247="","",IF(Data!G247=Data_Val!$C$2,IF(Data!L247="",0,1),0))</f>
        <v/>
      </c>
      <c r="M257" s="16" t="str">
        <f>IF(Data!L247="","",IF(ISNUMBER(MATCH(Data!M247,Data_Val!$A$2:$A$3,0)),0,1))</f>
        <v/>
      </c>
      <c r="N257" s="43" t="str">
        <f ca="1">IF(Data!L247="","",IF(ISNUMBER(Data!N247),IF(AND(Data!N247&gt;(TODAY()-(Data_Val!$L$3*365.25)),Data!N247&lt;=(TODAY()-(Data_Val!$L$2*365.25))),0,1),1))</f>
        <v/>
      </c>
      <c r="O257" s="18" t="str">
        <f>IF(Data!$G247="","",IF(Data!$G247=Data_Val!$C$2,IF(Data!O247="",0,1),0))</f>
        <v/>
      </c>
      <c r="P257" s="18" t="str">
        <f>IF(Data!O247="","",IF(ISNUMBER(MATCH(Data!P247,Data_Val!$A$2:$A$3,0)),0,1))</f>
        <v/>
      </c>
      <c r="Q257" s="44" t="str">
        <f ca="1">IF(Data!O247="","",IF(ISNUMBER(Data!Q247),IF(AND(Data!Q247&gt;(TODAY()-(Data_Val!$L$3*365.25)),Data!Q247&lt;=(TODAY()-(Data_Val!$L$2*365.25))),0,1),1))</f>
        <v/>
      </c>
    </row>
    <row r="258" spans="1:17" ht="12" customHeight="1" x14ac:dyDescent="0.25">
      <c r="A258" s="36" t="str">
        <f>IF(Data!B248="","",IF(COUNTIFS(Data!A$1:'Data'!A248,Data!A248)&lt;=1,0,1))</f>
        <v/>
      </c>
      <c r="B258" s="36"/>
      <c r="C258" s="36" t="str">
        <f>IF(Data!C248="","",(IF(ISNUMBER(MATCH("*@*.?*",Data!C248,0)),0,1)+IF(COUNTIFS(Data!C$1:'Data'!C248,Data!C248)&gt;1,1,0)))</f>
        <v/>
      </c>
      <c r="D258" s="36" t="str">
        <f>IF(Data!B248="","",IF(ISNUMBER(Data!D248),IF(AND(Data!D248&gt;999999999,Data!D248&lt;=9999999999),IF(COUNTIFS(Data!D$1:'Data'!D248,Data!D248)&lt;=1,0,1),1),1))</f>
        <v/>
      </c>
      <c r="E258" s="36" t="str">
        <f>IF(Data!B248="","",IF(ISNUMBER(MATCH(Data!E248,Data_Val!$A$2:$A$3,0)),0,1))</f>
        <v/>
      </c>
      <c r="F258" s="36" t="str">
        <f ca="1">IF(Data!B248="","",IF(ISNUMBER(Data!F248),IF(AND(Data!F248&gt;(TODAY()-(Data_Val!$H$3*365.25)),Data!F248&lt;=(TODAY()-(Data_Val!$H$2*365.25))),0,1),1))</f>
        <v/>
      </c>
      <c r="G258" s="12" t="str">
        <f>IF(Data!B248="","",IF(AND(Data!G248="",Data!H248&lt;&gt;""),1,IF(ISNUMBER(MATCH(Data!G248,Data_Val!$C$2:$C$5,0)),0,1)))</f>
        <v/>
      </c>
      <c r="H258" s="12" t="str">
        <f>IF(Data!B248="","",IF(AND(Data!G248&lt;&gt;"",Data!H248=""),1,IF(Data!G248="",1,IF(ISNUMBER(MATCH(Data!H248,Data_Val!$D$2:$D$35,0)),0,1))))</f>
        <v/>
      </c>
      <c r="I258" s="38" t="str">
        <f>IF(Data!G248="","",IF(Data!G248=Data_Val!$C$2,IF(Data!I248="",0,1),0))</f>
        <v/>
      </c>
      <c r="J258" s="38" t="str">
        <f>IF(Data!I248="","",IF(ISNUMBER(MATCH(Data!J248,Data_Val!$A$2:$A$3,0)),0,1))</f>
        <v/>
      </c>
      <c r="K258" s="38" t="str">
        <f ca="1">IF(Data!I248="","",IF(ISNUMBER(Data!K248),IF(AND(Data!K248&gt;(TODAY()-(Data_Val!$K$3*365.25)),Data!K248&lt;=(TODAY()-(Data_Val!$K$2*365.25))),0,1),1))</f>
        <v/>
      </c>
      <c r="L258" s="16" t="str">
        <f>IF(Data!G248="","",IF(Data!G248=Data_Val!$C$2,IF(Data!L248="",0,1),0))</f>
        <v/>
      </c>
      <c r="M258" s="16" t="str">
        <f>IF(Data!L248="","",IF(ISNUMBER(MATCH(Data!M248,Data_Val!$A$2:$A$3,0)),0,1))</f>
        <v/>
      </c>
      <c r="N258" s="43" t="str">
        <f ca="1">IF(Data!L248="","",IF(ISNUMBER(Data!N248),IF(AND(Data!N248&gt;(TODAY()-(Data_Val!$L$3*365.25)),Data!N248&lt;=(TODAY()-(Data_Val!$L$2*365.25))),0,1),1))</f>
        <v/>
      </c>
      <c r="O258" s="18" t="str">
        <f>IF(Data!$G248="","",IF(Data!$G248=Data_Val!$C$2,IF(Data!O248="",0,1),0))</f>
        <v/>
      </c>
      <c r="P258" s="18" t="str">
        <f>IF(Data!O248="","",IF(ISNUMBER(MATCH(Data!P248,Data_Val!$A$2:$A$3,0)),0,1))</f>
        <v/>
      </c>
      <c r="Q258" s="44" t="str">
        <f ca="1">IF(Data!O248="","",IF(ISNUMBER(Data!Q248),IF(AND(Data!Q248&gt;(TODAY()-(Data_Val!$L$3*365.25)),Data!Q248&lt;=(TODAY()-(Data_Val!$L$2*365.25))),0,1),1))</f>
        <v/>
      </c>
    </row>
    <row r="259" spans="1:17" ht="12" customHeight="1" x14ac:dyDescent="0.25">
      <c r="A259" s="36" t="str">
        <f>IF(Data!B249="","",IF(COUNTIFS(Data!A$1:'Data'!A249,Data!A249)&lt;=1,0,1))</f>
        <v/>
      </c>
      <c r="B259" s="36"/>
      <c r="C259" s="36" t="str">
        <f>IF(Data!C249="","",(IF(ISNUMBER(MATCH("*@*.?*",Data!C249,0)),0,1)+IF(COUNTIFS(Data!C$1:'Data'!C249,Data!C249)&gt;1,1,0)))</f>
        <v/>
      </c>
      <c r="D259" s="36" t="str">
        <f>IF(Data!B249="","",IF(ISNUMBER(Data!D249),IF(AND(Data!D249&gt;999999999,Data!D249&lt;=9999999999),IF(COUNTIFS(Data!D$1:'Data'!D249,Data!D249)&lt;=1,0,1),1),1))</f>
        <v/>
      </c>
      <c r="E259" s="36" t="str">
        <f>IF(Data!B249="","",IF(ISNUMBER(MATCH(Data!E249,Data_Val!$A$2:$A$3,0)),0,1))</f>
        <v/>
      </c>
      <c r="F259" s="36" t="str">
        <f ca="1">IF(Data!B249="","",IF(ISNUMBER(Data!F249),IF(AND(Data!F249&gt;(TODAY()-(Data_Val!$H$3*365.25)),Data!F249&lt;=(TODAY()-(Data_Val!$H$2*365.25))),0,1),1))</f>
        <v/>
      </c>
      <c r="G259" s="12" t="str">
        <f>IF(Data!B249="","",IF(AND(Data!G249="",Data!H249&lt;&gt;""),1,IF(ISNUMBER(MATCH(Data!G249,Data_Val!$C$2:$C$5,0)),0,1)))</f>
        <v/>
      </c>
      <c r="H259" s="12" t="str">
        <f>IF(Data!B249="","",IF(AND(Data!G249&lt;&gt;"",Data!H249=""),1,IF(Data!G249="",1,IF(ISNUMBER(MATCH(Data!H249,Data_Val!$D$2:$D$35,0)),0,1))))</f>
        <v/>
      </c>
      <c r="I259" s="38" t="str">
        <f>IF(Data!G249="","",IF(Data!G249=Data_Val!$C$2,IF(Data!I249="",0,1),0))</f>
        <v/>
      </c>
      <c r="J259" s="38" t="str">
        <f>IF(Data!I249="","",IF(ISNUMBER(MATCH(Data!J249,Data_Val!$A$2:$A$3,0)),0,1))</f>
        <v/>
      </c>
      <c r="K259" s="38" t="str">
        <f ca="1">IF(Data!I249="","",IF(ISNUMBER(Data!K249),IF(AND(Data!K249&gt;(TODAY()-(Data_Val!$K$3*365.25)),Data!K249&lt;=(TODAY()-(Data_Val!$K$2*365.25))),0,1),1))</f>
        <v/>
      </c>
      <c r="L259" s="16" t="str">
        <f>IF(Data!G249="","",IF(Data!G249=Data_Val!$C$2,IF(Data!L249="",0,1),0))</f>
        <v/>
      </c>
      <c r="M259" s="16" t="str">
        <f>IF(Data!L249="","",IF(ISNUMBER(MATCH(Data!M249,Data_Val!$A$2:$A$3,0)),0,1))</f>
        <v/>
      </c>
      <c r="N259" s="43" t="str">
        <f ca="1">IF(Data!L249="","",IF(ISNUMBER(Data!N249),IF(AND(Data!N249&gt;(TODAY()-(Data_Val!$L$3*365.25)),Data!N249&lt;=(TODAY()-(Data_Val!$L$2*365.25))),0,1),1))</f>
        <v/>
      </c>
      <c r="O259" s="18" t="str">
        <f>IF(Data!$G249="","",IF(Data!$G249=Data_Val!$C$2,IF(Data!O249="",0,1),0))</f>
        <v/>
      </c>
      <c r="P259" s="18" t="str">
        <f>IF(Data!O249="","",IF(ISNUMBER(MATCH(Data!P249,Data_Val!$A$2:$A$3,0)),0,1))</f>
        <v/>
      </c>
      <c r="Q259" s="44" t="str">
        <f ca="1">IF(Data!O249="","",IF(ISNUMBER(Data!Q249),IF(AND(Data!Q249&gt;(TODAY()-(Data_Val!$L$3*365.25)),Data!Q249&lt;=(TODAY()-(Data_Val!$L$2*365.25))),0,1),1))</f>
        <v/>
      </c>
    </row>
    <row r="260" spans="1:17" ht="12" customHeight="1" x14ac:dyDescent="0.25">
      <c r="A260" s="36" t="str">
        <f>IF(Data!B250="","",IF(COUNTIFS(Data!A$1:'Data'!A250,Data!A250)&lt;=1,0,1))</f>
        <v/>
      </c>
      <c r="B260" s="36"/>
      <c r="C260" s="36" t="str">
        <f>IF(Data!C250="","",(IF(ISNUMBER(MATCH("*@*.?*",Data!C250,0)),0,1)+IF(COUNTIFS(Data!C$1:'Data'!C250,Data!C250)&gt;1,1,0)))</f>
        <v/>
      </c>
      <c r="D260" s="36" t="str">
        <f>IF(Data!B250="","",IF(ISNUMBER(Data!D250),IF(AND(Data!D250&gt;999999999,Data!D250&lt;=9999999999),IF(COUNTIFS(Data!D$1:'Data'!D250,Data!D250)&lt;=1,0,1),1),1))</f>
        <v/>
      </c>
      <c r="E260" s="36" t="str">
        <f>IF(Data!B250="","",IF(ISNUMBER(MATCH(Data!E250,Data_Val!$A$2:$A$3,0)),0,1))</f>
        <v/>
      </c>
      <c r="F260" s="36" t="str">
        <f ca="1">IF(Data!B250="","",IF(ISNUMBER(Data!F250),IF(AND(Data!F250&gt;(TODAY()-(Data_Val!$H$3*365.25)),Data!F250&lt;=(TODAY()-(Data_Val!$H$2*365.25))),0,1),1))</f>
        <v/>
      </c>
      <c r="G260" s="12" t="str">
        <f>IF(Data!B250="","",IF(AND(Data!G250="",Data!H250&lt;&gt;""),1,IF(ISNUMBER(MATCH(Data!G250,Data_Val!$C$2:$C$5,0)),0,1)))</f>
        <v/>
      </c>
      <c r="H260" s="12" t="str">
        <f>IF(Data!B250="","",IF(AND(Data!G250&lt;&gt;"",Data!H250=""),1,IF(Data!G250="",1,IF(ISNUMBER(MATCH(Data!H250,Data_Val!$D$2:$D$35,0)),0,1))))</f>
        <v/>
      </c>
      <c r="I260" s="38" t="str">
        <f>IF(Data!G250="","",IF(Data!G250=Data_Val!$C$2,IF(Data!I250="",0,1),0))</f>
        <v/>
      </c>
      <c r="J260" s="38" t="str">
        <f>IF(Data!I250="","",IF(ISNUMBER(MATCH(Data!J250,Data_Val!$A$2:$A$3,0)),0,1))</f>
        <v/>
      </c>
      <c r="K260" s="38" t="str">
        <f ca="1">IF(Data!I250="","",IF(ISNUMBER(Data!K250),IF(AND(Data!K250&gt;(TODAY()-(Data_Val!$K$3*365.25)),Data!K250&lt;=(TODAY()-(Data_Val!$K$2*365.25))),0,1),1))</f>
        <v/>
      </c>
      <c r="L260" s="16" t="str">
        <f>IF(Data!G250="","",IF(Data!G250=Data_Val!$C$2,IF(Data!L250="",0,1),0))</f>
        <v/>
      </c>
      <c r="M260" s="16" t="str">
        <f>IF(Data!L250="","",IF(ISNUMBER(MATCH(Data!M250,Data_Val!$A$2:$A$3,0)),0,1))</f>
        <v/>
      </c>
      <c r="N260" s="43" t="str">
        <f ca="1">IF(Data!L250="","",IF(ISNUMBER(Data!N250),IF(AND(Data!N250&gt;(TODAY()-(Data_Val!$L$3*365.25)),Data!N250&lt;=(TODAY()-(Data_Val!$L$2*365.25))),0,1),1))</f>
        <v/>
      </c>
      <c r="O260" s="18" t="str">
        <f>IF(Data!$G250="","",IF(Data!$G250=Data_Val!$C$2,IF(Data!O250="",0,1),0))</f>
        <v/>
      </c>
      <c r="P260" s="18" t="str">
        <f>IF(Data!O250="","",IF(ISNUMBER(MATCH(Data!P250,Data_Val!$A$2:$A$3,0)),0,1))</f>
        <v/>
      </c>
      <c r="Q260" s="44" t="str">
        <f ca="1">IF(Data!O250="","",IF(ISNUMBER(Data!Q250),IF(AND(Data!Q250&gt;(TODAY()-(Data_Val!$L$3*365.25)),Data!Q250&lt;=(TODAY()-(Data_Val!$L$2*365.25))),0,1),1))</f>
        <v/>
      </c>
    </row>
    <row r="261" spans="1:17" ht="12" customHeight="1" x14ac:dyDescent="0.25">
      <c r="A261" s="36" t="str">
        <f>IF(Data!B251="","",IF(COUNTIFS(Data!A$1:'Data'!A251,Data!A251)&lt;=1,0,1))</f>
        <v/>
      </c>
      <c r="B261" s="36"/>
      <c r="C261" s="36" t="str">
        <f>IF(Data!C251="","",(IF(ISNUMBER(MATCH("*@*.?*",Data!C251,0)),0,1)+IF(COUNTIFS(Data!C$1:'Data'!C251,Data!C251)&gt;1,1,0)))</f>
        <v/>
      </c>
      <c r="D261" s="36" t="str">
        <f>IF(Data!B251="","",IF(ISNUMBER(Data!D251),IF(AND(Data!D251&gt;999999999,Data!D251&lt;=9999999999),IF(COUNTIFS(Data!D$1:'Data'!D251,Data!D251)&lt;=1,0,1),1),1))</f>
        <v/>
      </c>
      <c r="E261" s="36" t="str">
        <f>IF(Data!B251="","",IF(ISNUMBER(MATCH(Data!E251,Data_Val!$A$2:$A$3,0)),0,1))</f>
        <v/>
      </c>
      <c r="F261" s="36" t="str">
        <f ca="1">IF(Data!B251="","",IF(ISNUMBER(Data!F251),IF(AND(Data!F251&gt;(TODAY()-(Data_Val!$H$3*365.25)),Data!F251&lt;=(TODAY()-(Data_Val!$H$2*365.25))),0,1),1))</f>
        <v/>
      </c>
      <c r="G261" s="12" t="str">
        <f>IF(Data!B251="","",IF(AND(Data!G251="",Data!H251&lt;&gt;""),1,IF(ISNUMBER(MATCH(Data!G251,Data_Val!$C$2:$C$5,0)),0,1)))</f>
        <v/>
      </c>
      <c r="H261" s="12" t="str">
        <f>IF(Data!B251="","",IF(AND(Data!G251&lt;&gt;"",Data!H251=""),1,IF(Data!G251="",1,IF(ISNUMBER(MATCH(Data!H251,Data_Val!$D$2:$D$35,0)),0,1))))</f>
        <v/>
      </c>
      <c r="I261" s="38" t="str">
        <f>IF(Data!G251="","",IF(Data!G251=Data_Val!$C$2,IF(Data!I251="",0,1),0))</f>
        <v/>
      </c>
      <c r="J261" s="38" t="str">
        <f>IF(Data!I251="","",IF(ISNUMBER(MATCH(Data!J251,Data_Val!$A$2:$A$3,0)),0,1))</f>
        <v/>
      </c>
      <c r="K261" s="38" t="str">
        <f ca="1">IF(Data!I251="","",IF(ISNUMBER(Data!K251),IF(AND(Data!K251&gt;(TODAY()-(Data_Val!$K$3*365.25)),Data!K251&lt;=(TODAY()-(Data_Val!$K$2*365.25))),0,1),1))</f>
        <v/>
      </c>
      <c r="L261" s="16" t="str">
        <f>IF(Data!G251="","",IF(Data!G251=Data_Val!$C$2,IF(Data!L251="",0,1),0))</f>
        <v/>
      </c>
      <c r="M261" s="16" t="str">
        <f>IF(Data!L251="","",IF(ISNUMBER(MATCH(Data!M251,Data_Val!$A$2:$A$3,0)),0,1))</f>
        <v/>
      </c>
      <c r="N261" s="43" t="str">
        <f ca="1">IF(Data!L251="","",IF(ISNUMBER(Data!N251),IF(AND(Data!N251&gt;(TODAY()-(Data_Val!$L$3*365.25)),Data!N251&lt;=(TODAY()-(Data_Val!$L$2*365.25))),0,1),1))</f>
        <v/>
      </c>
      <c r="O261" s="18" t="str">
        <f>IF(Data!$G251="","",IF(Data!$G251=Data_Val!$C$2,IF(Data!O251="",0,1),0))</f>
        <v/>
      </c>
      <c r="P261" s="18" t="str">
        <f>IF(Data!O251="","",IF(ISNUMBER(MATCH(Data!P251,Data_Val!$A$2:$A$3,0)),0,1))</f>
        <v/>
      </c>
      <c r="Q261" s="44" t="str">
        <f ca="1">IF(Data!O251="","",IF(ISNUMBER(Data!Q251),IF(AND(Data!Q251&gt;(TODAY()-(Data_Val!$L$3*365.25)),Data!Q251&lt;=(TODAY()-(Data_Val!$L$2*365.25))),0,1),1))</f>
        <v/>
      </c>
    </row>
    <row r="262" spans="1:17" ht="12" customHeight="1" x14ac:dyDescent="0.25">
      <c r="A262" s="36" t="str">
        <f>IF(Data!B252="","",IF(COUNTIFS(Data!A$1:'Data'!A252,Data!A252)&lt;=1,0,1))</f>
        <v/>
      </c>
      <c r="B262" s="36"/>
      <c r="C262" s="36" t="str">
        <f>IF(Data!C252="","",(IF(ISNUMBER(MATCH("*@*.?*",Data!C252,0)),0,1)+IF(COUNTIFS(Data!C$1:'Data'!C252,Data!C252)&gt;1,1,0)))</f>
        <v/>
      </c>
      <c r="D262" s="36" t="str">
        <f>IF(Data!B252="","",IF(ISNUMBER(Data!D252),IF(AND(Data!D252&gt;999999999,Data!D252&lt;=9999999999),IF(COUNTIFS(Data!D$1:'Data'!D252,Data!D252)&lt;=1,0,1),1),1))</f>
        <v/>
      </c>
      <c r="E262" s="36" t="str">
        <f>IF(Data!B252="","",IF(ISNUMBER(MATCH(Data!E252,Data_Val!$A$2:$A$3,0)),0,1))</f>
        <v/>
      </c>
      <c r="F262" s="36" t="str">
        <f ca="1">IF(Data!B252="","",IF(ISNUMBER(Data!F252),IF(AND(Data!F252&gt;(TODAY()-(Data_Val!$H$3*365.25)),Data!F252&lt;=(TODAY()-(Data_Val!$H$2*365.25))),0,1),1))</f>
        <v/>
      </c>
      <c r="G262" s="12" t="str">
        <f>IF(Data!B252="","",IF(AND(Data!G252="",Data!H252&lt;&gt;""),1,IF(ISNUMBER(MATCH(Data!G252,Data_Val!$C$2:$C$5,0)),0,1)))</f>
        <v/>
      </c>
      <c r="H262" s="12" t="str">
        <f>IF(Data!B252="","",IF(AND(Data!G252&lt;&gt;"",Data!H252=""),1,IF(Data!G252="",1,IF(ISNUMBER(MATCH(Data!H252,Data_Val!$D$2:$D$35,0)),0,1))))</f>
        <v/>
      </c>
      <c r="I262" s="38" t="str">
        <f>IF(Data!G252="","",IF(Data!G252=Data_Val!$C$2,IF(Data!I252="",0,1),0))</f>
        <v/>
      </c>
      <c r="J262" s="38" t="str">
        <f>IF(Data!I252="","",IF(ISNUMBER(MATCH(Data!J252,Data_Val!$A$2:$A$3,0)),0,1))</f>
        <v/>
      </c>
      <c r="K262" s="38" t="str">
        <f ca="1">IF(Data!I252="","",IF(ISNUMBER(Data!K252),IF(AND(Data!K252&gt;(TODAY()-(Data_Val!$K$3*365.25)),Data!K252&lt;=(TODAY()-(Data_Val!$K$2*365.25))),0,1),1))</f>
        <v/>
      </c>
      <c r="L262" s="16" t="str">
        <f>IF(Data!G252="","",IF(Data!G252=Data_Val!$C$2,IF(Data!L252="",0,1),0))</f>
        <v/>
      </c>
      <c r="M262" s="16" t="str">
        <f>IF(Data!L252="","",IF(ISNUMBER(MATCH(Data!M252,Data_Val!$A$2:$A$3,0)),0,1))</f>
        <v/>
      </c>
      <c r="N262" s="43" t="str">
        <f ca="1">IF(Data!L252="","",IF(ISNUMBER(Data!N252),IF(AND(Data!N252&gt;(TODAY()-(Data_Val!$L$3*365.25)),Data!N252&lt;=(TODAY()-(Data_Val!$L$2*365.25))),0,1),1))</f>
        <v/>
      </c>
      <c r="O262" s="18" t="str">
        <f>IF(Data!$G252="","",IF(Data!$G252=Data_Val!$C$2,IF(Data!O252="",0,1),0))</f>
        <v/>
      </c>
      <c r="P262" s="18" t="str">
        <f>IF(Data!O252="","",IF(ISNUMBER(MATCH(Data!P252,Data_Val!$A$2:$A$3,0)),0,1))</f>
        <v/>
      </c>
      <c r="Q262" s="44" t="str">
        <f ca="1">IF(Data!O252="","",IF(ISNUMBER(Data!Q252),IF(AND(Data!Q252&gt;(TODAY()-(Data_Val!$L$3*365.25)),Data!Q252&lt;=(TODAY()-(Data_Val!$L$2*365.25))),0,1),1))</f>
        <v/>
      </c>
    </row>
    <row r="263" spans="1:17" ht="12" customHeight="1" x14ac:dyDescent="0.25">
      <c r="A263" s="36" t="str">
        <f>IF(Data!B253="","",IF(COUNTIFS(Data!A$1:'Data'!A253,Data!A253)&lt;=1,0,1))</f>
        <v/>
      </c>
      <c r="B263" s="36"/>
      <c r="C263" s="36" t="str">
        <f>IF(Data!C253="","",(IF(ISNUMBER(MATCH("*@*.?*",Data!C253,0)),0,1)+IF(COUNTIFS(Data!C$1:'Data'!C253,Data!C253)&gt;1,1,0)))</f>
        <v/>
      </c>
      <c r="D263" s="36" t="str">
        <f>IF(Data!B253="","",IF(ISNUMBER(Data!D253),IF(AND(Data!D253&gt;999999999,Data!D253&lt;=9999999999),IF(COUNTIFS(Data!D$1:'Data'!D253,Data!D253)&lt;=1,0,1),1),1))</f>
        <v/>
      </c>
      <c r="E263" s="36" t="str">
        <f>IF(Data!B253="","",IF(ISNUMBER(MATCH(Data!E253,Data_Val!$A$2:$A$3,0)),0,1))</f>
        <v/>
      </c>
      <c r="F263" s="36" t="str">
        <f ca="1">IF(Data!B253="","",IF(ISNUMBER(Data!F253),IF(AND(Data!F253&gt;(TODAY()-(Data_Val!$H$3*365.25)),Data!F253&lt;=(TODAY()-(Data_Val!$H$2*365.25))),0,1),1))</f>
        <v/>
      </c>
      <c r="G263" s="12" t="str">
        <f>IF(Data!B253="","",IF(AND(Data!G253="",Data!H253&lt;&gt;""),1,IF(ISNUMBER(MATCH(Data!G253,Data_Val!$C$2:$C$5,0)),0,1)))</f>
        <v/>
      </c>
      <c r="H263" s="12" t="str">
        <f>IF(Data!B253="","",IF(AND(Data!G253&lt;&gt;"",Data!H253=""),1,IF(Data!G253="",1,IF(ISNUMBER(MATCH(Data!H253,Data_Val!$D$2:$D$35,0)),0,1))))</f>
        <v/>
      </c>
      <c r="I263" s="38" t="str">
        <f>IF(Data!G253="","",IF(Data!G253=Data_Val!$C$2,IF(Data!I253="",0,1),0))</f>
        <v/>
      </c>
      <c r="J263" s="38" t="str">
        <f>IF(Data!I253="","",IF(ISNUMBER(MATCH(Data!J253,Data_Val!$A$2:$A$3,0)),0,1))</f>
        <v/>
      </c>
      <c r="K263" s="38" t="str">
        <f ca="1">IF(Data!I253="","",IF(ISNUMBER(Data!K253),IF(AND(Data!K253&gt;(TODAY()-(Data_Val!$K$3*365.25)),Data!K253&lt;=(TODAY()-(Data_Val!$K$2*365.25))),0,1),1))</f>
        <v/>
      </c>
      <c r="L263" s="16" t="str">
        <f>IF(Data!G253="","",IF(Data!G253=Data_Val!$C$2,IF(Data!L253="",0,1),0))</f>
        <v/>
      </c>
      <c r="M263" s="16" t="str">
        <f>IF(Data!L253="","",IF(ISNUMBER(MATCH(Data!M253,Data_Val!$A$2:$A$3,0)),0,1))</f>
        <v/>
      </c>
      <c r="N263" s="43" t="str">
        <f ca="1">IF(Data!L253="","",IF(ISNUMBER(Data!N253),IF(AND(Data!N253&gt;(TODAY()-(Data_Val!$L$3*365.25)),Data!N253&lt;=(TODAY()-(Data_Val!$L$2*365.25))),0,1),1))</f>
        <v/>
      </c>
      <c r="O263" s="18" t="str">
        <f>IF(Data!$G253="","",IF(Data!$G253=Data_Val!$C$2,IF(Data!O253="",0,1),0))</f>
        <v/>
      </c>
      <c r="P263" s="18" t="str">
        <f>IF(Data!O253="","",IF(ISNUMBER(MATCH(Data!P253,Data_Val!$A$2:$A$3,0)),0,1))</f>
        <v/>
      </c>
      <c r="Q263" s="44" t="str">
        <f ca="1">IF(Data!O253="","",IF(ISNUMBER(Data!Q253),IF(AND(Data!Q253&gt;(TODAY()-(Data_Val!$L$3*365.25)),Data!Q253&lt;=(TODAY()-(Data_Val!$L$2*365.25))),0,1),1))</f>
        <v/>
      </c>
    </row>
    <row r="264" spans="1:17" ht="12" customHeight="1" x14ac:dyDescent="0.25">
      <c r="A264" s="36" t="str">
        <f>IF(Data!B254="","",IF(COUNTIFS(Data!A$1:'Data'!A254,Data!A254)&lt;=1,0,1))</f>
        <v/>
      </c>
      <c r="B264" s="36"/>
      <c r="C264" s="36" t="str">
        <f>IF(Data!C254="","",(IF(ISNUMBER(MATCH("*@*.?*",Data!C254,0)),0,1)+IF(COUNTIFS(Data!C$1:'Data'!C254,Data!C254)&gt;1,1,0)))</f>
        <v/>
      </c>
      <c r="D264" s="36" t="str">
        <f>IF(Data!B254="","",IF(ISNUMBER(Data!D254),IF(AND(Data!D254&gt;999999999,Data!D254&lt;=9999999999),IF(COUNTIFS(Data!D$1:'Data'!D254,Data!D254)&lt;=1,0,1),1),1))</f>
        <v/>
      </c>
      <c r="E264" s="36" t="str">
        <f>IF(Data!B254="","",IF(ISNUMBER(MATCH(Data!E254,Data_Val!$A$2:$A$3,0)),0,1))</f>
        <v/>
      </c>
      <c r="F264" s="36" t="str">
        <f ca="1">IF(Data!B254="","",IF(ISNUMBER(Data!F254),IF(AND(Data!F254&gt;(TODAY()-(Data_Val!$H$3*365.25)),Data!F254&lt;=(TODAY()-(Data_Val!$H$2*365.25))),0,1),1))</f>
        <v/>
      </c>
      <c r="G264" s="12" t="str">
        <f>IF(Data!B254="","",IF(AND(Data!G254="",Data!H254&lt;&gt;""),1,IF(ISNUMBER(MATCH(Data!G254,Data_Val!$C$2:$C$5,0)),0,1)))</f>
        <v/>
      </c>
      <c r="H264" s="12" t="str">
        <f>IF(Data!B254="","",IF(AND(Data!G254&lt;&gt;"",Data!H254=""),1,IF(Data!G254="",1,IF(ISNUMBER(MATCH(Data!H254,Data_Val!$D$2:$D$35,0)),0,1))))</f>
        <v/>
      </c>
      <c r="I264" s="38" t="str">
        <f>IF(Data!G254="","",IF(Data!G254=Data_Val!$C$2,IF(Data!I254="",0,1),0))</f>
        <v/>
      </c>
      <c r="J264" s="38" t="str">
        <f>IF(Data!I254="","",IF(ISNUMBER(MATCH(Data!J254,Data_Val!$A$2:$A$3,0)),0,1))</f>
        <v/>
      </c>
      <c r="K264" s="38" t="str">
        <f ca="1">IF(Data!I254="","",IF(ISNUMBER(Data!K254),IF(AND(Data!K254&gt;(TODAY()-(Data_Val!$K$3*365.25)),Data!K254&lt;=(TODAY()-(Data_Val!$K$2*365.25))),0,1),1))</f>
        <v/>
      </c>
      <c r="L264" s="16" t="str">
        <f>IF(Data!G254="","",IF(Data!G254=Data_Val!$C$2,IF(Data!L254="",0,1),0))</f>
        <v/>
      </c>
      <c r="M264" s="16" t="str">
        <f>IF(Data!L254="","",IF(ISNUMBER(MATCH(Data!M254,Data_Val!$A$2:$A$3,0)),0,1))</f>
        <v/>
      </c>
      <c r="N264" s="43" t="str">
        <f ca="1">IF(Data!L254="","",IF(ISNUMBER(Data!N254),IF(AND(Data!N254&gt;(TODAY()-(Data_Val!$L$3*365.25)),Data!N254&lt;=(TODAY()-(Data_Val!$L$2*365.25))),0,1),1))</f>
        <v/>
      </c>
      <c r="O264" s="18" t="str">
        <f>IF(Data!$G254="","",IF(Data!$G254=Data_Val!$C$2,IF(Data!O254="",0,1),0))</f>
        <v/>
      </c>
      <c r="P264" s="18" t="str">
        <f>IF(Data!O254="","",IF(ISNUMBER(MATCH(Data!P254,Data_Val!$A$2:$A$3,0)),0,1))</f>
        <v/>
      </c>
      <c r="Q264" s="44" t="str">
        <f ca="1">IF(Data!O254="","",IF(ISNUMBER(Data!Q254),IF(AND(Data!Q254&gt;(TODAY()-(Data_Val!$L$3*365.25)),Data!Q254&lt;=(TODAY()-(Data_Val!$L$2*365.25))),0,1),1))</f>
        <v/>
      </c>
    </row>
    <row r="265" spans="1:17" ht="12" customHeight="1" x14ac:dyDescent="0.25">
      <c r="A265" s="36" t="str">
        <f>IF(Data!B255="","",IF(COUNTIFS(Data!A$1:'Data'!A255,Data!A255)&lt;=1,0,1))</f>
        <v/>
      </c>
      <c r="B265" s="36"/>
      <c r="C265" s="36" t="str">
        <f>IF(Data!C255="","",(IF(ISNUMBER(MATCH("*@*.?*",Data!C255,0)),0,1)+IF(COUNTIFS(Data!C$1:'Data'!C255,Data!C255)&gt;1,1,0)))</f>
        <v/>
      </c>
      <c r="D265" s="36" t="str">
        <f>IF(Data!B255="","",IF(ISNUMBER(Data!D255),IF(AND(Data!D255&gt;999999999,Data!D255&lt;=9999999999),IF(COUNTIFS(Data!D$1:'Data'!D255,Data!D255)&lt;=1,0,1),1),1))</f>
        <v/>
      </c>
      <c r="E265" s="36" t="str">
        <f>IF(Data!B255="","",IF(ISNUMBER(MATCH(Data!E255,Data_Val!$A$2:$A$3,0)),0,1))</f>
        <v/>
      </c>
      <c r="F265" s="36" t="str">
        <f ca="1">IF(Data!B255="","",IF(ISNUMBER(Data!F255),IF(AND(Data!F255&gt;(TODAY()-(Data_Val!$H$3*365.25)),Data!F255&lt;=(TODAY()-(Data_Val!$H$2*365.25))),0,1),1))</f>
        <v/>
      </c>
      <c r="G265" s="12" t="str">
        <f>IF(Data!B255="","",IF(AND(Data!G255="",Data!H255&lt;&gt;""),1,IF(ISNUMBER(MATCH(Data!G255,Data_Val!$C$2:$C$5,0)),0,1)))</f>
        <v/>
      </c>
      <c r="H265" s="12" t="str">
        <f>IF(Data!B255="","",IF(AND(Data!G255&lt;&gt;"",Data!H255=""),1,IF(Data!G255="",1,IF(ISNUMBER(MATCH(Data!H255,Data_Val!$D$2:$D$35,0)),0,1))))</f>
        <v/>
      </c>
      <c r="I265" s="38" t="str">
        <f>IF(Data!G255="","",IF(Data!G255=Data_Val!$C$2,IF(Data!I255="",0,1),0))</f>
        <v/>
      </c>
      <c r="J265" s="38" t="str">
        <f>IF(Data!I255="","",IF(ISNUMBER(MATCH(Data!J255,Data_Val!$A$2:$A$3,0)),0,1))</f>
        <v/>
      </c>
      <c r="K265" s="38" t="str">
        <f ca="1">IF(Data!I255="","",IF(ISNUMBER(Data!K255),IF(AND(Data!K255&gt;(TODAY()-(Data_Val!$K$3*365.25)),Data!K255&lt;=(TODAY()-(Data_Val!$K$2*365.25))),0,1),1))</f>
        <v/>
      </c>
      <c r="L265" s="16" t="str">
        <f>IF(Data!G255="","",IF(Data!G255=Data_Val!$C$2,IF(Data!L255="",0,1),0))</f>
        <v/>
      </c>
      <c r="M265" s="16" t="str">
        <f>IF(Data!L255="","",IF(ISNUMBER(MATCH(Data!M255,Data_Val!$A$2:$A$3,0)),0,1))</f>
        <v/>
      </c>
      <c r="N265" s="43" t="str">
        <f ca="1">IF(Data!L255="","",IF(ISNUMBER(Data!N255),IF(AND(Data!N255&gt;(TODAY()-(Data_Val!$L$3*365.25)),Data!N255&lt;=(TODAY()-(Data_Val!$L$2*365.25))),0,1),1))</f>
        <v/>
      </c>
      <c r="O265" s="18" t="str">
        <f>IF(Data!$G255="","",IF(Data!$G255=Data_Val!$C$2,IF(Data!O255="",0,1),0))</f>
        <v/>
      </c>
      <c r="P265" s="18" t="str">
        <f>IF(Data!O255="","",IF(ISNUMBER(MATCH(Data!P255,Data_Val!$A$2:$A$3,0)),0,1))</f>
        <v/>
      </c>
      <c r="Q265" s="44" t="str">
        <f ca="1">IF(Data!O255="","",IF(ISNUMBER(Data!Q255),IF(AND(Data!Q255&gt;(TODAY()-(Data_Val!$L$3*365.25)),Data!Q255&lt;=(TODAY()-(Data_Val!$L$2*365.25))),0,1),1))</f>
        <v/>
      </c>
    </row>
    <row r="266" spans="1:17" ht="12" customHeight="1" x14ac:dyDescent="0.25">
      <c r="A266" s="36" t="str">
        <f>IF(Data!B256="","",IF(COUNTIFS(Data!A$1:'Data'!A256,Data!A256)&lt;=1,0,1))</f>
        <v/>
      </c>
      <c r="B266" s="36"/>
      <c r="C266" s="36" t="str">
        <f>IF(Data!C256="","",(IF(ISNUMBER(MATCH("*@*.?*",Data!C256,0)),0,1)+IF(COUNTIFS(Data!C$1:'Data'!C256,Data!C256)&gt;1,1,0)))</f>
        <v/>
      </c>
      <c r="D266" s="36" t="str">
        <f>IF(Data!B256="","",IF(ISNUMBER(Data!D256),IF(AND(Data!D256&gt;999999999,Data!D256&lt;=9999999999),IF(COUNTIFS(Data!D$1:'Data'!D256,Data!D256)&lt;=1,0,1),1),1))</f>
        <v/>
      </c>
      <c r="E266" s="36" t="str">
        <f>IF(Data!B256="","",IF(ISNUMBER(MATCH(Data!E256,Data_Val!$A$2:$A$3,0)),0,1))</f>
        <v/>
      </c>
      <c r="F266" s="36" t="str">
        <f ca="1">IF(Data!B256="","",IF(ISNUMBER(Data!F256),IF(AND(Data!F256&gt;(TODAY()-(Data_Val!$H$3*365.25)),Data!F256&lt;=(TODAY()-(Data_Val!$H$2*365.25))),0,1),1))</f>
        <v/>
      </c>
      <c r="G266" s="12" t="str">
        <f>IF(Data!B256="","",IF(AND(Data!G256="",Data!H256&lt;&gt;""),1,IF(ISNUMBER(MATCH(Data!G256,Data_Val!$C$2:$C$5,0)),0,1)))</f>
        <v/>
      </c>
      <c r="H266" s="12" t="str">
        <f>IF(Data!B256="","",IF(AND(Data!G256&lt;&gt;"",Data!H256=""),1,IF(Data!G256="",1,IF(ISNUMBER(MATCH(Data!H256,Data_Val!$D$2:$D$35,0)),0,1))))</f>
        <v/>
      </c>
      <c r="I266" s="38" t="str">
        <f>IF(Data!G256="","",IF(Data!G256=Data_Val!$C$2,IF(Data!I256="",0,1),0))</f>
        <v/>
      </c>
      <c r="J266" s="38" t="str">
        <f>IF(Data!I256="","",IF(ISNUMBER(MATCH(Data!J256,Data_Val!$A$2:$A$3,0)),0,1))</f>
        <v/>
      </c>
      <c r="K266" s="38" t="str">
        <f ca="1">IF(Data!I256="","",IF(ISNUMBER(Data!K256),IF(AND(Data!K256&gt;(TODAY()-(Data_Val!$K$3*365.25)),Data!K256&lt;=(TODAY()-(Data_Val!$K$2*365.25))),0,1),1))</f>
        <v/>
      </c>
      <c r="L266" s="16" t="str">
        <f>IF(Data!G256="","",IF(Data!G256=Data_Val!$C$2,IF(Data!L256="",0,1),0))</f>
        <v/>
      </c>
      <c r="M266" s="16" t="str">
        <f>IF(Data!L256="","",IF(ISNUMBER(MATCH(Data!M256,Data_Val!$A$2:$A$3,0)),0,1))</f>
        <v/>
      </c>
      <c r="N266" s="43" t="str">
        <f ca="1">IF(Data!L256="","",IF(ISNUMBER(Data!N256),IF(AND(Data!N256&gt;(TODAY()-(Data_Val!$L$3*365.25)),Data!N256&lt;=(TODAY()-(Data_Val!$L$2*365.25))),0,1),1))</f>
        <v/>
      </c>
      <c r="O266" s="18" t="str">
        <f>IF(Data!$G256="","",IF(Data!$G256=Data_Val!$C$2,IF(Data!O256="",0,1),0))</f>
        <v/>
      </c>
      <c r="P266" s="18" t="str">
        <f>IF(Data!O256="","",IF(ISNUMBER(MATCH(Data!P256,Data_Val!$A$2:$A$3,0)),0,1))</f>
        <v/>
      </c>
      <c r="Q266" s="44" t="str">
        <f ca="1">IF(Data!O256="","",IF(ISNUMBER(Data!Q256),IF(AND(Data!Q256&gt;(TODAY()-(Data_Val!$L$3*365.25)),Data!Q256&lt;=(TODAY()-(Data_Val!$L$2*365.25))),0,1),1))</f>
        <v/>
      </c>
    </row>
    <row r="267" spans="1:17" ht="12" customHeight="1" x14ac:dyDescent="0.25">
      <c r="A267" s="36" t="str">
        <f>IF(Data!B257="","",IF(COUNTIFS(Data!A$1:'Data'!A257,Data!A257)&lt;=1,0,1))</f>
        <v/>
      </c>
      <c r="B267" s="36"/>
      <c r="C267" s="36" t="str">
        <f>IF(Data!C257="","",(IF(ISNUMBER(MATCH("*@*.?*",Data!C257,0)),0,1)+IF(COUNTIFS(Data!C$1:'Data'!C257,Data!C257)&gt;1,1,0)))</f>
        <v/>
      </c>
      <c r="D267" s="36" t="str">
        <f>IF(Data!B257="","",IF(ISNUMBER(Data!D257),IF(AND(Data!D257&gt;999999999,Data!D257&lt;=9999999999),IF(COUNTIFS(Data!D$1:'Data'!D257,Data!D257)&lt;=1,0,1),1),1))</f>
        <v/>
      </c>
      <c r="E267" s="36" t="str">
        <f>IF(Data!B257="","",IF(ISNUMBER(MATCH(Data!E257,Data_Val!$A$2:$A$3,0)),0,1))</f>
        <v/>
      </c>
      <c r="F267" s="36" t="str">
        <f ca="1">IF(Data!B257="","",IF(ISNUMBER(Data!F257),IF(AND(Data!F257&gt;(TODAY()-(Data_Val!$H$3*365.25)),Data!F257&lt;=(TODAY()-(Data_Val!$H$2*365.25))),0,1),1))</f>
        <v/>
      </c>
      <c r="G267" s="12" t="str">
        <f>IF(Data!B257="","",IF(AND(Data!G257="",Data!H257&lt;&gt;""),1,IF(ISNUMBER(MATCH(Data!G257,Data_Val!$C$2:$C$5,0)),0,1)))</f>
        <v/>
      </c>
      <c r="H267" s="12" t="str">
        <f>IF(Data!B257="","",IF(AND(Data!G257&lt;&gt;"",Data!H257=""),1,IF(Data!G257="",1,IF(ISNUMBER(MATCH(Data!H257,Data_Val!$D$2:$D$35,0)),0,1))))</f>
        <v/>
      </c>
      <c r="I267" s="38" t="str">
        <f>IF(Data!G257="","",IF(Data!G257=Data_Val!$C$2,IF(Data!I257="",0,1),0))</f>
        <v/>
      </c>
      <c r="J267" s="38" t="str">
        <f>IF(Data!I257="","",IF(ISNUMBER(MATCH(Data!J257,Data_Val!$A$2:$A$3,0)),0,1))</f>
        <v/>
      </c>
      <c r="K267" s="38" t="str">
        <f ca="1">IF(Data!I257="","",IF(ISNUMBER(Data!K257),IF(AND(Data!K257&gt;(TODAY()-(Data_Val!$K$3*365.25)),Data!K257&lt;=(TODAY()-(Data_Val!$K$2*365.25))),0,1),1))</f>
        <v/>
      </c>
      <c r="L267" s="16" t="str">
        <f>IF(Data!G257="","",IF(Data!G257=Data_Val!$C$2,IF(Data!L257="",0,1),0))</f>
        <v/>
      </c>
      <c r="M267" s="16" t="str">
        <f>IF(Data!L257="","",IF(ISNUMBER(MATCH(Data!M257,Data_Val!$A$2:$A$3,0)),0,1))</f>
        <v/>
      </c>
      <c r="N267" s="43" t="str">
        <f ca="1">IF(Data!L257="","",IF(ISNUMBER(Data!N257),IF(AND(Data!N257&gt;(TODAY()-(Data_Val!$L$3*365.25)),Data!N257&lt;=(TODAY()-(Data_Val!$L$2*365.25))),0,1),1))</f>
        <v/>
      </c>
      <c r="O267" s="18" t="str">
        <f>IF(Data!$G257="","",IF(Data!$G257=Data_Val!$C$2,IF(Data!O257="",0,1),0))</f>
        <v/>
      </c>
      <c r="P267" s="18" t="str">
        <f>IF(Data!O257="","",IF(ISNUMBER(MATCH(Data!P257,Data_Val!$A$2:$A$3,0)),0,1))</f>
        <v/>
      </c>
      <c r="Q267" s="44" t="str">
        <f ca="1">IF(Data!O257="","",IF(ISNUMBER(Data!Q257),IF(AND(Data!Q257&gt;(TODAY()-(Data_Val!$L$3*365.25)),Data!Q257&lt;=(TODAY()-(Data_Val!$L$2*365.25))),0,1),1))</f>
        <v/>
      </c>
    </row>
    <row r="268" spans="1:17" ht="12" customHeight="1" x14ac:dyDescent="0.25">
      <c r="A268" s="36" t="str">
        <f>IF(Data!B258="","",IF(COUNTIFS(Data!A$1:'Data'!A258,Data!A258)&lt;=1,0,1))</f>
        <v/>
      </c>
      <c r="B268" s="36"/>
      <c r="C268" s="36" t="str">
        <f>IF(Data!C258="","",(IF(ISNUMBER(MATCH("*@*.?*",Data!C258,0)),0,1)+IF(COUNTIFS(Data!C$1:'Data'!C258,Data!C258)&gt;1,1,0)))</f>
        <v/>
      </c>
      <c r="D268" s="36" t="str">
        <f>IF(Data!B258="","",IF(ISNUMBER(Data!D258),IF(AND(Data!D258&gt;999999999,Data!D258&lt;=9999999999),IF(COUNTIFS(Data!D$1:'Data'!D258,Data!D258)&lt;=1,0,1),1),1))</f>
        <v/>
      </c>
      <c r="E268" s="36" t="str">
        <f>IF(Data!B258="","",IF(ISNUMBER(MATCH(Data!E258,Data_Val!$A$2:$A$3,0)),0,1))</f>
        <v/>
      </c>
      <c r="F268" s="36" t="str">
        <f ca="1">IF(Data!B258="","",IF(ISNUMBER(Data!F258),IF(AND(Data!F258&gt;(TODAY()-(Data_Val!$H$3*365.25)),Data!F258&lt;=(TODAY()-(Data_Val!$H$2*365.25))),0,1),1))</f>
        <v/>
      </c>
      <c r="G268" s="12" t="str">
        <f>IF(Data!B258="","",IF(AND(Data!G258="",Data!H258&lt;&gt;""),1,IF(ISNUMBER(MATCH(Data!G258,Data_Val!$C$2:$C$5,0)),0,1)))</f>
        <v/>
      </c>
      <c r="H268" s="12" t="str">
        <f>IF(Data!B258="","",IF(AND(Data!G258&lt;&gt;"",Data!H258=""),1,IF(Data!G258="",1,IF(ISNUMBER(MATCH(Data!H258,Data_Val!$D$2:$D$35,0)),0,1))))</f>
        <v/>
      </c>
      <c r="I268" s="38" t="str">
        <f>IF(Data!G258="","",IF(Data!G258=Data_Val!$C$2,IF(Data!I258="",0,1),0))</f>
        <v/>
      </c>
      <c r="J268" s="38" t="str">
        <f>IF(Data!I258="","",IF(ISNUMBER(MATCH(Data!J258,Data_Val!$A$2:$A$3,0)),0,1))</f>
        <v/>
      </c>
      <c r="K268" s="38" t="str">
        <f ca="1">IF(Data!I258="","",IF(ISNUMBER(Data!K258),IF(AND(Data!K258&gt;(TODAY()-(Data_Val!$K$3*365.25)),Data!K258&lt;=(TODAY()-(Data_Val!$K$2*365.25))),0,1),1))</f>
        <v/>
      </c>
      <c r="L268" s="16" t="str">
        <f>IF(Data!G258="","",IF(Data!G258=Data_Val!$C$2,IF(Data!L258="",0,1),0))</f>
        <v/>
      </c>
      <c r="M268" s="16" t="str">
        <f>IF(Data!L258="","",IF(ISNUMBER(MATCH(Data!M258,Data_Val!$A$2:$A$3,0)),0,1))</f>
        <v/>
      </c>
      <c r="N268" s="43" t="str">
        <f ca="1">IF(Data!L258="","",IF(ISNUMBER(Data!N258),IF(AND(Data!N258&gt;(TODAY()-(Data_Val!$L$3*365.25)),Data!N258&lt;=(TODAY()-(Data_Val!$L$2*365.25))),0,1),1))</f>
        <v/>
      </c>
      <c r="O268" s="18" t="str">
        <f>IF(Data!$G258="","",IF(Data!$G258=Data_Val!$C$2,IF(Data!O258="",0,1),0))</f>
        <v/>
      </c>
      <c r="P268" s="18" t="str">
        <f>IF(Data!O258="","",IF(ISNUMBER(MATCH(Data!P258,Data_Val!$A$2:$A$3,0)),0,1))</f>
        <v/>
      </c>
      <c r="Q268" s="44" t="str">
        <f ca="1">IF(Data!O258="","",IF(ISNUMBER(Data!Q258),IF(AND(Data!Q258&gt;(TODAY()-(Data_Val!$L$3*365.25)),Data!Q258&lt;=(TODAY()-(Data_Val!$L$2*365.25))),0,1),1))</f>
        <v/>
      </c>
    </row>
    <row r="269" spans="1:17" ht="12" customHeight="1" x14ac:dyDescent="0.25">
      <c r="A269" s="36" t="str">
        <f>IF(Data!B259="","",IF(COUNTIFS(Data!A$1:'Data'!A259,Data!A259)&lt;=1,0,1))</f>
        <v/>
      </c>
      <c r="B269" s="36"/>
      <c r="C269" s="36" t="str">
        <f>IF(Data!C259="","",(IF(ISNUMBER(MATCH("*@*.?*",Data!C259,0)),0,1)+IF(COUNTIFS(Data!C$1:'Data'!C259,Data!C259)&gt;1,1,0)))</f>
        <v/>
      </c>
      <c r="D269" s="36" t="str">
        <f>IF(Data!B259="","",IF(ISNUMBER(Data!D259),IF(AND(Data!D259&gt;999999999,Data!D259&lt;=9999999999),IF(COUNTIFS(Data!D$1:'Data'!D259,Data!D259)&lt;=1,0,1),1),1))</f>
        <v/>
      </c>
      <c r="E269" s="36" t="str">
        <f>IF(Data!B259="","",IF(ISNUMBER(MATCH(Data!E259,Data_Val!$A$2:$A$3,0)),0,1))</f>
        <v/>
      </c>
      <c r="F269" s="36" t="str">
        <f ca="1">IF(Data!B259="","",IF(ISNUMBER(Data!F259),IF(AND(Data!F259&gt;(TODAY()-(Data_Val!$H$3*365.25)),Data!F259&lt;=(TODAY()-(Data_Val!$H$2*365.25))),0,1),1))</f>
        <v/>
      </c>
      <c r="G269" s="12" t="str">
        <f>IF(Data!B259="","",IF(AND(Data!G259="",Data!H259&lt;&gt;""),1,IF(ISNUMBER(MATCH(Data!G259,Data_Val!$C$2:$C$5,0)),0,1)))</f>
        <v/>
      </c>
      <c r="H269" s="12" t="str">
        <f>IF(Data!B259="","",IF(AND(Data!G259&lt;&gt;"",Data!H259=""),1,IF(Data!G259="",1,IF(ISNUMBER(MATCH(Data!H259,Data_Val!$D$2:$D$35,0)),0,1))))</f>
        <v/>
      </c>
      <c r="I269" s="38" t="str">
        <f>IF(Data!G259="","",IF(Data!G259=Data_Val!$C$2,IF(Data!I259="",0,1),0))</f>
        <v/>
      </c>
      <c r="J269" s="38" t="str">
        <f>IF(Data!I259="","",IF(ISNUMBER(MATCH(Data!J259,Data_Val!$A$2:$A$3,0)),0,1))</f>
        <v/>
      </c>
      <c r="K269" s="38" t="str">
        <f ca="1">IF(Data!I259="","",IF(ISNUMBER(Data!K259),IF(AND(Data!K259&gt;(TODAY()-(Data_Val!$K$3*365.25)),Data!K259&lt;=(TODAY()-(Data_Val!$K$2*365.25))),0,1),1))</f>
        <v/>
      </c>
      <c r="L269" s="16" t="str">
        <f>IF(Data!G259="","",IF(Data!G259=Data_Val!$C$2,IF(Data!L259="",0,1),0))</f>
        <v/>
      </c>
      <c r="M269" s="16" t="str">
        <f>IF(Data!L259="","",IF(ISNUMBER(MATCH(Data!M259,Data_Val!$A$2:$A$3,0)),0,1))</f>
        <v/>
      </c>
      <c r="N269" s="43" t="str">
        <f ca="1">IF(Data!L259="","",IF(ISNUMBER(Data!N259),IF(AND(Data!N259&gt;(TODAY()-(Data_Val!$L$3*365.25)),Data!N259&lt;=(TODAY()-(Data_Val!$L$2*365.25))),0,1),1))</f>
        <v/>
      </c>
      <c r="O269" s="18" t="str">
        <f>IF(Data!$G259="","",IF(Data!$G259=Data_Val!$C$2,IF(Data!O259="",0,1),0))</f>
        <v/>
      </c>
      <c r="P269" s="18" t="str">
        <f>IF(Data!O259="","",IF(ISNUMBER(MATCH(Data!P259,Data_Val!$A$2:$A$3,0)),0,1))</f>
        <v/>
      </c>
      <c r="Q269" s="44" t="str">
        <f ca="1">IF(Data!O259="","",IF(ISNUMBER(Data!Q259),IF(AND(Data!Q259&gt;(TODAY()-(Data_Val!$L$3*365.25)),Data!Q259&lt;=(TODAY()-(Data_Val!$L$2*365.25))),0,1),1))</f>
        <v/>
      </c>
    </row>
    <row r="270" spans="1:17" ht="12" customHeight="1" x14ac:dyDescent="0.25">
      <c r="A270" s="36" t="str">
        <f>IF(Data!B260="","",IF(COUNTIFS(Data!A$1:'Data'!A260,Data!A260)&lt;=1,0,1))</f>
        <v/>
      </c>
      <c r="B270" s="36"/>
      <c r="C270" s="36" t="str">
        <f>IF(Data!C260="","",(IF(ISNUMBER(MATCH("*@*.?*",Data!C260,0)),0,1)+IF(COUNTIFS(Data!C$1:'Data'!C260,Data!C260)&gt;1,1,0)))</f>
        <v/>
      </c>
      <c r="D270" s="36" t="str">
        <f>IF(Data!B260="","",IF(ISNUMBER(Data!D260),IF(AND(Data!D260&gt;999999999,Data!D260&lt;=9999999999),IF(COUNTIFS(Data!D$1:'Data'!D260,Data!D260)&lt;=1,0,1),1),1))</f>
        <v/>
      </c>
      <c r="E270" s="36" t="str">
        <f>IF(Data!B260="","",IF(ISNUMBER(MATCH(Data!E260,Data_Val!$A$2:$A$3,0)),0,1))</f>
        <v/>
      </c>
      <c r="F270" s="36" t="str">
        <f ca="1">IF(Data!B260="","",IF(ISNUMBER(Data!F260),IF(AND(Data!F260&gt;(TODAY()-(Data_Val!$H$3*365.25)),Data!F260&lt;=(TODAY()-(Data_Val!$H$2*365.25))),0,1),1))</f>
        <v/>
      </c>
      <c r="G270" s="12" t="str">
        <f>IF(Data!B260="","",IF(AND(Data!G260="",Data!H260&lt;&gt;""),1,IF(ISNUMBER(MATCH(Data!G260,Data_Val!$C$2:$C$5,0)),0,1)))</f>
        <v/>
      </c>
      <c r="H270" s="12" t="str">
        <f>IF(Data!B260="","",IF(AND(Data!G260&lt;&gt;"",Data!H260=""),1,IF(Data!G260="",1,IF(ISNUMBER(MATCH(Data!H260,Data_Val!$D$2:$D$35,0)),0,1))))</f>
        <v/>
      </c>
      <c r="I270" s="38" t="str">
        <f>IF(Data!G260="","",IF(Data!G260=Data_Val!$C$2,IF(Data!I260="",0,1),0))</f>
        <v/>
      </c>
      <c r="J270" s="38" t="str">
        <f>IF(Data!I260="","",IF(ISNUMBER(MATCH(Data!J260,Data_Val!$A$2:$A$3,0)),0,1))</f>
        <v/>
      </c>
      <c r="K270" s="38" t="str">
        <f ca="1">IF(Data!I260="","",IF(ISNUMBER(Data!K260),IF(AND(Data!K260&gt;(TODAY()-(Data_Val!$K$3*365.25)),Data!K260&lt;=(TODAY()-(Data_Val!$K$2*365.25))),0,1),1))</f>
        <v/>
      </c>
      <c r="L270" s="16" t="str">
        <f>IF(Data!G260="","",IF(Data!G260=Data_Val!$C$2,IF(Data!L260="",0,1),0))</f>
        <v/>
      </c>
      <c r="M270" s="16" t="str">
        <f>IF(Data!L260="","",IF(ISNUMBER(MATCH(Data!M260,Data_Val!$A$2:$A$3,0)),0,1))</f>
        <v/>
      </c>
      <c r="N270" s="43" t="str">
        <f ca="1">IF(Data!L260="","",IF(ISNUMBER(Data!N260),IF(AND(Data!N260&gt;(TODAY()-(Data_Val!$L$3*365.25)),Data!N260&lt;=(TODAY()-(Data_Val!$L$2*365.25))),0,1),1))</f>
        <v/>
      </c>
      <c r="O270" s="18" t="str">
        <f>IF(Data!$G260="","",IF(Data!$G260=Data_Val!$C$2,IF(Data!O260="",0,1),0))</f>
        <v/>
      </c>
      <c r="P270" s="18" t="str">
        <f>IF(Data!O260="","",IF(ISNUMBER(MATCH(Data!P260,Data_Val!$A$2:$A$3,0)),0,1))</f>
        <v/>
      </c>
      <c r="Q270" s="44" t="str">
        <f ca="1">IF(Data!O260="","",IF(ISNUMBER(Data!Q260),IF(AND(Data!Q260&gt;(TODAY()-(Data_Val!$L$3*365.25)),Data!Q260&lt;=(TODAY()-(Data_Val!$L$2*365.25))),0,1),1))</f>
        <v/>
      </c>
    </row>
    <row r="271" spans="1:17" ht="12" customHeight="1" x14ac:dyDescent="0.25">
      <c r="A271" s="36" t="str">
        <f>IF(Data!B261="","",IF(COUNTIFS(Data!A$1:'Data'!A261,Data!A261)&lt;=1,0,1))</f>
        <v/>
      </c>
      <c r="B271" s="36"/>
      <c r="C271" s="36" t="str">
        <f>IF(Data!C261="","",(IF(ISNUMBER(MATCH("*@*.?*",Data!C261,0)),0,1)+IF(COUNTIFS(Data!C$1:'Data'!C261,Data!C261)&gt;1,1,0)))</f>
        <v/>
      </c>
      <c r="D271" s="36" t="str">
        <f>IF(Data!B261="","",IF(ISNUMBER(Data!D261),IF(AND(Data!D261&gt;999999999,Data!D261&lt;=9999999999),IF(COUNTIFS(Data!D$1:'Data'!D261,Data!D261)&lt;=1,0,1),1),1))</f>
        <v/>
      </c>
      <c r="E271" s="36" t="str">
        <f>IF(Data!B261="","",IF(ISNUMBER(MATCH(Data!E261,Data_Val!$A$2:$A$3,0)),0,1))</f>
        <v/>
      </c>
      <c r="F271" s="36" t="str">
        <f ca="1">IF(Data!B261="","",IF(ISNUMBER(Data!F261),IF(AND(Data!F261&gt;(TODAY()-(Data_Val!$H$3*365.25)),Data!F261&lt;=(TODAY()-(Data_Val!$H$2*365.25))),0,1),1))</f>
        <v/>
      </c>
      <c r="G271" s="12" t="str">
        <f>IF(Data!B261="","",IF(AND(Data!G261="",Data!H261&lt;&gt;""),1,IF(ISNUMBER(MATCH(Data!G261,Data_Val!$C$2:$C$5,0)),0,1)))</f>
        <v/>
      </c>
      <c r="H271" s="12" t="str">
        <f>IF(Data!B261="","",IF(AND(Data!G261&lt;&gt;"",Data!H261=""),1,IF(Data!G261="",1,IF(ISNUMBER(MATCH(Data!H261,Data_Val!$D$2:$D$35,0)),0,1))))</f>
        <v/>
      </c>
      <c r="I271" s="38" t="str">
        <f>IF(Data!G261="","",IF(Data!G261=Data_Val!$C$2,IF(Data!I261="",0,1),0))</f>
        <v/>
      </c>
      <c r="J271" s="38" t="str">
        <f>IF(Data!I261="","",IF(ISNUMBER(MATCH(Data!J261,Data_Val!$A$2:$A$3,0)),0,1))</f>
        <v/>
      </c>
      <c r="K271" s="38" t="str">
        <f ca="1">IF(Data!I261="","",IF(ISNUMBER(Data!K261),IF(AND(Data!K261&gt;(TODAY()-(Data_Val!$K$3*365.25)),Data!K261&lt;=(TODAY()-(Data_Val!$K$2*365.25))),0,1),1))</f>
        <v/>
      </c>
      <c r="L271" s="16" t="str">
        <f>IF(Data!G261="","",IF(Data!G261=Data_Val!$C$2,IF(Data!L261="",0,1),0))</f>
        <v/>
      </c>
      <c r="M271" s="16" t="str">
        <f>IF(Data!L261="","",IF(ISNUMBER(MATCH(Data!M261,Data_Val!$A$2:$A$3,0)),0,1))</f>
        <v/>
      </c>
      <c r="N271" s="43" t="str">
        <f ca="1">IF(Data!L261="","",IF(ISNUMBER(Data!N261),IF(AND(Data!N261&gt;(TODAY()-(Data_Val!$L$3*365.25)),Data!N261&lt;=(TODAY()-(Data_Val!$L$2*365.25))),0,1),1))</f>
        <v/>
      </c>
      <c r="O271" s="18" t="str">
        <f>IF(Data!$G261="","",IF(Data!$G261=Data_Val!$C$2,IF(Data!O261="",0,1),0))</f>
        <v/>
      </c>
      <c r="P271" s="18" t="str">
        <f>IF(Data!O261="","",IF(ISNUMBER(MATCH(Data!P261,Data_Val!$A$2:$A$3,0)),0,1))</f>
        <v/>
      </c>
      <c r="Q271" s="44" t="str">
        <f ca="1">IF(Data!O261="","",IF(ISNUMBER(Data!Q261),IF(AND(Data!Q261&gt;(TODAY()-(Data_Val!$L$3*365.25)),Data!Q261&lt;=(TODAY()-(Data_Val!$L$2*365.25))),0,1),1))</f>
        <v/>
      </c>
    </row>
    <row r="272" spans="1:17" ht="12" customHeight="1" x14ac:dyDescent="0.25">
      <c r="A272" s="36" t="str">
        <f>IF(Data!B262="","",IF(COUNTIFS(Data!A$1:'Data'!A262,Data!A262)&lt;=1,0,1))</f>
        <v/>
      </c>
      <c r="B272" s="36"/>
      <c r="C272" s="36" t="str">
        <f>IF(Data!C262="","",(IF(ISNUMBER(MATCH("*@*.?*",Data!C262,0)),0,1)+IF(COUNTIFS(Data!C$1:'Data'!C262,Data!C262)&gt;1,1,0)))</f>
        <v/>
      </c>
      <c r="D272" s="36" t="str">
        <f>IF(Data!B262="","",IF(ISNUMBER(Data!D262),IF(AND(Data!D262&gt;999999999,Data!D262&lt;=9999999999),IF(COUNTIFS(Data!D$1:'Data'!D262,Data!D262)&lt;=1,0,1),1),1))</f>
        <v/>
      </c>
      <c r="E272" s="36" t="str">
        <f>IF(Data!B262="","",IF(ISNUMBER(MATCH(Data!E262,Data_Val!$A$2:$A$3,0)),0,1))</f>
        <v/>
      </c>
      <c r="F272" s="36" t="str">
        <f ca="1">IF(Data!B262="","",IF(ISNUMBER(Data!F262),IF(AND(Data!F262&gt;(TODAY()-(Data_Val!$H$3*365.25)),Data!F262&lt;=(TODAY()-(Data_Val!$H$2*365.25))),0,1),1))</f>
        <v/>
      </c>
      <c r="G272" s="12" t="str">
        <f>IF(Data!B262="","",IF(AND(Data!G262="",Data!H262&lt;&gt;""),1,IF(ISNUMBER(MATCH(Data!G262,Data_Val!$C$2:$C$5,0)),0,1)))</f>
        <v/>
      </c>
      <c r="H272" s="12" t="str">
        <f>IF(Data!B262="","",IF(AND(Data!G262&lt;&gt;"",Data!H262=""),1,IF(Data!G262="",1,IF(ISNUMBER(MATCH(Data!H262,Data_Val!$D$2:$D$35,0)),0,1))))</f>
        <v/>
      </c>
      <c r="I272" s="38" t="str">
        <f>IF(Data!G262="","",IF(Data!G262=Data_Val!$C$2,IF(Data!I262="",0,1),0))</f>
        <v/>
      </c>
      <c r="J272" s="38" t="str">
        <f>IF(Data!I262="","",IF(ISNUMBER(MATCH(Data!J262,Data_Val!$A$2:$A$3,0)),0,1))</f>
        <v/>
      </c>
      <c r="K272" s="38" t="str">
        <f ca="1">IF(Data!I262="","",IF(ISNUMBER(Data!K262),IF(AND(Data!K262&gt;(TODAY()-(Data_Val!$K$3*365.25)),Data!K262&lt;=(TODAY()-(Data_Val!$K$2*365.25))),0,1),1))</f>
        <v/>
      </c>
      <c r="L272" s="16" t="str">
        <f>IF(Data!G262="","",IF(Data!G262=Data_Val!$C$2,IF(Data!L262="",0,1),0))</f>
        <v/>
      </c>
      <c r="M272" s="16" t="str">
        <f>IF(Data!L262="","",IF(ISNUMBER(MATCH(Data!M262,Data_Val!$A$2:$A$3,0)),0,1))</f>
        <v/>
      </c>
      <c r="N272" s="43" t="str">
        <f ca="1">IF(Data!L262="","",IF(ISNUMBER(Data!N262),IF(AND(Data!N262&gt;(TODAY()-(Data_Val!$L$3*365.25)),Data!N262&lt;=(TODAY()-(Data_Val!$L$2*365.25))),0,1),1))</f>
        <v/>
      </c>
      <c r="O272" s="18" t="str">
        <f>IF(Data!$G262="","",IF(Data!$G262=Data_Val!$C$2,IF(Data!O262="",0,1),0))</f>
        <v/>
      </c>
      <c r="P272" s="18" t="str">
        <f>IF(Data!O262="","",IF(ISNUMBER(MATCH(Data!P262,Data_Val!$A$2:$A$3,0)),0,1))</f>
        <v/>
      </c>
      <c r="Q272" s="44" t="str">
        <f ca="1">IF(Data!O262="","",IF(ISNUMBER(Data!Q262),IF(AND(Data!Q262&gt;(TODAY()-(Data_Val!$L$3*365.25)),Data!Q262&lt;=(TODAY()-(Data_Val!$L$2*365.25))),0,1),1))</f>
        <v/>
      </c>
    </row>
    <row r="273" spans="1:17" ht="12" customHeight="1" x14ac:dyDescent="0.25">
      <c r="A273" s="36" t="str">
        <f>IF(Data!B263="","",IF(COUNTIFS(Data!A$1:'Data'!A263,Data!A263)&lt;=1,0,1))</f>
        <v/>
      </c>
      <c r="B273" s="36"/>
      <c r="C273" s="36" t="str">
        <f>IF(Data!C263="","",(IF(ISNUMBER(MATCH("*@*.?*",Data!C263,0)),0,1)+IF(COUNTIFS(Data!C$1:'Data'!C263,Data!C263)&gt;1,1,0)))</f>
        <v/>
      </c>
      <c r="D273" s="36" t="str">
        <f>IF(Data!B263="","",IF(ISNUMBER(Data!D263),IF(AND(Data!D263&gt;999999999,Data!D263&lt;=9999999999),IF(COUNTIFS(Data!D$1:'Data'!D263,Data!D263)&lt;=1,0,1),1),1))</f>
        <v/>
      </c>
      <c r="E273" s="36" t="str">
        <f>IF(Data!B263="","",IF(ISNUMBER(MATCH(Data!E263,Data_Val!$A$2:$A$3,0)),0,1))</f>
        <v/>
      </c>
      <c r="F273" s="36" t="str">
        <f ca="1">IF(Data!B263="","",IF(ISNUMBER(Data!F263),IF(AND(Data!F263&gt;(TODAY()-(Data_Val!$H$3*365.25)),Data!F263&lt;=(TODAY()-(Data_Val!$H$2*365.25))),0,1),1))</f>
        <v/>
      </c>
      <c r="G273" s="12" t="str">
        <f>IF(Data!B263="","",IF(AND(Data!G263="",Data!H263&lt;&gt;""),1,IF(ISNUMBER(MATCH(Data!G263,Data_Val!$C$2:$C$5,0)),0,1)))</f>
        <v/>
      </c>
      <c r="H273" s="12" t="str">
        <f>IF(Data!B263="","",IF(AND(Data!G263&lt;&gt;"",Data!H263=""),1,IF(Data!G263="",1,IF(ISNUMBER(MATCH(Data!H263,Data_Val!$D$2:$D$35,0)),0,1))))</f>
        <v/>
      </c>
      <c r="I273" s="38" t="str">
        <f>IF(Data!G263="","",IF(Data!G263=Data_Val!$C$2,IF(Data!I263="",0,1),0))</f>
        <v/>
      </c>
      <c r="J273" s="38" t="str">
        <f>IF(Data!I263="","",IF(ISNUMBER(MATCH(Data!J263,Data_Val!$A$2:$A$3,0)),0,1))</f>
        <v/>
      </c>
      <c r="K273" s="38" t="str">
        <f ca="1">IF(Data!I263="","",IF(ISNUMBER(Data!K263),IF(AND(Data!K263&gt;(TODAY()-(Data_Val!$K$3*365.25)),Data!K263&lt;=(TODAY()-(Data_Val!$K$2*365.25))),0,1),1))</f>
        <v/>
      </c>
      <c r="L273" s="16" t="str">
        <f>IF(Data!G263="","",IF(Data!G263=Data_Val!$C$2,IF(Data!L263="",0,1),0))</f>
        <v/>
      </c>
      <c r="M273" s="16" t="str">
        <f>IF(Data!L263="","",IF(ISNUMBER(MATCH(Data!M263,Data_Val!$A$2:$A$3,0)),0,1))</f>
        <v/>
      </c>
      <c r="N273" s="43" t="str">
        <f ca="1">IF(Data!L263="","",IF(ISNUMBER(Data!N263),IF(AND(Data!N263&gt;(TODAY()-(Data_Val!$L$3*365.25)),Data!N263&lt;=(TODAY()-(Data_Val!$L$2*365.25))),0,1),1))</f>
        <v/>
      </c>
      <c r="O273" s="18" t="str">
        <f>IF(Data!$G263="","",IF(Data!$G263=Data_Val!$C$2,IF(Data!O263="",0,1),0))</f>
        <v/>
      </c>
      <c r="P273" s="18" t="str">
        <f>IF(Data!O263="","",IF(ISNUMBER(MATCH(Data!P263,Data_Val!$A$2:$A$3,0)),0,1))</f>
        <v/>
      </c>
      <c r="Q273" s="44" t="str">
        <f ca="1">IF(Data!O263="","",IF(ISNUMBER(Data!Q263),IF(AND(Data!Q263&gt;(TODAY()-(Data_Val!$L$3*365.25)),Data!Q263&lt;=(TODAY()-(Data_Val!$L$2*365.25))),0,1),1))</f>
        <v/>
      </c>
    </row>
    <row r="274" spans="1:17" ht="12" customHeight="1" x14ac:dyDescent="0.25">
      <c r="A274" s="36" t="str">
        <f>IF(Data!B264="","",IF(COUNTIFS(Data!A$1:'Data'!A264,Data!A264)&lt;=1,0,1))</f>
        <v/>
      </c>
      <c r="B274" s="36"/>
      <c r="C274" s="36" t="str">
        <f>IF(Data!C264="","",(IF(ISNUMBER(MATCH("*@*.?*",Data!C264,0)),0,1)+IF(COUNTIFS(Data!C$1:'Data'!C264,Data!C264)&gt;1,1,0)))</f>
        <v/>
      </c>
      <c r="D274" s="36" t="str">
        <f>IF(Data!B264="","",IF(ISNUMBER(Data!D264),IF(AND(Data!D264&gt;999999999,Data!D264&lt;=9999999999),IF(COUNTIFS(Data!D$1:'Data'!D264,Data!D264)&lt;=1,0,1),1),1))</f>
        <v/>
      </c>
      <c r="E274" s="36" t="str">
        <f>IF(Data!B264="","",IF(ISNUMBER(MATCH(Data!E264,Data_Val!$A$2:$A$3,0)),0,1))</f>
        <v/>
      </c>
      <c r="F274" s="36" t="str">
        <f ca="1">IF(Data!B264="","",IF(ISNUMBER(Data!F264),IF(AND(Data!F264&gt;(TODAY()-(Data_Val!$H$3*365.25)),Data!F264&lt;=(TODAY()-(Data_Val!$H$2*365.25))),0,1),1))</f>
        <v/>
      </c>
      <c r="G274" s="12" t="str">
        <f>IF(Data!B264="","",IF(AND(Data!G264="",Data!H264&lt;&gt;""),1,IF(ISNUMBER(MATCH(Data!G264,Data_Val!$C$2:$C$5,0)),0,1)))</f>
        <v/>
      </c>
      <c r="H274" s="12" t="str">
        <f>IF(Data!B264="","",IF(AND(Data!G264&lt;&gt;"",Data!H264=""),1,IF(Data!G264="",1,IF(ISNUMBER(MATCH(Data!H264,Data_Val!$D$2:$D$35,0)),0,1))))</f>
        <v/>
      </c>
      <c r="I274" s="38" t="str">
        <f>IF(Data!G264="","",IF(Data!G264=Data_Val!$C$2,IF(Data!I264="",0,1),0))</f>
        <v/>
      </c>
      <c r="J274" s="38" t="str">
        <f>IF(Data!I264="","",IF(ISNUMBER(MATCH(Data!J264,Data_Val!$A$2:$A$3,0)),0,1))</f>
        <v/>
      </c>
      <c r="K274" s="38" t="str">
        <f ca="1">IF(Data!I264="","",IF(ISNUMBER(Data!K264),IF(AND(Data!K264&gt;(TODAY()-(Data_Val!$K$3*365.25)),Data!K264&lt;=(TODAY()-(Data_Val!$K$2*365.25))),0,1),1))</f>
        <v/>
      </c>
      <c r="L274" s="16" t="str">
        <f>IF(Data!G264="","",IF(Data!G264=Data_Val!$C$2,IF(Data!L264="",0,1),0))</f>
        <v/>
      </c>
      <c r="M274" s="16" t="str">
        <f>IF(Data!L264="","",IF(ISNUMBER(MATCH(Data!M264,Data_Val!$A$2:$A$3,0)),0,1))</f>
        <v/>
      </c>
      <c r="N274" s="43" t="str">
        <f ca="1">IF(Data!L264="","",IF(ISNUMBER(Data!N264),IF(AND(Data!N264&gt;(TODAY()-(Data_Val!$L$3*365.25)),Data!N264&lt;=(TODAY()-(Data_Val!$L$2*365.25))),0,1),1))</f>
        <v/>
      </c>
      <c r="O274" s="18" t="str">
        <f>IF(Data!$G264="","",IF(Data!$G264=Data_Val!$C$2,IF(Data!O264="",0,1),0))</f>
        <v/>
      </c>
      <c r="P274" s="18" t="str">
        <f>IF(Data!O264="","",IF(ISNUMBER(MATCH(Data!P264,Data_Val!$A$2:$A$3,0)),0,1))</f>
        <v/>
      </c>
      <c r="Q274" s="44" t="str">
        <f ca="1">IF(Data!O264="","",IF(ISNUMBER(Data!Q264),IF(AND(Data!Q264&gt;(TODAY()-(Data_Val!$L$3*365.25)),Data!Q264&lt;=(TODAY()-(Data_Val!$L$2*365.25))),0,1),1))</f>
        <v/>
      </c>
    </row>
    <row r="275" spans="1:17" ht="12" customHeight="1" x14ac:dyDescent="0.25">
      <c r="A275" s="36" t="str">
        <f>IF(Data!B265="","",IF(COUNTIFS(Data!A$1:'Data'!A265,Data!A265)&lt;=1,0,1))</f>
        <v/>
      </c>
      <c r="B275" s="36"/>
      <c r="C275" s="36" t="str">
        <f>IF(Data!C265="","",(IF(ISNUMBER(MATCH("*@*.?*",Data!C265,0)),0,1)+IF(COUNTIFS(Data!C$1:'Data'!C265,Data!C265)&gt;1,1,0)))</f>
        <v/>
      </c>
      <c r="D275" s="36" t="str">
        <f>IF(Data!B265="","",IF(ISNUMBER(Data!D265),IF(AND(Data!D265&gt;999999999,Data!D265&lt;=9999999999),IF(COUNTIFS(Data!D$1:'Data'!D265,Data!D265)&lt;=1,0,1),1),1))</f>
        <v/>
      </c>
      <c r="E275" s="36" t="str">
        <f>IF(Data!B265="","",IF(ISNUMBER(MATCH(Data!E265,Data_Val!$A$2:$A$3,0)),0,1))</f>
        <v/>
      </c>
      <c r="F275" s="36" t="str">
        <f ca="1">IF(Data!B265="","",IF(ISNUMBER(Data!F265),IF(AND(Data!F265&gt;(TODAY()-(Data_Val!$H$3*365.25)),Data!F265&lt;=(TODAY()-(Data_Val!$H$2*365.25))),0,1),1))</f>
        <v/>
      </c>
      <c r="G275" s="12" t="str">
        <f>IF(Data!B265="","",IF(AND(Data!G265="",Data!H265&lt;&gt;""),1,IF(ISNUMBER(MATCH(Data!G265,Data_Val!$C$2:$C$5,0)),0,1)))</f>
        <v/>
      </c>
      <c r="H275" s="12" t="str">
        <f>IF(Data!B265="","",IF(AND(Data!G265&lt;&gt;"",Data!H265=""),1,IF(Data!G265="",1,IF(ISNUMBER(MATCH(Data!H265,Data_Val!$D$2:$D$35,0)),0,1))))</f>
        <v/>
      </c>
      <c r="I275" s="38" t="str">
        <f>IF(Data!G265="","",IF(Data!G265=Data_Val!$C$2,IF(Data!I265="",0,1),0))</f>
        <v/>
      </c>
      <c r="J275" s="38" t="str">
        <f>IF(Data!I265="","",IF(ISNUMBER(MATCH(Data!J265,Data_Val!$A$2:$A$3,0)),0,1))</f>
        <v/>
      </c>
      <c r="K275" s="38" t="str">
        <f ca="1">IF(Data!I265="","",IF(ISNUMBER(Data!K265),IF(AND(Data!K265&gt;(TODAY()-(Data_Val!$K$3*365.25)),Data!K265&lt;=(TODAY()-(Data_Val!$K$2*365.25))),0,1),1))</f>
        <v/>
      </c>
      <c r="L275" s="16" t="str">
        <f>IF(Data!G265="","",IF(Data!G265=Data_Val!$C$2,IF(Data!L265="",0,1),0))</f>
        <v/>
      </c>
      <c r="M275" s="16" t="str">
        <f>IF(Data!L265="","",IF(ISNUMBER(MATCH(Data!M265,Data_Val!$A$2:$A$3,0)),0,1))</f>
        <v/>
      </c>
      <c r="N275" s="43" t="str">
        <f ca="1">IF(Data!L265="","",IF(ISNUMBER(Data!N265),IF(AND(Data!N265&gt;(TODAY()-(Data_Val!$L$3*365.25)),Data!N265&lt;=(TODAY()-(Data_Val!$L$2*365.25))),0,1),1))</f>
        <v/>
      </c>
      <c r="O275" s="18" t="str">
        <f>IF(Data!$G265="","",IF(Data!$G265=Data_Val!$C$2,IF(Data!O265="",0,1),0))</f>
        <v/>
      </c>
      <c r="P275" s="18" t="str">
        <f>IF(Data!O265="","",IF(ISNUMBER(MATCH(Data!P265,Data_Val!$A$2:$A$3,0)),0,1))</f>
        <v/>
      </c>
      <c r="Q275" s="44" t="str">
        <f ca="1">IF(Data!O265="","",IF(ISNUMBER(Data!Q265),IF(AND(Data!Q265&gt;(TODAY()-(Data_Val!$L$3*365.25)),Data!Q265&lt;=(TODAY()-(Data_Val!$L$2*365.25))),0,1),1))</f>
        <v/>
      </c>
    </row>
    <row r="276" spans="1:17" ht="12" customHeight="1" x14ac:dyDescent="0.25">
      <c r="A276" s="36" t="str">
        <f>IF(Data!B266="","",IF(COUNTIFS(Data!A$1:'Data'!A266,Data!A266)&lt;=1,0,1))</f>
        <v/>
      </c>
      <c r="B276" s="36"/>
      <c r="C276" s="36" t="str">
        <f>IF(Data!C266="","",(IF(ISNUMBER(MATCH("*@*.?*",Data!C266,0)),0,1)+IF(COUNTIFS(Data!C$1:'Data'!C266,Data!C266)&gt;1,1,0)))</f>
        <v/>
      </c>
      <c r="D276" s="36" t="str">
        <f>IF(Data!B266="","",IF(ISNUMBER(Data!D266),IF(AND(Data!D266&gt;999999999,Data!D266&lt;=9999999999),IF(COUNTIFS(Data!D$1:'Data'!D266,Data!D266)&lt;=1,0,1),1),1))</f>
        <v/>
      </c>
      <c r="E276" s="36" t="str">
        <f>IF(Data!B266="","",IF(ISNUMBER(MATCH(Data!E266,Data_Val!$A$2:$A$3,0)),0,1))</f>
        <v/>
      </c>
      <c r="F276" s="36" t="str">
        <f ca="1">IF(Data!B266="","",IF(ISNUMBER(Data!F266),IF(AND(Data!F266&gt;(TODAY()-(Data_Val!$H$3*365.25)),Data!F266&lt;=(TODAY()-(Data_Val!$H$2*365.25))),0,1),1))</f>
        <v/>
      </c>
      <c r="G276" s="12" t="str">
        <f>IF(Data!B266="","",IF(AND(Data!G266="",Data!H266&lt;&gt;""),1,IF(ISNUMBER(MATCH(Data!G266,Data_Val!$C$2:$C$5,0)),0,1)))</f>
        <v/>
      </c>
      <c r="H276" s="12" t="str">
        <f>IF(Data!B266="","",IF(AND(Data!G266&lt;&gt;"",Data!H266=""),1,IF(Data!G266="",1,IF(ISNUMBER(MATCH(Data!H266,Data_Val!$D$2:$D$35,0)),0,1))))</f>
        <v/>
      </c>
      <c r="I276" s="38" t="str">
        <f>IF(Data!G266="","",IF(Data!G266=Data_Val!$C$2,IF(Data!I266="",0,1),0))</f>
        <v/>
      </c>
      <c r="J276" s="38" t="str">
        <f>IF(Data!I266="","",IF(ISNUMBER(MATCH(Data!J266,Data_Val!$A$2:$A$3,0)),0,1))</f>
        <v/>
      </c>
      <c r="K276" s="38" t="str">
        <f ca="1">IF(Data!I266="","",IF(ISNUMBER(Data!K266),IF(AND(Data!K266&gt;(TODAY()-(Data_Val!$K$3*365.25)),Data!K266&lt;=(TODAY()-(Data_Val!$K$2*365.25))),0,1),1))</f>
        <v/>
      </c>
      <c r="L276" s="16" t="str">
        <f>IF(Data!G266="","",IF(Data!G266=Data_Val!$C$2,IF(Data!L266="",0,1),0))</f>
        <v/>
      </c>
      <c r="M276" s="16" t="str">
        <f>IF(Data!L266="","",IF(ISNUMBER(MATCH(Data!M266,Data_Val!$A$2:$A$3,0)),0,1))</f>
        <v/>
      </c>
      <c r="N276" s="43" t="str">
        <f ca="1">IF(Data!L266="","",IF(ISNUMBER(Data!N266),IF(AND(Data!N266&gt;(TODAY()-(Data_Val!$L$3*365.25)),Data!N266&lt;=(TODAY()-(Data_Val!$L$2*365.25))),0,1),1))</f>
        <v/>
      </c>
      <c r="O276" s="18" t="str">
        <f>IF(Data!$G266="","",IF(Data!$G266=Data_Val!$C$2,IF(Data!O266="",0,1),0))</f>
        <v/>
      </c>
      <c r="P276" s="18" t="str">
        <f>IF(Data!O266="","",IF(ISNUMBER(MATCH(Data!P266,Data_Val!$A$2:$A$3,0)),0,1))</f>
        <v/>
      </c>
      <c r="Q276" s="44" t="str">
        <f ca="1">IF(Data!O266="","",IF(ISNUMBER(Data!Q266),IF(AND(Data!Q266&gt;(TODAY()-(Data_Val!$L$3*365.25)),Data!Q266&lt;=(TODAY()-(Data_Val!$L$2*365.25))),0,1),1))</f>
        <v/>
      </c>
    </row>
    <row r="277" spans="1:17" ht="12" customHeight="1" x14ac:dyDescent="0.25">
      <c r="A277" s="36" t="str">
        <f>IF(Data!B267="","",IF(COUNTIFS(Data!A$1:'Data'!A267,Data!A267)&lt;=1,0,1))</f>
        <v/>
      </c>
      <c r="B277" s="36"/>
      <c r="C277" s="36" t="str">
        <f>IF(Data!C267="","",(IF(ISNUMBER(MATCH("*@*.?*",Data!C267,0)),0,1)+IF(COUNTIFS(Data!C$1:'Data'!C267,Data!C267)&gt;1,1,0)))</f>
        <v/>
      </c>
      <c r="D277" s="36" t="str">
        <f>IF(Data!B267="","",IF(ISNUMBER(Data!D267),IF(AND(Data!D267&gt;999999999,Data!D267&lt;=9999999999),IF(COUNTIFS(Data!D$1:'Data'!D267,Data!D267)&lt;=1,0,1),1),1))</f>
        <v/>
      </c>
      <c r="E277" s="36" t="str">
        <f>IF(Data!B267="","",IF(ISNUMBER(MATCH(Data!E267,Data_Val!$A$2:$A$3,0)),0,1))</f>
        <v/>
      </c>
      <c r="F277" s="36" t="str">
        <f ca="1">IF(Data!B267="","",IF(ISNUMBER(Data!F267),IF(AND(Data!F267&gt;(TODAY()-(Data_Val!$H$3*365.25)),Data!F267&lt;=(TODAY()-(Data_Val!$H$2*365.25))),0,1),1))</f>
        <v/>
      </c>
      <c r="G277" s="12" t="str">
        <f>IF(Data!B267="","",IF(AND(Data!G267="",Data!H267&lt;&gt;""),1,IF(ISNUMBER(MATCH(Data!G267,Data_Val!$C$2:$C$5,0)),0,1)))</f>
        <v/>
      </c>
      <c r="H277" s="12" t="str">
        <f>IF(Data!B267="","",IF(AND(Data!G267&lt;&gt;"",Data!H267=""),1,IF(Data!G267="",1,IF(ISNUMBER(MATCH(Data!H267,Data_Val!$D$2:$D$35,0)),0,1))))</f>
        <v/>
      </c>
      <c r="I277" s="38" t="str">
        <f>IF(Data!G267="","",IF(Data!G267=Data_Val!$C$2,IF(Data!I267="",0,1),0))</f>
        <v/>
      </c>
      <c r="J277" s="38" t="str">
        <f>IF(Data!I267="","",IF(ISNUMBER(MATCH(Data!J267,Data_Val!$A$2:$A$3,0)),0,1))</f>
        <v/>
      </c>
      <c r="K277" s="38" t="str">
        <f ca="1">IF(Data!I267="","",IF(ISNUMBER(Data!K267),IF(AND(Data!K267&gt;(TODAY()-(Data_Val!$K$3*365.25)),Data!K267&lt;=(TODAY()-(Data_Val!$K$2*365.25))),0,1),1))</f>
        <v/>
      </c>
      <c r="L277" s="16" t="str">
        <f>IF(Data!G267="","",IF(Data!G267=Data_Val!$C$2,IF(Data!L267="",0,1),0))</f>
        <v/>
      </c>
      <c r="M277" s="16" t="str">
        <f>IF(Data!L267="","",IF(ISNUMBER(MATCH(Data!M267,Data_Val!$A$2:$A$3,0)),0,1))</f>
        <v/>
      </c>
      <c r="N277" s="43" t="str">
        <f ca="1">IF(Data!L267="","",IF(ISNUMBER(Data!N267),IF(AND(Data!N267&gt;(TODAY()-(Data_Val!$L$3*365.25)),Data!N267&lt;=(TODAY()-(Data_Val!$L$2*365.25))),0,1),1))</f>
        <v/>
      </c>
      <c r="O277" s="18" t="str">
        <f>IF(Data!$G267="","",IF(Data!$G267=Data_Val!$C$2,IF(Data!O267="",0,1),0))</f>
        <v/>
      </c>
      <c r="P277" s="18" t="str">
        <f>IF(Data!O267="","",IF(ISNUMBER(MATCH(Data!P267,Data_Val!$A$2:$A$3,0)),0,1))</f>
        <v/>
      </c>
      <c r="Q277" s="44" t="str">
        <f ca="1">IF(Data!O267="","",IF(ISNUMBER(Data!Q267),IF(AND(Data!Q267&gt;(TODAY()-(Data_Val!$L$3*365.25)),Data!Q267&lt;=(TODAY()-(Data_Val!$L$2*365.25))),0,1),1))</f>
        <v/>
      </c>
    </row>
    <row r="278" spans="1:17" ht="12" customHeight="1" x14ac:dyDescent="0.25">
      <c r="A278" s="36" t="str">
        <f>IF(Data!B268="","",IF(COUNTIFS(Data!A$1:'Data'!A268,Data!A268)&lt;=1,0,1))</f>
        <v/>
      </c>
      <c r="B278" s="36"/>
      <c r="C278" s="36" t="str">
        <f>IF(Data!C268="","",(IF(ISNUMBER(MATCH("*@*.?*",Data!C268,0)),0,1)+IF(COUNTIFS(Data!C$1:'Data'!C268,Data!C268)&gt;1,1,0)))</f>
        <v/>
      </c>
      <c r="D278" s="36" t="str">
        <f>IF(Data!B268="","",IF(ISNUMBER(Data!D268),IF(AND(Data!D268&gt;999999999,Data!D268&lt;=9999999999),IF(COUNTIFS(Data!D$1:'Data'!D268,Data!D268)&lt;=1,0,1),1),1))</f>
        <v/>
      </c>
      <c r="E278" s="36" t="str">
        <f>IF(Data!B268="","",IF(ISNUMBER(MATCH(Data!E268,Data_Val!$A$2:$A$3,0)),0,1))</f>
        <v/>
      </c>
      <c r="F278" s="36" t="str">
        <f ca="1">IF(Data!B268="","",IF(ISNUMBER(Data!F268),IF(AND(Data!F268&gt;(TODAY()-(Data_Val!$H$3*365.25)),Data!F268&lt;=(TODAY()-(Data_Val!$H$2*365.25))),0,1),1))</f>
        <v/>
      </c>
      <c r="G278" s="12" t="str">
        <f>IF(Data!B268="","",IF(AND(Data!G268="",Data!H268&lt;&gt;""),1,IF(ISNUMBER(MATCH(Data!G268,Data_Val!$C$2:$C$5,0)),0,1)))</f>
        <v/>
      </c>
      <c r="H278" s="12" t="str">
        <f>IF(Data!B268="","",IF(AND(Data!G268&lt;&gt;"",Data!H268=""),1,IF(Data!G268="",1,IF(ISNUMBER(MATCH(Data!H268,Data_Val!$D$2:$D$35,0)),0,1))))</f>
        <v/>
      </c>
      <c r="I278" s="38" t="str">
        <f>IF(Data!G268="","",IF(Data!G268=Data_Val!$C$2,IF(Data!I268="",0,1),0))</f>
        <v/>
      </c>
      <c r="J278" s="38" t="str">
        <f>IF(Data!I268="","",IF(ISNUMBER(MATCH(Data!J268,Data_Val!$A$2:$A$3,0)),0,1))</f>
        <v/>
      </c>
      <c r="K278" s="38" t="str">
        <f ca="1">IF(Data!I268="","",IF(ISNUMBER(Data!K268),IF(AND(Data!K268&gt;(TODAY()-(Data_Val!$K$3*365.25)),Data!K268&lt;=(TODAY()-(Data_Val!$K$2*365.25))),0,1),1))</f>
        <v/>
      </c>
      <c r="L278" s="16" t="str">
        <f>IF(Data!G268="","",IF(Data!G268=Data_Val!$C$2,IF(Data!L268="",0,1),0))</f>
        <v/>
      </c>
      <c r="M278" s="16" t="str">
        <f>IF(Data!L268="","",IF(ISNUMBER(MATCH(Data!M268,Data_Val!$A$2:$A$3,0)),0,1))</f>
        <v/>
      </c>
      <c r="N278" s="43" t="str">
        <f ca="1">IF(Data!L268="","",IF(ISNUMBER(Data!N268),IF(AND(Data!N268&gt;(TODAY()-(Data_Val!$L$3*365.25)),Data!N268&lt;=(TODAY()-(Data_Val!$L$2*365.25))),0,1),1))</f>
        <v/>
      </c>
      <c r="O278" s="18" t="str">
        <f>IF(Data!$G268="","",IF(Data!$G268=Data_Val!$C$2,IF(Data!O268="",0,1),0))</f>
        <v/>
      </c>
      <c r="P278" s="18" t="str">
        <f>IF(Data!O268="","",IF(ISNUMBER(MATCH(Data!P268,Data_Val!$A$2:$A$3,0)),0,1))</f>
        <v/>
      </c>
      <c r="Q278" s="44" t="str">
        <f ca="1">IF(Data!O268="","",IF(ISNUMBER(Data!Q268),IF(AND(Data!Q268&gt;(TODAY()-(Data_Val!$L$3*365.25)),Data!Q268&lt;=(TODAY()-(Data_Val!$L$2*365.25))),0,1),1))</f>
        <v/>
      </c>
    </row>
    <row r="279" spans="1:17" ht="12" customHeight="1" x14ac:dyDescent="0.25">
      <c r="A279" s="36" t="str">
        <f>IF(Data!B269="","",IF(COUNTIFS(Data!A$1:'Data'!A269,Data!A269)&lt;=1,0,1))</f>
        <v/>
      </c>
      <c r="B279" s="36"/>
      <c r="C279" s="36" t="str">
        <f>IF(Data!C269="","",(IF(ISNUMBER(MATCH("*@*.?*",Data!C269,0)),0,1)+IF(COUNTIFS(Data!C$1:'Data'!C269,Data!C269)&gt;1,1,0)))</f>
        <v/>
      </c>
      <c r="D279" s="36" t="str">
        <f>IF(Data!B269="","",IF(ISNUMBER(Data!D269),IF(AND(Data!D269&gt;999999999,Data!D269&lt;=9999999999),IF(COUNTIFS(Data!D$1:'Data'!D269,Data!D269)&lt;=1,0,1),1),1))</f>
        <v/>
      </c>
      <c r="E279" s="36" t="str">
        <f>IF(Data!B269="","",IF(ISNUMBER(MATCH(Data!E269,Data_Val!$A$2:$A$3,0)),0,1))</f>
        <v/>
      </c>
      <c r="F279" s="36" t="str">
        <f ca="1">IF(Data!B269="","",IF(ISNUMBER(Data!F269),IF(AND(Data!F269&gt;(TODAY()-(Data_Val!$H$3*365.25)),Data!F269&lt;=(TODAY()-(Data_Val!$H$2*365.25))),0,1),1))</f>
        <v/>
      </c>
      <c r="G279" s="12" t="str">
        <f>IF(Data!B269="","",IF(AND(Data!G269="",Data!H269&lt;&gt;""),1,IF(ISNUMBER(MATCH(Data!G269,Data_Val!$C$2:$C$5,0)),0,1)))</f>
        <v/>
      </c>
      <c r="H279" s="12" t="str">
        <f>IF(Data!B269="","",IF(AND(Data!G269&lt;&gt;"",Data!H269=""),1,IF(Data!G269="",1,IF(ISNUMBER(MATCH(Data!H269,Data_Val!$D$2:$D$35,0)),0,1))))</f>
        <v/>
      </c>
      <c r="I279" s="38" t="str">
        <f>IF(Data!G269="","",IF(Data!G269=Data_Val!$C$2,IF(Data!I269="",0,1),0))</f>
        <v/>
      </c>
      <c r="J279" s="38" t="str">
        <f>IF(Data!I269="","",IF(ISNUMBER(MATCH(Data!J269,Data_Val!$A$2:$A$3,0)),0,1))</f>
        <v/>
      </c>
      <c r="K279" s="38" t="str">
        <f ca="1">IF(Data!I269="","",IF(ISNUMBER(Data!K269),IF(AND(Data!K269&gt;(TODAY()-(Data_Val!$K$3*365.25)),Data!K269&lt;=(TODAY()-(Data_Val!$K$2*365.25))),0,1),1))</f>
        <v/>
      </c>
      <c r="L279" s="16" t="str">
        <f>IF(Data!G269="","",IF(Data!G269=Data_Val!$C$2,IF(Data!L269="",0,1),0))</f>
        <v/>
      </c>
      <c r="M279" s="16" t="str">
        <f>IF(Data!L269="","",IF(ISNUMBER(MATCH(Data!M269,Data_Val!$A$2:$A$3,0)),0,1))</f>
        <v/>
      </c>
      <c r="N279" s="43" t="str">
        <f ca="1">IF(Data!L269="","",IF(ISNUMBER(Data!N269),IF(AND(Data!N269&gt;(TODAY()-(Data_Val!$L$3*365.25)),Data!N269&lt;=(TODAY()-(Data_Val!$L$2*365.25))),0,1),1))</f>
        <v/>
      </c>
      <c r="O279" s="18" t="str">
        <f>IF(Data!$G269="","",IF(Data!$G269=Data_Val!$C$2,IF(Data!O269="",0,1),0))</f>
        <v/>
      </c>
      <c r="P279" s="18" t="str">
        <f>IF(Data!O269="","",IF(ISNUMBER(MATCH(Data!P269,Data_Val!$A$2:$A$3,0)),0,1))</f>
        <v/>
      </c>
      <c r="Q279" s="44" t="str">
        <f ca="1">IF(Data!O269="","",IF(ISNUMBER(Data!Q269),IF(AND(Data!Q269&gt;(TODAY()-(Data_Val!$L$3*365.25)),Data!Q269&lt;=(TODAY()-(Data_Val!$L$2*365.25))),0,1),1))</f>
        <v/>
      </c>
    </row>
    <row r="280" spans="1:17" ht="12" customHeight="1" x14ac:dyDescent="0.25">
      <c r="A280" s="36" t="str">
        <f>IF(Data!B270="","",IF(COUNTIFS(Data!A$1:'Data'!A270,Data!A270)&lt;=1,0,1))</f>
        <v/>
      </c>
      <c r="B280" s="36"/>
      <c r="C280" s="36" t="str">
        <f>IF(Data!C270="","",(IF(ISNUMBER(MATCH("*@*.?*",Data!C270,0)),0,1)+IF(COUNTIFS(Data!C$1:'Data'!C270,Data!C270)&gt;1,1,0)))</f>
        <v/>
      </c>
      <c r="D280" s="36" t="str">
        <f>IF(Data!B270="","",IF(ISNUMBER(Data!D270),IF(AND(Data!D270&gt;999999999,Data!D270&lt;=9999999999),IF(COUNTIFS(Data!D$1:'Data'!D270,Data!D270)&lt;=1,0,1),1),1))</f>
        <v/>
      </c>
      <c r="E280" s="36" t="str">
        <f>IF(Data!B270="","",IF(ISNUMBER(MATCH(Data!E270,Data_Val!$A$2:$A$3,0)),0,1))</f>
        <v/>
      </c>
      <c r="F280" s="36" t="str">
        <f ca="1">IF(Data!B270="","",IF(ISNUMBER(Data!F270),IF(AND(Data!F270&gt;(TODAY()-(Data_Val!$H$3*365.25)),Data!F270&lt;=(TODAY()-(Data_Val!$H$2*365.25))),0,1),1))</f>
        <v/>
      </c>
      <c r="G280" s="12" t="str">
        <f>IF(Data!B270="","",IF(AND(Data!G270="",Data!H270&lt;&gt;""),1,IF(ISNUMBER(MATCH(Data!G270,Data_Val!$C$2:$C$5,0)),0,1)))</f>
        <v/>
      </c>
      <c r="H280" s="12" t="str">
        <f>IF(Data!B270="","",IF(AND(Data!G270&lt;&gt;"",Data!H270=""),1,IF(Data!G270="",1,IF(ISNUMBER(MATCH(Data!H270,Data_Val!$D$2:$D$35,0)),0,1))))</f>
        <v/>
      </c>
      <c r="I280" s="38" t="str">
        <f>IF(Data!G270="","",IF(Data!G270=Data_Val!$C$2,IF(Data!I270="",0,1),0))</f>
        <v/>
      </c>
      <c r="J280" s="38" t="str">
        <f>IF(Data!I270="","",IF(ISNUMBER(MATCH(Data!J270,Data_Val!$A$2:$A$3,0)),0,1))</f>
        <v/>
      </c>
      <c r="K280" s="38" t="str">
        <f ca="1">IF(Data!I270="","",IF(ISNUMBER(Data!K270),IF(AND(Data!K270&gt;(TODAY()-(Data_Val!$K$3*365.25)),Data!K270&lt;=(TODAY()-(Data_Val!$K$2*365.25))),0,1),1))</f>
        <v/>
      </c>
      <c r="L280" s="16" t="str">
        <f>IF(Data!G270="","",IF(Data!G270=Data_Val!$C$2,IF(Data!L270="",0,1),0))</f>
        <v/>
      </c>
      <c r="M280" s="16" t="str">
        <f>IF(Data!L270="","",IF(ISNUMBER(MATCH(Data!M270,Data_Val!$A$2:$A$3,0)),0,1))</f>
        <v/>
      </c>
      <c r="N280" s="43" t="str">
        <f ca="1">IF(Data!L270="","",IF(ISNUMBER(Data!N270),IF(AND(Data!N270&gt;(TODAY()-(Data_Val!$L$3*365.25)),Data!N270&lt;=(TODAY()-(Data_Val!$L$2*365.25))),0,1),1))</f>
        <v/>
      </c>
      <c r="O280" s="18" t="str">
        <f>IF(Data!$G270="","",IF(Data!$G270=Data_Val!$C$2,IF(Data!O270="",0,1),0))</f>
        <v/>
      </c>
      <c r="P280" s="18" t="str">
        <f>IF(Data!O270="","",IF(ISNUMBER(MATCH(Data!P270,Data_Val!$A$2:$A$3,0)),0,1))</f>
        <v/>
      </c>
      <c r="Q280" s="44" t="str">
        <f ca="1">IF(Data!O270="","",IF(ISNUMBER(Data!Q270),IF(AND(Data!Q270&gt;(TODAY()-(Data_Val!$L$3*365.25)),Data!Q270&lt;=(TODAY()-(Data_Val!$L$2*365.25))),0,1),1))</f>
        <v/>
      </c>
    </row>
    <row r="281" spans="1:17" ht="12" customHeight="1" x14ac:dyDescent="0.25">
      <c r="A281" s="36" t="str">
        <f>IF(Data!B271="","",IF(COUNTIFS(Data!A$1:'Data'!A271,Data!A271)&lt;=1,0,1))</f>
        <v/>
      </c>
      <c r="B281" s="36"/>
      <c r="C281" s="36" t="str">
        <f>IF(Data!C271="","",(IF(ISNUMBER(MATCH("*@*.?*",Data!C271,0)),0,1)+IF(COUNTIFS(Data!C$1:'Data'!C271,Data!C271)&gt;1,1,0)))</f>
        <v/>
      </c>
      <c r="D281" s="36" t="str">
        <f>IF(Data!B271="","",IF(ISNUMBER(Data!D271),IF(AND(Data!D271&gt;999999999,Data!D271&lt;=9999999999),IF(COUNTIFS(Data!D$1:'Data'!D271,Data!D271)&lt;=1,0,1),1),1))</f>
        <v/>
      </c>
      <c r="E281" s="36" t="str">
        <f>IF(Data!B271="","",IF(ISNUMBER(MATCH(Data!E271,Data_Val!$A$2:$A$3,0)),0,1))</f>
        <v/>
      </c>
      <c r="F281" s="36" t="str">
        <f ca="1">IF(Data!B271="","",IF(ISNUMBER(Data!F271),IF(AND(Data!F271&gt;(TODAY()-(Data_Val!$H$3*365.25)),Data!F271&lt;=(TODAY()-(Data_Val!$H$2*365.25))),0,1),1))</f>
        <v/>
      </c>
      <c r="G281" s="12" t="str">
        <f>IF(Data!B271="","",IF(AND(Data!G271="",Data!H271&lt;&gt;""),1,IF(ISNUMBER(MATCH(Data!G271,Data_Val!$C$2:$C$5,0)),0,1)))</f>
        <v/>
      </c>
      <c r="H281" s="12" t="str">
        <f>IF(Data!B271="","",IF(AND(Data!G271&lt;&gt;"",Data!H271=""),1,IF(Data!G271="",1,IF(ISNUMBER(MATCH(Data!H271,Data_Val!$D$2:$D$35,0)),0,1))))</f>
        <v/>
      </c>
      <c r="I281" s="38" t="str">
        <f>IF(Data!G271="","",IF(Data!G271=Data_Val!$C$2,IF(Data!I271="",0,1),0))</f>
        <v/>
      </c>
      <c r="J281" s="38" t="str">
        <f>IF(Data!I271="","",IF(ISNUMBER(MATCH(Data!J271,Data_Val!$A$2:$A$3,0)),0,1))</f>
        <v/>
      </c>
      <c r="K281" s="38" t="str">
        <f ca="1">IF(Data!I271="","",IF(ISNUMBER(Data!K271),IF(AND(Data!K271&gt;(TODAY()-(Data_Val!$K$3*365.25)),Data!K271&lt;=(TODAY()-(Data_Val!$K$2*365.25))),0,1),1))</f>
        <v/>
      </c>
      <c r="L281" s="16" t="str">
        <f>IF(Data!G271="","",IF(Data!G271=Data_Val!$C$2,IF(Data!L271="",0,1),0))</f>
        <v/>
      </c>
      <c r="M281" s="16" t="str">
        <f>IF(Data!L271="","",IF(ISNUMBER(MATCH(Data!M271,Data_Val!$A$2:$A$3,0)),0,1))</f>
        <v/>
      </c>
      <c r="N281" s="43" t="str">
        <f ca="1">IF(Data!L271="","",IF(ISNUMBER(Data!N271),IF(AND(Data!N271&gt;(TODAY()-(Data_Val!$L$3*365.25)),Data!N271&lt;=(TODAY()-(Data_Val!$L$2*365.25))),0,1),1))</f>
        <v/>
      </c>
      <c r="O281" s="18" t="str">
        <f>IF(Data!$G271="","",IF(Data!$G271=Data_Val!$C$2,IF(Data!O271="",0,1),0))</f>
        <v/>
      </c>
      <c r="P281" s="18" t="str">
        <f>IF(Data!O271="","",IF(ISNUMBER(MATCH(Data!P271,Data_Val!$A$2:$A$3,0)),0,1))</f>
        <v/>
      </c>
      <c r="Q281" s="44" t="str">
        <f ca="1">IF(Data!O271="","",IF(ISNUMBER(Data!Q271),IF(AND(Data!Q271&gt;(TODAY()-(Data_Val!$L$3*365.25)),Data!Q271&lt;=(TODAY()-(Data_Val!$L$2*365.25))),0,1),1))</f>
        <v/>
      </c>
    </row>
    <row r="282" spans="1:17" ht="12" customHeight="1" x14ac:dyDescent="0.25">
      <c r="A282" s="36" t="str">
        <f>IF(Data!B272="","",IF(COUNTIFS(Data!A$1:'Data'!A272,Data!A272)&lt;=1,0,1))</f>
        <v/>
      </c>
      <c r="B282" s="36"/>
      <c r="C282" s="36" t="str">
        <f>IF(Data!C272="","",(IF(ISNUMBER(MATCH("*@*.?*",Data!C272,0)),0,1)+IF(COUNTIFS(Data!C$1:'Data'!C272,Data!C272)&gt;1,1,0)))</f>
        <v/>
      </c>
      <c r="D282" s="36" t="str">
        <f>IF(Data!B272="","",IF(ISNUMBER(Data!D272),IF(AND(Data!D272&gt;999999999,Data!D272&lt;=9999999999),IF(COUNTIFS(Data!D$1:'Data'!D272,Data!D272)&lt;=1,0,1),1),1))</f>
        <v/>
      </c>
      <c r="E282" s="36" t="str">
        <f>IF(Data!B272="","",IF(ISNUMBER(MATCH(Data!E272,Data_Val!$A$2:$A$3,0)),0,1))</f>
        <v/>
      </c>
      <c r="F282" s="36" t="str">
        <f ca="1">IF(Data!B272="","",IF(ISNUMBER(Data!F272),IF(AND(Data!F272&gt;(TODAY()-(Data_Val!$H$3*365.25)),Data!F272&lt;=(TODAY()-(Data_Val!$H$2*365.25))),0,1),1))</f>
        <v/>
      </c>
      <c r="G282" s="12" t="str">
        <f>IF(Data!B272="","",IF(AND(Data!G272="",Data!H272&lt;&gt;""),1,IF(ISNUMBER(MATCH(Data!G272,Data_Val!$C$2:$C$5,0)),0,1)))</f>
        <v/>
      </c>
      <c r="H282" s="12" t="str">
        <f>IF(Data!B272="","",IF(AND(Data!G272&lt;&gt;"",Data!H272=""),1,IF(Data!G272="",1,IF(ISNUMBER(MATCH(Data!H272,Data_Val!$D$2:$D$35,0)),0,1))))</f>
        <v/>
      </c>
      <c r="I282" s="38" t="str">
        <f>IF(Data!G272="","",IF(Data!G272=Data_Val!$C$2,IF(Data!I272="",0,1),0))</f>
        <v/>
      </c>
      <c r="J282" s="38" t="str">
        <f>IF(Data!I272="","",IF(ISNUMBER(MATCH(Data!J272,Data_Val!$A$2:$A$3,0)),0,1))</f>
        <v/>
      </c>
      <c r="K282" s="38" t="str">
        <f ca="1">IF(Data!I272="","",IF(ISNUMBER(Data!K272),IF(AND(Data!K272&gt;(TODAY()-(Data_Val!$K$3*365.25)),Data!K272&lt;=(TODAY()-(Data_Val!$K$2*365.25))),0,1),1))</f>
        <v/>
      </c>
      <c r="L282" s="16" t="str">
        <f>IF(Data!G272="","",IF(Data!G272=Data_Val!$C$2,IF(Data!L272="",0,1),0))</f>
        <v/>
      </c>
      <c r="M282" s="16" t="str">
        <f>IF(Data!L272="","",IF(ISNUMBER(MATCH(Data!M272,Data_Val!$A$2:$A$3,0)),0,1))</f>
        <v/>
      </c>
      <c r="N282" s="43" t="str">
        <f ca="1">IF(Data!L272="","",IF(ISNUMBER(Data!N272),IF(AND(Data!N272&gt;(TODAY()-(Data_Val!$L$3*365.25)),Data!N272&lt;=(TODAY()-(Data_Val!$L$2*365.25))),0,1),1))</f>
        <v/>
      </c>
      <c r="O282" s="18" t="str">
        <f>IF(Data!$G272="","",IF(Data!$G272=Data_Val!$C$2,IF(Data!O272="",0,1),0))</f>
        <v/>
      </c>
      <c r="P282" s="18" t="str">
        <f>IF(Data!O272="","",IF(ISNUMBER(MATCH(Data!P272,Data_Val!$A$2:$A$3,0)),0,1))</f>
        <v/>
      </c>
      <c r="Q282" s="44" t="str">
        <f ca="1">IF(Data!O272="","",IF(ISNUMBER(Data!Q272),IF(AND(Data!Q272&gt;(TODAY()-(Data_Val!$L$3*365.25)),Data!Q272&lt;=(TODAY()-(Data_Val!$L$2*365.25))),0,1),1))</f>
        <v/>
      </c>
    </row>
    <row r="283" spans="1:17" ht="12" customHeight="1" x14ac:dyDescent="0.25">
      <c r="A283" s="36" t="str">
        <f>IF(Data!B273="","",IF(COUNTIFS(Data!A$1:'Data'!A273,Data!A273)&lt;=1,0,1))</f>
        <v/>
      </c>
      <c r="B283" s="36"/>
      <c r="C283" s="36" t="str">
        <f>IF(Data!C273="","",(IF(ISNUMBER(MATCH("*@*.?*",Data!C273,0)),0,1)+IF(COUNTIFS(Data!C$1:'Data'!C273,Data!C273)&gt;1,1,0)))</f>
        <v/>
      </c>
      <c r="D283" s="36" t="str">
        <f>IF(Data!B273="","",IF(ISNUMBER(Data!D273),IF(AND(Data!D273&gt;999999999,Data!D273&lt;=9999999999),IF(COUNTIFS(Data!D$1:'Data'!D273,Data!D273)&lt;=1,0,1),1),1))</f>
        <v/>
      </c>
      <c r="E283" s="36" t="str">
        <f>IF(Data!B273="","",IF(ISNUMBER(MATCH(Data!E273,Data_Val!$A$2:$A$3,0)),0,1))</f>
        <v/>
      </c>
      <c r="F283" s="36" t="str">
        <f ca="1">IF(Data!B273="","",IF(ISNUMBER(Data!F273),IF(AND(Data!F273&gt;(TODAY()-(Data_Val!$H$3*365.25)),Data!F273&lt;=(TODAY()-(Data_Val!$H$2*365.25))),0,1),1))</f>
        <v/>
      </c>
      <c r="G283" s="12" t="str">
        <f>IF(Data!B273="","",IF(AND(Data!G273="",Data!H273&lt;&gt;""),1,IF(ISNUMBER(MATCH(Data!G273,Data_Val!$C$2:$C$5,0)),0,1)))</f>
        <v/>
      </c>
      <c r="H283" s="12" t="str">
        <f>IF(Data!B273="","",IF(AND(Data!G273&lt;&gt;"",Data!H273=""),1,IF(Data!G273="",1,IF(ISNUMBER(MATCH(Data!H273,Data_Val!$D$2:$D$35,0)),0,1))))</f>
        <v/>
      </c>
      <c r="I283" s="38" t="str">
        <f>IF(Data!G273="","",IF(Data!G273=Data_Val!$C$2,IF(Data!I273="",0,1),0))</f>
        <v/>
      </c>
      <c r="J283" s="38" t="str">
        <f>IF(Data!I273="","",IF(ISNUMBER(MATCH(Data!J273,Data_Val!$A$2:$A$3,0)),0,1))</f>
        <v/>
      </c>
      <c r="K283" s="38" t="str">
        <f ca="1">IF(Data!I273="","",IF(ISNUMBER(Data!K273),IF(AND(Data!K273&gt;(TODAY()-(Data_Val!$K$3*365.25)),Data!K273&lt;=(TODAY()-(Data_Val!$K$2*365.25))),0,1),1))</f>
        <v/>
      </c>
      <c r="L283" s="16" t="str">
        <f>IF(Data!G273="","",IF(Data!G273=Data_Val!$C$2,IF(Data!L273="",0,1),0))</f>
        <v/>
      </c>
      <c r="M283" s="16" t="str">
        <f>IF(Data!L273="","",IF(ISNUMBER(MATCH(Data!M273,Data_Val!$A$2:$A$3,0)),0,1))</f>
        <v/>
      </c>
      <c r="N283" s="43" t="str">
        <f ca="1">IF(Data!L273="","",IF(ISNUMBER(Data!N273),IF(AND(Data!N273&gt;(TODAY()-(Data_Val!$L$3*365.25)),Data!N273&lt;=(TODAY()-(Data_Val!$L$2*365.25))),0,1),1))</f>
        <v/>
      </c>
      <c r="O283" s="18" t="str">
        <f>IF(Data!$G273="","",IF(Data!$G273=Data_Val!$C$2,IF(Data!O273="",0,1),0))</f>
        <v/>
      </c>
      <c r="P283" s="18" t="str">
        <f>IF(Data!O273="","",IF(ISNUMBER(MATCH(Data!P273,Data_Val!$A$2:$A$3,0)),0,1))</f>
        <v/>
      </c>
      <c r="Q283" s="44" t="str">
        <f ca="1">IF(Data!O273="","",IF(ISNUMBER(Data!Q273),IF(AND(Data!Q273&gt;(TODAY()-(Data_Val!$L$3*365.25)),Data!Q273&lt;=(TODAY()-(Data_Val!$L$2*365.25))),0,1),1))</f>
        <v/>
      </c>
    </row>
    <row r="284" spans="1:17" ht="12" customHeight="1" x14ac:dyDescent="0.25">
      <c r="A284" s="36" t="str">
        <f>IF(Data!B274="","",IF(COUNTIFS(Data!A$1:'Data'!A274,Data!A274)&lt;=1,0,1))</f>
        <v/>
      </c>
      <c r="B284" s="36"/>
      <c r="C284" s="36" t="str">
        <f>IF(Data!C274="","",(IF(ISNUMBER(MATCH("*@*.?*",Data!C274,0)),0,1)+IF(COUNTIFS(Data!C$1:'Data'!C274,Data!C274)&gt;1,1,0)))</f>
        <v/>
      </c>
      <c r="D284" s="36" t="str">
        <f>IF(Data!B274="","",IF(ISNUMBER(Data!D274),IF(AND(Data!D274&gt;999999999,Data!D274&lt;=9999999999),IF(COUNTIFS(Data!D$1:'Data'!D274,Data!D274)&lt;=1,0,1),1),1))</f>
        <v/>
      </c>
      <c r="E284" s="36" t="str">
        <f>IF(Data!B274="","",IF(ISNUMBER(MATCH(Data!E274,Data_Val!$A$2:$A$3,0)),0,1))</f>
        <v/>
      </c>
      <c r="F284" s="36" t="str">
        <f ca="1">IF(Data!B274="","",IF(ISNUMBER(Data!F274),IF(AND(Data!F274&gt;(TODAY()-(Data_Val!$H$3*365.25)),Data!F274&lt;=(TODAY()-(Data_Val!$H$2*365.25))),0,1),1))</f>
        <v/>
      </c>
      <c r="G284" s="12" t="str">
        <f>IF(Data!B274="","",IF(AND(Data!G274="",Data!H274&lt;&gt;""),1,IF(ISNUMBER(MATCH(Data!G274,Data_Val!$C$2:$C$5,0)),0,1)))</f>
        <v/>
      </c>
      <c r="H284" s="12" t="str">
        <f>IF(Data!B274="","",IF(AND(Data!G274&lt;&gt;"",Data!H274=""),1,IF(Data!G274="",1,IF(ISNUMBER(MATCH(Data!H274,Data_Val!$D$2:$D$35,0)),0,1))))</f>
        <v/>
      </c>
      <c r="I284" s="38" t="str">
        <f>IF(Data!G274="","",IF(Data!G274=Data_Val!$C$2,IF(Data!I274="",0,1),0))</f>
        <v/>
      </c>
      <c r="J284" s="38" t="str">
        <f>IF(Data!I274="","",IF(ISNUMBER(MATCH(Data!J274,Data_Val!$A$2:$A$3,0)),0,1))</f>
        <v/>
      </c>
      <c r="K284" s="38" t="str">
        <f ca="1">IF(Data!I274="","",IF(ISNUMBER(Data!K274),IF(AND(Data!K274&gt;(TODAY()-(Data_Val!$K$3*365.25)),Data!K274&lt;=(TODAY()-(Data_Val!$K$2*365.25))),0,1),1))</f>
        <v/>
      </c>
      <c r="L284" s="16" t="str">
        <f>IF(Data!G274="","",IF(Data!G274=Data_Val!$C$2,IF(Data!L274="",0,1),0))</f>
        <v/>
      </c>
      <c r="M284" s="16" t="str">
        <f>IF(Data!L274="","",IF(ISNUMBER(MATCH(Data!M274,Data_Val!$A$2:$A$3,0)),0,1))</f>
        <v/>
      </c>
      <c r="N284" s="43" t="str">
        <f ca="1">IF(Data!L274="","",IF(ISNUMBER(Data!N274),IF(AND(Data!N274&gt;(TODAY()-(Data_Val!$L$3*365.25)),Data!N274&lt;=(TODAY()-(Data_Val!$L$2*365.25))),0,1),1))</f>
        <v/>
      </c>
      <c r="O284" s="18" t="str">
        <f>IF(Data!$G274="","",IF(Data!$G274=Data_Val!$C$2,IF(Data!O274="",0,1),0))</f>
        <v/>
      </c>
      <c r="P284" s="18" t="str">
        <f>IF(Data!O274="","",IF(ISNUMBER(MATCH(Data!P274,Data_Val!$A$2:$A$3,0)),0,1))</f>
        <v/>
      </c>
      <c r="Q284" s="44" t="str">
        <f ca="1">IF(Data!O274="","",IF(ISNUMBER(Data!Q274),IF(AND(Data!Q274&gt;(TODAY()-(Data_Val!$L$3*365.25)),Data!Q274&lt;=(TODAY()-(Data_Val!$L$2*365.25))),0,1),1))</f>
        <v/>
      </c>
    </row>
    <row r="285" spans="1:17" ht="12" customHeight="1" x14ac:dyDescent="0.25">
      <c r="A285" s="36" t="str">
        <f>IF(Data!B275="","",IF(COUNTIFS(Data!A$1:'Data'!A275,Data!A275)&lt;=1,0,1))</f>
        <v/>
      </c>
      <c r="B285" s="36"/>
      <c r="C285" s="36" t="str">
        <f>IF(Data!C275="","",(IF(ISNUMBER(MATCH("*@*.?*",Data!C275,0)),0,1)+IF(COUNTIFS(Data!C$1:'Data'!C275,Data!C275)&gt;1,1,0)))</f>
        <v/>
      </c>
      <c r="D285" s="36" t="str">
        <f>IF(Data!B275="","",IF(ISNUMBER(Data!D275),IF(AND(Data!D275&gt;999999999,Data!D275&lt;=9999999999),IF(COUNTIFS(Data!D$1:'Data'!D275,Data!D275)&lt;=1,0,1),1),1))</f>
        <v/>
      </c>
      <c r="E285" s="36" t="str">
        <f>IF(Data!B275="","",IF(ISNUMBER(MATCH(Data!E275,Data_Val!$A$2:$A$3,0)),0,1))</f>
        <v/>
      </c>
      <c r="F285" s="36" t="str">
        <f ca="1">IF(Data!B275="","",IF(ISNUMBER(Data!F275),IF(AND(Data!F275&gt;(TODAY()-(Data_Val!$H$3*365.25)),Data!F275&lt;=(TODAY()-(Data_Val!$H$2*365.25))),0,1),1))</f>
        <v/>
      </c>
      <c r="G285" s="12" t="str">
        <f>IF(Data!B275="","",IF(AND(Data!G275="",Data!H275&lt;&gt;""),1,IF(ISNUMBER(MATCH(Data!G275,Data_Val!$C$2:$C$5,0)),0,1)))</f>
        <v/>
      </c>
      <c r="H285" s="12" t="str">
        <f>IF(Data!B275="","",IF(AND(Data!G275&lt;&gt;"",Data!H275=""),1,IF(Data!G275="",1,IF(ISNUMBER(MATCH(Data!H275,Data_Val!$D$2:$D$35,0)),0,1))))</f>
        <v/>
      </c>
      <c r="I285" s="38" t="str">
        <f>IF(Data!G275="","",IF(Data!G275=Data_Val!$C$2,IF(Data!I275="",0,1),0))</f>
        <v/>
      </c>
      <c r="J285" s="38" t="str">
        <f>IF(Data!I275="","",IF(ISNUMBER(MATCH(Data!J275,Data_Val!$A$2:$A$3,0)),0,1))</f>
        <v/>
      </c>
      <c r="K285" s="38" t="str">
        <f ca="1">IF(Data!I275="","",IF(ISNUMBER(Data!K275),IF(AND(Data!K275&gt;(TODAY()-(Data_Val!$K$3*365.25)),Data!K275&lt;=(TODAY()-(Data_Val!$K$2*365.25))),0,1),1))</f>
        <v/>
      </c>
      <c r="L285" s="16" t="str">
        <f>IF(Data!G275="","",IF(Data!G275=Data_Val!$C$2,IF(Data!L275="",0,1),0))</f>
        <v/>
      </c>
      <c r="M285" s="16" t="str">
        <f>IF(Data!L275="","",IF(ISNUMBER(MATCH(Data!M275,Data_Val!$A$2:$A$3,0)),0,1))</f>
        <v/>
      </c>
      <c r="N285" s="43" t="str">
        <f ca="1">IF(Data!L275="","",IF(ISNUMBER(Data!N275),IF(AND(Data!N275&gt;(TODAY()-(Data_Val!$L$3*365.25)),Data!N275&lt;=(TODAY()-(Data_Val!$L$2*365.25))),0,1),1))</f>
        <v/>
      </c>
      <c r="O285" s="18" t="str">
        <f>IF(Data!$G275="","",IF(Data!$G275=Data_Val!$C$2,IF(Data!O275="",0,1),0))</f>
        <v/>
      </c>
      <c r="P285" s="18" t="str">
        <f>IF(Data!O275="","",IF(ISNUMBER(MATCH(Data!P275,Data_Val!$A$2:$A$3,0)),0,1))</f>
        <v/>
      </c>
      <c r="Q285" s="44" t="str">
        <f ca="1">IF(Data!O275="","",IF(ISNUMBER(Data!Q275),IF(AND(Data!Q275&gt;(TODAY()-(Data_Val!$L$3*365.25)),Data!Q275&lt;=(TODAY()-(Data_Val!$L$2*365.25))),0,1),1))</f>
        <v/>
      </c>
    </row>
    <row r="286" spans="1:17" ht="12" customHeight="1" x14ac:dyDescent="0.25">
      <c r="A286" s="36" t="str">
        <f>IF(Data!B276="","",IF(COUNTIFS(Data!A$1:'Data'!A276,Data!A276)&lt;=1,0,1))</f>
        <v/>
      </c>
      <c r="B286" s="36"/>
      <c r="C286" s="36" t="str">
        <f>IF(Data!C276="","",(IF(ISNUMBER(MATCH("*@*.?*",Data!C276,0)),0,1)+IF(COUNTIFS(Data!C$1:'Data'!C276,Data!C276)&gt;1,1,0)))</f>
        <v/>
      </c>
      <c r="D286" s="36" t="str">
        <f>IF(Data!B276="","",IF(ISNUMBER(Data!D276),IF(AND(Data!D276&gt;999999999,Data!D276&lt;=9999999999),IF(COUNTIFS(Data!D$1:'Data'!D276,Data!D276)&lt;=1,0,1),1),1))</f>
        <v/>
      </c>
      <c r="E286" s="36" t="str">
        <f>IF(Data!B276="","",IF(ISNUMBER(MATCH(Data!E276,Data_Val!$A$2:$A$3,0)),0,1))</f>
        <v/>
      </c>
      <c r="F286" s="36" t="str">
        <f ca="1">IF(Data!B276="","",IF(ISNUMBER(Data!F276),IF(AND(Data!F276&gt;(TODAY()-(Data_Val!$H$3*365.25)),Data!F276&lt;=(TODAY()-(Data_Val!$H$2*365.25))),0,1),1))</f>
        <v/>
      </c>
      <c r="G286" s="12" t="str">
        <f>IF(Data!B276="","",IF(AND(Data!G276="",Data!H276&lt;&gt;""),1,IF(ISNUMBER(MATCH(Data!G276,Data_Val!$C$2:$C$5,0)),0,1)))</f>
        <v/>
      </c>
      <c r="H286" s="12" t="str">
        <f>IF(Data!B276="","",IF(AND(Data!G276&lt;&gt;"",Data!H276=""),1,IF(Data!G276="",1,IF(ISNUMBER(MATCH(Data!H276,Data_Val!$D$2:$D$35,0)),0,1))))</f>
        <v/>
      </c>
      <c r="I286" s="38" t="str">
        <f>IF(Data!G276="","",IF(Data!G276=Data_Val!$C$2,IF(Data!I276="",0,1),0))</f>
        <v/>
      </c>
      <c r="J286" s="38" t="str">
        <f>IF(Data!I276="","",IF(ISNUMBER(MATCH(Data!J276,Data_Val!$A$2:$A$3,0)),0,1))</f>
        <v/>
      </c>
      <c r="K286" s="38" t="str">
        <f ca="1">IF(Data!I276="","",IF(ISNUMBER(Data!K276),IF(AND(Data!K276&gt;(TODAY()-(Data_Val!$K$3*365.25)),Data!K276&lt;=(TODAY()-(Data_Val!$K$2*365.25))),0,1),1))</f>
        <v/>
      </c>
      <c r="L286" s="16" t="str">
        <f>IF(Data!G276="","",IF(Data!G276=Data_Val!$C$2,IF(Data!L276="",0,1),0))</f>
        <v/>
      </c>
      <c r="M286" s="16" t="str">
        <f>IF(Data!L276="","",IF(ISNUMBER(MATCH(Data!M276,Data_Val!$A$2:$A$3,0)),0,1))</f>
        <v/>
      </c>
      <c r="N286" s="43" t="str">
        <f ca="1">IF(Data!L276="","",IF(ISNUMBER(Data!N276),IF(AND(Data!N276&gt;(TODAY()-(Data_Val!$L$3*365.25)),Data!N276&lt;=(TODAY()-(Data_Val!$L$2*365.25))),0,1),1))</f>
        <v/>
      </c>
      <c r="O286" s="18" t="str">
        <f>IF(Data!$G276="","",IF(Data!$G276=Data_Val!$C$2,IF(Data!O276="",0,1),0))</f>
        <v/>
      </c>
      <c r="P286" s="18" t="str">
        <f>IF(Data!O276="","",IF(ISNUMBER(MATCH(Data!P276,Data_Val!$A$2:$A$3,0)),0,1))</f>
        <v/>
      </c>
      <c r="Q286" s="44" t="str">
        <f ca="1">IF(Data!O276="","",IF(ISNUMBER(Data!Q276),IF(AND(Data!Q276&gt;(TODAY()-(Data_Val!$L$3*365.25)),Data!Q276&lt;=(TODAY()-(Data_Val!$L$2*365.25))),0,1),1))</f>
        <v/>
      </c>
    </row>
    <row r="287" spans="1:17" ht="12" customHeight="1" x14ac:dyDescent="0.25">
      <c r="A287" s="36" t="str">
        <f>IF(Data!B277="","",IF(COUNTIFS(Data!A$1:'Data'!A277,Data!A277)&lt;=1,0,1))</f>
        <v/>
      </c>
      <c r="B287" s="36"/>
      <c r="C287" s="36" t="str">
        <f>IF(Data!C277="","",(IF(ISNUMBER(MATCH("*@*.?*",Data!C277,0)),0,1)+IF(COUNTIFS(Data!C$1:'Data'!C277,Data!C277)&gt;1,1,0)))</f>
        <v/>
      </c>
      <c r="D287" s="36" t="str">
        <f>IF(Data!B277="","",IF(ISNUMBER(Data!D277),IF(AND(Data!D277&gt;999999999,Data!D277&lt;=9999999999),IF(COUNTIFS(Data!D$1:'Data'!D277,Data!D277)&lt;=1,0,1),1),1))</f>
        <v/>
      </c>
      <c r="E287" s="36" t="str">
        <f>IF(Data!B277="","",IF(ISNUMBER(MATCH(Data!E277,Data_Val!$A$2:$A$3,0)),0,1))</f>
        <v/>
      </c>
      <c r="F287" s="36" t="str">
        <f ca="1">IF(Data!B277="","",IF(ISNUMBER(Data!F277),IF(AND(Data!F277&gt;(TODAY()-(Data_Val!$H$3*365.25)),Data!F277&lt;=(TODAY()-(Data_Val!$H$2*365.25))),0,1),1))</f>
        <v/>
      </c>
      <c r="G287" s="12" t="str">
        <f>IF(Data!B277="","",IF(AND(Data!G277="",Data!H277&lt;&gt;""),1,IF(ISNUMBER(MATCH(Data!G277,Data_Val!$C$2:$C$5,0)),0,1)))</f>
        <v/>
      </c>
      <c r="H287" s="12" t="str">
        <f>IF(Data!B277="","",IF(AND(Data!G277&lt;&gt;"",Data!H277=""),1,IF(Data!G277="",1,IF(ISNUMBER(MATCH(Data!H277,Data_Val!$D$2:$D$35,0)),0,1))))</f>
        <v/>
      </c>
      <c r="I287" s="38" t="str">
        <f>IF(Data!G277="","",IF(Data!G277=Data_Val!$C$2,IF(Data!I277="",0,1),0))</f>
        <v/>
      </c>
      <c r="J287" s="38" t="str">
        <f>IF(Data!I277="","",IF(ISNUMBER(MATCH(Data!J277,Data_Val!$A$2:$A$3,0)),0,1))</f>
        <v/>
      </c>
      <c r="K287" s="38" t="str">
        <f ca="1">IF(Data!I277="","",IF(ISNUMBER(Data!K277),IF(AND(Data!K277&gt;(TODAY()-(Data_Val!$K$3*365.25)),Data!K277&lt;=(TODAY()-(Data_Val!$K$2*365.25))),0,1),1))</f>
        <v/>
      </c>
      <c r="L287" s="16" t="str">
        <f>IF(Data!G277="","",IF(Data!G277=Data_Val!$C$2,IF(Data!L277="",0,1),0))</f>
        <v/>
      </c>
      <c r="M287" s="16" t="str">
        <f>IF(Data!L277="","",IF(ISNUMBER(MATCH(Data!M277,Data_Val!$A$2:$A$3,0)),0,1))</f>
        <v/>
      </c>
      <c r="N287" s="43" t="str">
        <f ca="1">IF(Data!L277="","",IF(ISNUMBER(Data!N277),IF(AND(Data!N277&gt;(TODAY()-(Data_Val!$L$3*365.25)),Data!N277&lt;=(TODAY()-(Data_Val!$L$2*365.25))),0,1),1))</f>
        <v/>
      </c>
      <c r="O287" s="18" t="str">
        <f>IF(Data!$G277="","",IF(Data!$G277=Data_Val!$C$2,IF(Data!O277="",0,1),0))</f>
        <v/>
      </c>
      <c r="P287" s="18" t="str">
        <f>IF(Data!O277="","",IF(ISNUMBER(MATCH(Data!P277,Data_Val!$A$2:$A$3,0)),0,1))</f>
        <v/>
      </c>
      <c r="Q287" s="44" t="str">
        <f ca="1">IF(Data!O277="","",IF(ISNUMBER(Data!Q277),IF(AND(Data!Q277&gt;(TODAY()-(Data_Val!$L$3*365.25)),Data!Q277&lt;=(TODAY()-(Data_Val!$L$2*365.25))),0,1),1))</f>
        <v/>
      </c>
    </row>
    <row r="288" spans="1:17" ht="12" customHeight="1" x14ac:dyDescent="0.25">
      <c r="A288" s="36" t="str">
        <f>IF(Data!B278="","",IF(COUNTIFS(Data!A$1:'Data'!A278,Data!A278)&lt;=1,0,1))</f>
        <v/>
      </c>
      <c r="B288" s="36"/>
      <c r="C288" s="36" t="str">
        <f>IF(Data!C278="","",(IF(ISNUMBER(MATCH("*@*.?*",Data!C278,0)),0,1)+IF(COUNTIFS(Data!C$1:'Data'!C278,Data!C278)&gt;1,1,0)))</f>
        <v/>
      </c>
      <c r="D288" s="36" t="str">
        <f>IF(Data!B278="","",IF(ISNUMBER(Data!D278),IF(AND(Data!D278&gt;999999999,Data!D278&lt;=9999999999),IF(COUNTIFS(Data!D$1:'Data'!D278,Data!D278)&lt;=1,0,1),1),1))</f>
        <v/>
      </c>
      <c r="E288" s="36" t="str">
        <f>IF(Data!B278="","",IF(ISNUMBER(MATCH(Data!E278,Data_Val!$A$2:$A$3,0)),0,1))</f>
        <v/>
      </c>
      <c r="F288" s="36" t="str">
        <f ca="1">IF(Data!B278="","",IF(ISNUMBER(Data!F278),IF(AND(Data!F278&gt;(TODAY()-(Data_Val!$H$3*365.25)),Data!F278&lt;=(TODAY()-(Data_Val!$H$2*365.25))),0,1),1))</f>
        <v/>
      </c>
      <c r="G288" s="12" t="str">
        <f>IF(Data!B278="","",IF(AND(Data!G278="",Data!H278&lt;&gt;""),1,IF(ISNUMBER(MATCH(Data!G278,Data_Val!$C$2:$C$5,0)),0,1)))</f>
        <v/>
      </c>
      <c r="H288" s="12" t="str">
        <f>IF(Data!B278="","",IF(AND(Data!G278&lt;&gt;"",Data!H278=""),1,IF(Data!G278="",1,IF(ISNUMBER(MATCH(Data!H278,Data_Val!$D$2:$D$35,0)),0,1))))</f>
        <v/>
      </c>
      <c r="I288" s="38" t="str">
        <f>IF(Data!G278="","",IF(Data!G278=Data_Val!$C$2,IF(Data!I278="",0,1),0))</f>
        <v/>
      </c>
      <c r="J288" s="38" t="str">
        <f>IF(Data!I278="","",IF(ISNUMBER(MATCH(Data!J278,Data_Val!$A$2:$A$3,0)),0,1))</f>
        <v/>
      </c>
      <c r="K288" s="38" t="str">
        <f ca="1">IF(Data!I278="","",IF(ISNUMBER(Data!K278),IF(AND(Data!K278&gt;(TODAY()-(Data_Val!$K$3*365.25)),Data!K278&lt;=(TODAY()-(Data_Val!$K$2*365.25))),0,1),1))</f>
        <v/>
      </c>
      <c r="L288" s="16" t="str">
        <f>IF(Data!G278="","",IF(Data!G278=Data_Val!$C$2,IF(Data!L278="",0,1),0))</f>
        <v/>
      </c>
      <c r="M288" s="16" t="str">
        <f>IF(Data!L278="","",IF(ISNUMBER(MATCH(Data!M278,Data_Val!$A$2:$A$3,0)),0,1))</f>
        <v/>
      </c>
      <c r="N288" s="43" t="str">
        <f ca="1">IF(Data!L278="","",IF(ISNUMBER(Data!N278),IF(AND(Data!N278&gt;(TODAY()-(Data_Val!$L$3*365.25)),Data!N278&lt;=(TODAY()-(Data_Val!$L$2*365.25))),0,1),1))</f>
        <v/>
      </c>
      <c r="O288" s="18" t="str">
        <f>IF(Data!$G278="","",IF(Data!$G278=Data_Val!$C$2,IF(Data!O278="",0,1),0))</f>
        <v/>
      </c>
      <c r="P288" s="18" t="str">
        <f>IF(Data!O278="","",IF(ISNUMBER(MATCH(Data!P278,Data_Val!$A$2:$A$3,0)),0,1))</f>
        <v/>
      </c>
      <c r="Q288" s="44" t="str">
        <f ca="1">IF(Data!O278="","",IF(ISNUMBER(Data!Q278),IF(AND(Data!Q278&gt;(TODAY()-(Data_Val!$L$3*365.25)),Data!Q278&lt;=(TODAY()-(Data_Val!$L$2*365.25))),0,1),1))</f>
        <v/>
      </c>
    </row>
    <row r="289" spans="1:17" ht="12" customHeight="1" x14ac:dyDescent="0.25">
      <c r="A289" s="36" t="str">
        <f>IF(Data!B279="","",IF(COUNTIFS(Data!A$1:'Data'!A279,Data!A279)&lt;=1,0,1))</f>
        <v/>
      </c>
      <c r="B289" s="36"/>
      <c r="C289" s="36" t="str">
        <f>IF(Data!C279="","",(IF(ISNUMBER(MATCH("*@*.?*",Data!C279,0)),0,1)+IF(COUNTIFS(Data!C$1:'Data'!C279,Data!C279)&gt;1,1,0)))</f>
        <v/>
      </c>
      <c r="D289" s="36" t="str">
        <f>IF(Data!B279="","",IF(ISNUMBER(Data!D279),IF(AND(Data!D279&gt;999999999,Data!D279&lt;=9999999999),IF(COUNTIFS(Data!D$1:'Data'!D279,Data!D279)&lt;=1,0,1),1),1))</f>
        <v/>
      </c>
      <c r="E289" s="36" t="str">
        <f>IF(Data!B279="","",IF(ISNUMBER(MATCH(Data!E279,Data_Val!$A$2:$A$3,0)),0,1))</f>
        <v/>
      </c>
      <c r="F289" s="36" t="str">
        <f ca="1">IF(Data!B279="","",IF(ISNUMBER(Data!F279),IF(AND(Data!F279&gt;(TODAY()-(Data_Val!$H$3*365.25)),Data!F279&lt;=(TODAY()-(Data_Val!$H$2*365.25))),0,1),1))</f>
        <v/>
      </c>
      <c r="G289" s="12" t="str">
        <f>IF(Data!B279="","",IF(AND(Data!G279="",Data!H279&lt;&gt;""),1,IF(ISNUMBER(MATCH(Data!G279,Data_Val!$C$2:$C$5,0)),0,1)))</f>
        <v/>
      </c>
      <c r="H289" s="12" t="str">
        <f>IF(Data!B279="","",IF(AND(Data!G279&lt;&gt;"",Data!H279=""),1,IF(Data!G279="",1,IF(ISNUMBER(MATCH(Data!H279,Data_Val!$D$2:$D$35,0)),0,1))))</f>
        <v/>
      </c>
      <c r="I289" s="38" t="str">
        <f>IF(Data!G279="","",IF(Data!G279=Data_Val!$C$2,IF(Data!I279="",0,1),0))</f>
        <v/>
      </c>
      <c r="J289" s="38" t="str">
        <f>IF(Data!I279="","",IF(ISNUMBER(MATCH(Data!J279,Data_Val!$A$2:$A$3,0)),0,1))</f>
        <v/>
      </c>
      <c r="K289" s="38" t="str">
        <f ca="1">IF(Data!I279="","",IF(ISNUMBER(Data!K279),IF(AND(Data!K279&gt;(TODAY()-(Data_Val!$K$3*365.25)),Data!K279&lt;=(TODAY()-(Data_Val!$K$2*365.25))),0,1),1))</f>
        <v/>
      </c>
      <c r="L289" s="16" t="str">
        <f>IF(Data!G279="","",IF(Data!G279=Data_Val!$C$2,IF(Data!L279="",0,1),0))</f>
        <v/>
      </c>
      <c r="M289" s="16" t="str">
        <f>IF(Data!L279="","",IF(ISNUMBER(MATCH(Data!M279,Data_Val!$A$2:$A$3,0)),0,1))</f>
        <v/>
      </c>
      <c r="N289" s="43" t="str">
        <f ca="1">IF(Data!L279="","",IF(ISNUMBER(Data!N279),IF(AND(Data!N279&gt;(TODAY()-(Data_Val!$L$3*365.25)),Data!N279&lt;=(TODAY()-(Data_Val!$L$2*365.25))),0,1),1))</f>
        <v/>
      </c>
      <c r="O289" s="18" t="str">
        <f>IF(Data!$G279="","",IF(Data!$G279=Data_Val!$C$2,IF(Data!O279="",0,1),0))</f>
        <v/>
      </c>
      <c r="P289" s="18" t="str">
        <f>IF(Data!O279="","",IF(ISNUMBER(MATCH(Data!P279,Data_Val!$A$2:$A$3,0)),0,1))</f>
        <v/>
      </c>
      <c r="Q289" s="44" t="str">
        <f ca="1">IF(Data!O279="","",IF(ISNUMBER(Data!Q279),IF(AND(Data!Q279&gt;(TODAY()-(Data_Val!$L$3*365.25)),Data!Q279&lt;=(TODAY()-(Data_Val!$L$2*365.25))),0,1),1))</f>
        <v/>
      </c>
    </row>
    <row r="290" spans="1:17" ht="12" customHeight="1" x14ac:dyDescent="0.25">
      <c r="A290" s="36" t="str">
        <f>IF(Data!B280="","",IF(COUNTIFS(Data!A$1:'Data'!A280,Data!A280)&lt;=1,0,1))</f>
        <v/>
      </c>
      <c r="B290" s="36"/>
      <c r="C290" s="36" t="str">
        <f>IF(Data!C280="","",(IF(ISNUMBER(MATCH("*@*.?*",Data!C280,0)),0,1)+IF(COUNTIFS(Data!C$1:'Data'!C280,Data!C280)&gt;1,1,0)))</f>
        <v/>
      </c>
      <c r="D290" s="36" t="str">
        <f>IF(Data!B280="","",IF(ISNUMBER(Data!D280),IF(AND(Data!D280&gt;999999999,Data!D280&lt;=9999999999),IF(COUNTIFS(Data!D$1:'Data'!D280,Data!D280)&lt;=1,0,1),1),1))</f>
        <v/>
      </c>
      <c r="E290" s="36" t="str">
        <f>IF(Data!B280="","",IF(ISNUMBER(MATCH(Data!E280,Data_Val!$A$2:$A$3,0)),0,1))</f>
        <v/>
      </c>
      <c r="F290" s="36" t="str">
        <f ca="1">IF(Data!B280="","",IF(ISNUMBER(Data!F280),IF(AND(Data!F280&gt;(TODAY()-(Data_Val!$H$3*365.25)),Data!F280&lt;=(TODAY()-(Data_Val!$H$2*365.25))),0,1),1))</f>
        <v/>
      </c>
      <c r="G290" s="12" t="str">
        <f>IF(Data!B280="","",IF(AND(Data!G280="",Data!H280&lt;&gt;""),1,IF(ISNUMBER(MATCH(Data!G280,Data_Val!$C$2:$C$5,0)),0,1)))</f>
        <v/>
      </c>
      <c r="H290" s="12" t="str">
        <f>IF(Data!B280="","",IF(AND(Data!G280&lt;&gt;"",Data!H280=""),1,IF(Data!G280="",1,IF(ISNUMBER(MATCH(Data!H280,Data_Val!$D$2:$D$35,0)),0,1))))</f>
        <v/>
      </c>
      <c r="I290" s="38" t="str">
        <f>IF(Data!G280="","",IF(Data!G280=Data_Val!$C$2,IF(Data!I280="",0,1),0))</f>
        <v/>
      </c>
      <c r="J290" s="38" t="str">
        <f>IF(Data!I280="","",IF(ISNUMBER(MATCH(Data!J280,Data_Val!$A$2:$A$3,0)),0,1))</f>
        <v/>
      </c>
      <c r="K290" s="38" t="str">
        <f ca="1">IF(Data!I280="","",IF(ISNUMBER(Data!K280),IF(AND(Data!K280&gt;(TODAY()-(Data_Val!$K$3*365.25)),Data!K280&lt;=(TODAY()-(Data_Val!$K$2*365.25))),0,1),1))</f>
        <v/>
      </c>
      <c r="L290" s="16" t="str">
        <f>IF(Data!G280="","",IF(Data!G280=Data_Val!$C$2,IF(Data!L280="",0,1),0))</f>
        <v/>
      </c>
      <c r="M290" s="16" t="str">
        <f>IF(Data!L280="","",IF(ISNUMBER(MATCH(Data!M280,Data_Val!$A$2:$A$3,0)),0,1))</f>
        <v/>
      </c>
      <c r="N290" s="43" t="str">
        <f ca="1">IF(Data!L280="","",IF(ISNUMBER(Data!N280),IF(AND(Data!N280&gt;(TODAY()-(Data_Val!$L$3*365.25)),Data!N280&lt;=(TODAY()-(Data_Val!$L$2*365.25))),0,1),1))</f>
        <v/>
      </c>
      <c r="O290" s="18" t="str">
        <f>IF(Data!$G280="","",IF(Data!$G280=Data_Val!$C$2,IF(Data!O280="",0,1),0))</f>
        <v/>
      </c>
      <c r="P290" s="18" t="str">
        <f>IF(Data!O280="","",IF(ISNUMBER(MATCH(Data!P280,Data_Val!$A$2:$A$3,0)),0,1))</f>
        <v/>
      </c>
      <c r="Q290" s="44" t="str">
        <f ca="1">IF(Data!O280="","",IF(ISNUMBER(Data!Q280),IF(AND(Data!Q280&gt;(TODAY()-(Data_Val!$L$3*365.25)),Data!Q280&lt;=(TODAY()-(Data_Val!$L$2*365.25))),0,1),1))</f>
        <v/>
      </c>
    </row>
    <row r="291" spans="1:17" ht="12" customHeight="1" x14ac:dyDescent="0.25">
      <c r="A291" s="36" t="str">
        <f>IF(Data!B281="","",IF(COUNTIFS(Data!A$1:'Data'!A281,Data!A281)&lt;=1,0,1))</f>
        <v/>
      </c>
      <c r="B291" s="36"/>
      <c r="C291" s="36" t="str">
        <f>IF(Data!C281="","",(IF(ISNUMBER(MATCH("*@*.?*",Data!C281,0)),0,1)+IF(COUNTIFS(Data!C$1:'Data'!C281,Data!C281)&gt;1,1,0)))</f>
        <v/>
      </c>
      <c r="D291" s="36" t="str">
        <f>IF(Data!B281="","",IF(ISNUMBER(Data!D281),IF(AND(Data!D281&gt;999999999,Data!D281&lt;=9999999999),IF(COUNTIFS(Data!D$1:'Data'!D281,Data!D281)&lt;=1,0,1),1),1))</f>
        <v/>
      </c>
      <c r="E291" s="36" t="str">
        <f>IF(Data!B281="","",IF(ISNUMBER(MATCH(Data!E281,Data_Val!$A$2:$A$3,0)),0,1))</f>
        <v/>
      </c>
      <c r="F291" s="36" t="str">
        <f ca="1">IF(Data!B281="","",IF(ISNUMBER(Data!F281),IF(AND(Data!F281&gt;(TODAY()-(Data_Val!$H$3*365.25)),Data!F281&lt;=(TODAY()-(Data_Val!$H$2*365.25))),0,1),1))</f>
        <v/>
      </c>
      <c r="G291" s="12" t="str">
        <f>IF(Data!B281="","",IF(AND(Data!G281="",Data!H281&lt;&gt;""),1,IF(ISNUMBER(MATCH(Data!G281,Data_Val!$C$2:$C$5,0)),0,1)))</f>
        <v/>
      </c>
      <c r="H291" s="12" t="str">
        <f>IF(Data!B281="","",IF(AND(Data!G281&lt;&gt;"",Data!H281=""),1,IF(Data!G281="",1,IF(ISNUMBER(MATCH(Data!H281,Data_Val!$D$2:$D$35,0)),0,1))))</f>
        <v/>
      </c>
      <c r="I291" s="38" t="str">
        <f>IF(Data!G281="","",IF(Data!G281=Data_Val!$C$2,IF(Data!I281="",0,1),0))</f>
        <v/>
      </c>
      <c r="J291" s="38" t="str">
        <f>IF(Data!I281="","",IF(ISNUMBER(MATCH(Data!J281,Data_Val!$A$2:$A$3,0)),0,1))</f>
        <v/>
      </c>
      <c r="K291" s="38" t="str">
        <f ca="1">IF(Data!I281="","",IF(ISNUMBER(Data!K281),IF(AND(Data!K281&gt;(TODAY()-(Data_Val!$K$3*365.25)),Data!K281&lt;=(TODAY()-(Data_Val!$K$2*365.25))),0,1),1))</f>
        <v/>
      </c>
      <c r="L291" s="16" t="str">
        <f>IF(Data!G281="","",IF(Data!G281=Data_Val!$C$2,IF(Data!L281="",0,1),0))</f>
        <v/>
      </c>
      <c r="M291" s="16" t="str">
        <f>IF(Data!L281="","",IF(ISNUMBER(MATCH(Data!M281,Data_Val!$A$2:$A$3,0)),0,1))</f>
        <v/>
      </c>
      <c r="N291" s="43" t="str">
        <f ca="1">IF(Data!L281="","",IF(ISNUMBER(Data!N281),IF(AND(Data!N281&gt;(TODAY()-(Data_Val!$L$3*365.25)),Data!N281&lt;=(TODAY()-(Data_Val!$L$2*365.25))),0,1),1))</f>
        <v/>
      </c>
      <c r="O291" s="18" t="str">
        <f>IF(Data!$G281="","",IF(Data!$G281=Data_Val!$C$2,IF(Data!O281="",0,1),0))</f>
        <v/>
      </c>
      <c r="P291" s="18" t="str">
        <f>IF(Data!O281="","",IF(ISNUMBER(MATCH(Data!P281,Data_Val!$A$2:$A$3,0)),0,1))</f>
        <v/>
      </c>
      <c r="Q291" s="44" t="str">
        <f ca="1">IF(Data!O281="","",IF(ISNUMBER(Data!Q281),IF(AND(Data!Q281&gt;(TODAY()-(Data_Val!$L$3*365.25)),Data!Q281&lt;=(TODAY()-(Data_Val!$L$2*365.25))),0,1),1))</f>
        <v/>
      </c>
    </row>
    <row r="292" spans="1:17" ht="12" customHeight="1" x14ac:dyDescent="0.25">
      <c r="A292" s="36" t="str">
        <f>IF(Data!B282="","",IF(COUNTIFS(Data!A$1:'Data'!A282,Data!A282)&lt;=1,0,1))</f>
        <v/>
      </c>
      <c r="B292" s="36"/>
      <c r="C292" s="36" t="str">
        <f>IF(Data!C282="","",(IF(ISNUMBER(MATCH("*@*.?*",Data!C282,0)),0,1)+IF(COUNTIFS(Data!C$1:'Data'!C282,Data!C282)&gt;1,1,0)))</f>
        <v/>
      </c>
      <c r="D292" s="36" t="str">
        <f>IF(Data!B282="","",IF(ISNUMBER(Data!D282),IF(AND(Data!D282&gt;999999999,Data!D282&lt;=9999999999),IF(COUNTIFS(Data!D$1:'Data'!D282,Data!D282)&lt;=1,0,1),1),1))</f>
        <v/>
      </c>
      <c r="E292" s="36" t="str">
        <f>IF(Data!B282="","",IF(ISNUMBER(MATCH(Data!E282,Data_Val!$A$2:$A$3,0)),0,1))</f>
        <v/>
      </c>
      <c r="F292" s="36" t="str">
        <f ca="1">IF(Data!B282="","",IF(ISNUMBER(Data!F282),IF(AND(Data!F282&gt;(TODAY()-(Data_Val!$H$3*365.25)),Data!F282&lt;=(TODAY()-(Data_Val!$H$2*365.25))),0,1),1))</f>
        <v/>
      </c>
      <c r="G292" s="12" t="str">
        <f>IF(Data!B282="","",IF(AND(Data!G282="",Data!H282&lt;&gt;""),1,IF(ISNUMBER(MATCH(Data!G282,Data_Val!$C$2:$C$5,0)),0,1)))</f>
        <v/>
      </c>
      <c r="H292" s="12" t="str">
        <f>IF(Data!B282="","",IF(AND(Data!G282&lt;&gt;"",Data!H282=""),1,IF(Data!G282="",1,IF(ISNUMBER(MATCH(Data!H282,Data_Val!$D$2:$D$35,0)),0,1))))</f>
        <v/>
      </c>
      <c r="I292" s="38" t="str">
        <f>IF(Data!G282="","",IF(Data!G282=Data_Val!$C$2,IF(Data!I282="",0,1),0))</f>
        <v/>
      </c>
      <c r="J292" s="38" t="str">
        <f>IF(Data!I282="","",IF(ISNUMBER(MATCH(Data!J282,Data_Val!$A$2:$A$3,0)),0,1))</f>
        <v/>
      </c>
      <c r="K292" s="38" t="str">
        <f ca="1">IF(Data!I282="","",IF(ISNUMBER(Data!K282),IF(AND(Data!K282&gt;(TODAY()-(Data_Val!$K$3*365.25)),Data!K282&lt;=(TODAY()-(Data_Val!$K$2*365.25))),0,1),1))</f>
        <v/>
      </c>
      <c r="L292" s="16" t="str">
        <f>IF(Data!G282="","",IF(Data!G282=Data_Val!$C$2,IF(Data!L282="",0,1),0))</f>
        <v/>
      </c>
      <c r="M292" s="16" t="str">
        <f>IF(Data!L282="","",IF(ISNUMBER(MATCH(Data!M282,Data_Val!$A$2:$A$3,0)),0,1))</f>
        <v/>
      </c>
      <c r="N292" s="43" t="str">
        <f ca="1">IF(Data!L282="","",IF(ISNUMBER(Data!N282),IF(AND(Data!N282&gt;(TODAY()-(Data_Val!$L$3*365.25)),Data!N282&lt;=(TODAY()-(Data_Val!$L$2*365.25))),0,1),1))</f>
        <v/>
      </c>
      <c r="O292" s="18" t="str">
        <f>IF(Data!$G282="","",IF(Data!$G282=Data_Val!$C$2,IF(Data!O282="",0,1),0))</f>
        <v/>
      </c>
      <c r="P292" s="18" t="str">
        <f>IF(Data!O282="","",IF(ISNUMBER(MATCH(Data!P282,Data_Val!$A$2:$A$3,0)),0,1))</f>
        <v/>
      </c>
      <c r="Q292" s="44" t="str">
        <f ca="1">IF(Data!O282="","",IF(ISNUMBER(Data!Q282),IF(AND(Data!Q282&gt;(TODAY()-(Data_Val!$L$3*365.25)),Data!Q282&lt;=(TODAY()-(Data_Val!$L$2*365.25))),0,1),1))</f>
        <v/>
      </c>
    </row>
    <row r="293" spans="1:17" ht="12" customHeight="1" x14ac:dyDescent="0.25">
      <c r="A293" s="36" t="str">
        <f>IF(Data!B283="","",IF(COUNTIFS(Data!A$1:'Data'!A283,Data!A283)&lt;=1,0,1))</f>
        <v/>
      </c>
      <c r="B293" s="36"/>
      <c r="C293" s="36" t="str">
        <f>IF(Data!C283="","",(IF(ISNUMBER(MATCH("*@*.?*",Data!C283,0)),0,1)+IF(COUNTIFS(Data!C$1:'Data'!C283,Data!C283)&gt;1,1,0)))</f>
        <v/>
      </c>
      <c r="D293" s="36" t="str">
        <f>IF(Data!B283="","",IF(ISNUMBER(Data!D283),IF(AND(Data!D283&gt;999999999,Data!D283&lt;=9999999999),IF(COUNTIFS(Data!D$1:'Data'!D283,Data!D283)&lt;=1,0,1),1),1))</f>
        <v/>
      </c>
      <c r="E293" s="36" t="str">
        <f>IF(Data!B283="","",IF(ISNUMBER(MATCH(Data!E283,Data_Val!$A$2:$A$3,0)),0,1))</f>
        <v/>
      </c>
      <c r="F293" s="36" t="str">
        <f ca="1">IF(Data!B283="","",IF(ISNUMBER(Data!F283),IF(AND(Data!F283&gt;(TODAY()-(Data_Val!$H$3*365.25)),Data!F283&lt;=(TODAY()-(Data_Val!$H$2*365.25))),0,1),1))</f>
        <v/>
      </c>
      <c r="G293" s="12" t="str">
        <f>IF(Data!B283="","",IF(AND(Data!G283="",Data!H283&lt;&gt;""),1,IF(ISNUMBER(MATCH(Data!G283,Data_Val!$C$2:$C$5,0)),0,1)))</f>
        <v/>
      </c>
      <c r="H293" s="12" t="str">
        <f>IF(Data!B283="","",IF(AND(Data!G283&lt;&gt;"",Data!H283=""),1,IF(Data!G283="",1,IF(ISNUMBER(MATCH(Data!H283,Data_Val!$D$2:$D$35,0)),0,1))))</f>
        <v/>
      </c>
      <c r="I293" s="38" t="str">
        <f>IF(Data!G283="","",IF(Data!G283=Data_Val!$C$2,IF(Data!I283="",0,1),0))</f>
        <v/>
      </c>
      <c r="J293" s="38" t="str">
        <f>IF(Data!I283="","",IF(ISNUMBER(MATCH(Data!J283,Data_Val!$A$2:$A$3,0)),0,1))</f>
        <v/>
      </c>
      <c r="K293" s="38" t="str">
        <f ca="1">IF(Data!I283="","",IF(ISNUMBER(Data!K283),IF(AND(Data!K283&gt;(TODAY()-(Data_Val!$K$3*365.25)),Data!K283&lt;=(TODAY()-(Data_Val!$K$2*365.25))),0,1),1))</f>
        <v/>
      </c>
      <c r="L293" s="16" t="str">
        <f>IF(Data!G283="","",IF(Data!G283=Data_Val!$C$2,IF(Data!L283="",0,1),0))</f>
        <v/>
      </c>
      <c r="M293" s="16" t="str">
        <f>IF(Data!L283="","",IF(ISNUMBER(MATCH(Data!M283,Data_Val!$A$2:$A$3,0)),0,1))</f>
        <v/>
      </c>
      <c r="N293" s="43" t="str">
        <f ca="1">IF(Data!L283="","",IF(ISNUMBER(Data!N283),IF(AND(Data!N283&gt;(TODAY()-(Data_Val!$L$3*365.25)),Data!N283&lt;=(TODAY()-(Data_Val!$L$2*365.25))),0,1),1))</f>
        <v/>
      </c>
      <c r="O293" s="18" t="str">
        <f>IF(Data!$G283="","",IF(Data!$G283=Data_Val!$C$2,IF(Data!O283="",0,1),0))</f>
        <v/>
      </c>
      <c r="P293" s="18" t="str">
        <f>IF(Data!O283="","",IF(ISNUMBER(MATCH(Data!P283,Data_Val!$A$2:$A$3,0)),0,1))</f>
        <v/>
      </c>
      <c r="Q293" s="44" t="str">
        <f ca="1">IF(Data!O283="","",IF(ISNUMBER(Data!Q283),IF(AND(Data!Q283&gt;(TODAY()-(Data_Val!$L$3*365.25)),Data!Q283&lt;=(TODAY()-(Data_Val!$L$2*365.25))),0,1),1))</f>
        <v/>
      </c>
    </row>
    <row r="294" spans="1:17" ht="12" customHeight="1" x14ac:dyDescent="0.25">
      <c r="A294" s="36" t="str">
        <f>IF(Data!B284="","",IF(COUNTIFS(Data!A$1:'Data'!A284,Data!A284)&lt;=1,0,1))</f>
        <v/>
      </c>
      <c r="B294" s="36"/>
      <c r="C294" s="36" t="str">
        <f>IF(Data!C284="","",(IF(ISNUMBER(MATCH("*@*.?*",Data!C284,0)),0,1)+IF(COUNTIFS(Data!C$1:'Data'!C284,Data!C284)&gt;1,1,0)))</f>
        <v/>
      </c>
      <c r="D294" s="36" t="str">
        <f>IF(Data!B284="","",IF(ISNUMBER(Data!D284),IF(AND(Data!D284&gt;999999999,Data!D284&lt;=9999999999),IF(COUNTIFS(Data!D$1:'Data'!D284,Data!D284)&lt;=1,0,1),1),1))</f>
        <v/>
      </c>
      <c r="E294" s="36" t="str">
        <f>IF(Data!B284="","",IF(ISNUMBER(MATCH(Data!E284,Data_Val!$A$2:$A$3,0)),0,1))</f>
        <v/>
      </c>
      <c r="F294" s="36" t="str">
        <f ca="1">IF(Data!B284="","",IF(ISNUMBER(Data!F284),IF(AND(Data!F284&gt;(TODAY()-(Data_Val!$H$3*365.25)),Data!F284&lt;=(TODAY()-(Data_Val!$H$2*365.25))),0,1),1))</f>
        <v/>
      </c>
      <c r="G294" s="12" t="str">
        <f>IF(Data!B284="","",IF(AND(Data!G284="",Data!H284&lt;&gt;""),1,IF(ISNUMBER(MATCH(Data!G284,Data_Val!$C$2:$C$5,0)),0,1)))</f>
        <v/>
      </c>
      <c r="H294" s="12" t="str">
        <f>IF(Data!B284="","",IF(AND(Data!G284&lt;&gt;"",Data!H284=""),1,IF(Data!G284="",1,IF(ISNUMBER(MATCH(Data!H284,Data_Val!$D$2:$D$35,0)),0,1))))</f>
        <v/>
      </c>
      <c r="I294" s="38" t="str">
        <f>IF(Data!G284="","",IF(Data!G284=Data_Val!$C$2,IF(Data!I284="",0,1),0))</f>
        <v/>
      </c>
      <c r="J294" s="38" t="str">
        <f>IF(Data!I284="","",IF(ISNUMBER(MATCH(Data!J284,Data_Val!$A$2:$A$3,0)),0,1))</f>
        <v/>
      </c>
      <c r="K294" s="38" t="str">
        <f ca="1">IF(Data!I284="","",IF(ISNUMBER(Data!K284),IF(AND(Data!K284&gt;(TODAY()-(Data_Val!$K$3*365.25)),Data!K284&lt;=(TODAY()-(Data_Val!$K$2*365.25))),0,1),1))</f>
        <v/>
      </c>
      <c r="L294" s="16" t="str">
        <f>IF(Data!G284="","",IF(Data!G284=Data_Val!$C$2,IF(Data!L284="",0,1),0))</f>
        <v/>
      </c>
      <c r="M294" s="16" t="str">
        <f>IF(Data!L284="","",IF(ISNUMBER(MATCH(Data!M284,Data_Val!$A$2:$A$3,0)),0,1))</f>
        <v/>
      </c>
      <c r="N294" s="43" t="str">
        <f ca="1">IF(Data!L284="","",IF(ISNUMBER(Data!N284),IF(AND(Data!N284&gt;(TODAY()-(Data_Val!$L$3*365.25)),Data!N284&lt;=(TODAY()-(Data_Val!$L$2*365.25))),0,1),1))</f>
        <v/>
      </c>
      <c r="O294" s="18" t="str">
        <f>IF(Data!$G284="","",IF(Data!$G284=Data_Val!$C$2,IF(Data!O284="",0,1),0))</f>
        <v/>
      </c>
      <c r="P294" s="18" t="str">
        <f>IF(Data!O284="","",IF(ISNUMBER(MATCH(Data!P284,Data_Val!$A$2:$A$3,0)),0,1))</f>
        <v/>
      </c>
      <c r="Q294" s="44" t="str">
        <f ca="1">IF(Data!O284="","",IF(ISNUMBER(Data!Q284),IF(AND(Data!Q284&gt;(TODAY()-(Data_Val!$L$3*365.25)),Data!Q284&lt;=(TODAY()-(Data_Val!$L$2*365.25))),0,1),1))</f>
        <v/>
      </c>
    </row>
    <row r="295" spans="1:17" ht="12" customHeight="1" x14ac:dyDescent="0.25">
      <c r="A295" s="36" t="str">
        <f>IF(Data!B285="","",IF(COUNTIFS(Data!A$1:'Data'!A285,Data!A285)&lt;=1,0,1))</f>
        <v/>
      </c>
      <c r="B295" s="36"/>
      <c r="C295" s="36" t="str">
        <f>IF(Data!C285="","",(IF(ISNUMBER(MATCH("*@*.?*",Data!C285,0)),0,1)+IF(COUNTIFS(Data!C$1:'Data'!C285,Data!C285)&gt;1,1,0)))</f>
        <v/>
      </c>
      <c r="D295" s="36" t="str">
        <f>IF(Data!B285="","",IF(ISNUMBER(Data!D285),IF(AND(Data!D285&gt;999999999,Data!D285&lt;=9999999999),IF(COUNTIFS(Data!D$1:'Data'!D285,Data!D285)&lt;=1,0,1),1),1))</f>
        <v/>
      </c>
      <c r="E295" s="36" t="str">
        <f>IF(Data!B285="","",IF(ISNUMBER(MATCH(Data!E285,Data_Val!$A$2:$A$3,0)),0,1))</f>
        <v/>
      </c>
      <c r="F295" s="36" t="str">
        <f ca="1">IF(Data!B285="","",IF(ISNUMBER(Data!F285),IF(AND(Data!F285&gt;(TODAY()-(Data_Val!$H$3*365.25)),Data!F285&lt;=(TODAY()-(Data_Val!$H$2*365.25))),0,1),1))</f>
        <v/>
      </c>
      <c r="G295" s="12" t="str">
        <f>IF(Data!B285="","",IF(AND(Data!G285="",Data!H285&lt;&gt;""),1,IF(ISNUMBER(MATCH(Data!G285,Data_Val!$C$2:$C$5,0)),0,1)))</f>
        <v/>
      </c>
      <c r="H295" s="12" t="str">
        <f>IF(Data!B285="","",IF(AND(Data!G285&lt;&gt;"",Data!H285=""),1,IF(Data!G285="",1,IF(ISNUMBER(MATCH(Data!H285,Data_Val!$D$2:$D$35,0)),0,1))))</f>
        <v/>
      </c>
      <c r="I295" s="38" t="str">
        <f>IF(Data!G285="","",IF(Data!G285=Data_Val!$C$2,IF(Data!I285="",0,1),0))</f>
        <v/>
      </c>
      <c r="J295" s="38" t="str">
        <f>IF(Data!I285="","",IF(ISNUMBER(MATCH(Data!J285,Data_Val!$A$2:$A$3,0)),0,1))</f>
        <v/>
      </c>
      <c r="K295" s="38" t="str">
        <f ca="1">IF(Data!I285="","",IF(ISNUMBER(Data!K285),IF(AND(Data!K285&gt;(TODAY()-(Data_Val!$K$3*365.25)),Data!K285&lt;=(TODAY()-(Data_Val!$K$2*365.25))),0,1),1))</f>
        <v/>
      </c>
      <c r="L295" s="16" t="str">
        <f>IF(Data!G285="","",IF(Data!G285=Data_Val!$C$2,IF(Data!L285="",0,1),0))</f>
        <v/>
      </c>
      <c r="M295" s="16" t="str">
        <f>IF(Data!L285="","",IF(ISNUMBER(MATCH(Data!M285,Data_Val!$A$2:$A$3,0)),0,1))</f>
        <v/>
      </c>
      <c r="N295" s="43" t="str">
        <f ca="1">IF(Data!L285="","",IF(ISNUMBER(Data!N285),IF(AND(Data!N285&gt;(TODAY()-(Data_Val!$L$3*365.25)),Data!N285&lt;=(TODAY()-(Data_Val!$L$2*365.25))),0,1),1))</f>
        <v/>
      </c>
      <c r="O295" s="18" t="str">
        <f>IF(Data!$G285="","",IF(Data!$G285=Data_Val!$C$2,IF(Data!O285="",0,1),0))</f>
        <v/>
      </c>
      <c r="P295" s="18" t="str">
        <f>IF(Data!O285="","",IF(ISNUMBER(MATCH(Data!P285,Data_Val!$A$2:$A$3,0)),0,1))</f>
        <v/>
      </c>
      <c r="Q295" s="44" t="str">
        <f ca="1">IF(Data!O285="","",IF(ISNUMBER(Data!Q285),IF(AND(Data!Q285&gt;(TODAY()-(Data_Val!$L$3*365.25)),Data!Q285&lt;=(TODAY()-(Data_Val!$L$2*365.25))),0,1),1))</f>
        <v/>
      </c>
    </row>
    <row r="296" spans="1:17" ht="12" customHeight="1" x14ac:dyDescent="0.25">
      <c r="A296" s="36" t="str">
        <f>IF(Data!B286="","",IF(COUNTIFS(Data!A$1:'Data'!A286,Data!A286)&lt;=1,0,1))</f>
        <v/>
      </c>
      <c r="B296" s="36"/>
      <c r="C296" s="36" t="str">
        <f>IF(Data!C286="","",(IF(ISNUMBER(MATCH("*@*.?*",Data!C286,0)),0,1)+IF(COUNTIFS(Data!C$1:'Data'!C286,Data!C286)&gt;1,1,0)))</f>
        <v/>
      </c>
      <c r="D296" s="36" t="str">
        <f>IF(Data!B286="","",IF(ISNUMBER(Data!D286),IF(AND(Data!D286&gt;999999999,Data!D286&lt;=9999999999),IF(COUNTIFS(Data!D$1:'Data'!D286,Data!D286)&lt;=1,0,1),1),1))</f>
        <v/>
      </c>
      <c r="E296" s="36" t="str">
        <f>IF(Data!B286="","",IF(ISNUMBER(MATCH(Data!E286,Data_Val!$A$2:$A$3,0)),0,1))</f>
        <v/>
      </c>
      <c r="F296" s="36" t="str">
        <f ca="1">IF(Data!B286="","",IF(ISNUMBER(Data!F286),IF(AND(Data!F286&gt;(TODAY()-(Data_Val!$H$3*365.25)),Data!F286&lt;=(TODAY()-(Data_Val!$H$2*365.25))),0,1),1))</f>
        <v/>
      </c>
      <c r="G296" s="12" t="str">
        <f>IF(Data!B286="","",IF(AND(Data!G286="",Data!H286&lt;&gt;""),1,IF(ISNUMBER(MATCH(Data!G286,Data_Val!$C$2:$C$5,0)),0,1)))</f>
        <v/>
      </c>
      <c r="H296" s="12" t="str">
        <f>IF(Data!B286="","",IF(AND(Data!G286&lt;&gt;"",Data!H286=""),1,IF(Data!G286="",1,IF(ISNUMBER(MATCH(Data!H286,Data_Val!$D$2:$D$35,0)),0,1))))</f>
        <v/>
      </c>
      <c r="I296" s="38" t="str">
        <f>IF(Data!G286="","",IF(Data!G286=Data_Val!$C$2,IF(Data!I286="",0,1),0))</f>
        <v/>
      </c>
      <c r="J296" s="38" t="str">
        <f>IF(Data!I286="","",IF(ISNUMBER(MATCH(Data!J286,Data_Val!$A$2:$A$3,0)),0,1))</f>
        <v/>
      </c>
      <c r="K296" s="38" t="str">
        <f ca="1">IF(Data!I286="","",IF(ISNUMBER(Data!K286),IF(AND(Data!K286&gt;(TODAY()-(Data_Val!$K$3*365.25)),Data!K286&lt;=(TODAY()-(Data_Val!$K$2*365.25))),0,1),1))</f>
        <v/>
      </c>
      <c r="L296" s="16" t="str">
        <f>IF(Data!G286="","",IF(Data!G286=Data_Val!$C$2,IF(Data!L286="",0,1),0))</f>
        <v/>
      </c>
      <c r="M296" s="16" t="str">
        <f>IF(Data!L286="","",IF(ISNUMBER(MATCH(Data!M286,Data_Val!$A$2:$A$3,0)),0,1))</f>
        <v/>
      </c>
      <c r="N296" s="43" t="str">
        <f ca="1">IF(Data!L286="","",IF(ISNUMBER(Data!N286),IF(AND(Data!N286&gt;(TODAY()-(Data_Val!$L$3*365.25)),Data!N286&lt;=(TODAY()-(Data_Val!$L$2*365.25))),0,1),1))</f>
        <v/>
      </c>
      <c r="O296" s="18" t="str">
        <f>IF(Data!$G286="","",IF(Data!$G286=Data_Val!$C$2,IF(Data!O286="",0,1),0))</f>
        <v/>
      </c>
      <c r="P296" s="18" t="str">
        <f>IF(Data!O286="","",IF(ISNUMBER(MATCH(Data!P286,Data_Val!$A$2:$A$3,0)),0,1))</f>
        <v/>
      </c>
      <c r="Q296" s="44" t="str">
        <f ca="1">IF(Data!O286="","",IF(ISNUMBER(Data!Q286),IF(AND(Data!Q286&gt;(TODAY()-(Data_Val!$L$3*365.25)),Data!Q286&lt;=(TODAY()-(Data_Val!$L$2*365.25))),0,1),1))</f>
        <v/>
      </c>
    </row>
    <row r="297" spans="1:17" ht="12" customHeight="1" x14ac:dyDescent="0.25">
      <c r="A297" s="36" t="str">
        <f>IF(Data!B287="","",IF(COUNTIFS(Data!A$1:'Data'!A287,Data!A287)&lt;=1,0,1))</f>
        <v/>
      </c>
      <c r="B297" s="36"/>
      <c r="C297" s="36" t="str">
        <f>IF(Data!C287="","",(IF(ISNUMBER(MATCH("*@*.?*",Data!C287,0)),0,1)+IF(COUNTIFS(Data!C$1:'Data'!C287,Data!C287)&gt;1,1,0)))</f>
        <v/>
      </c>
      <c r="D297" s="36" t="str">
        <f>IF(Data!B287="","",IF(ISNUMBER(Data!D287),IF(AND(Data!D287&gt;999999999,Data!D287&lt;=9999999999),IF(COUNTIFS(Data!D$1:'Data'!D287,Data!D287)&lt;=1,0,1),1),1))</f>
        <v/>
      </c>
      <c r="E297" s="36" t="str">
        <f>IF(Data!B287="","",IF(ISNUMBER(MATCH(Data!E287,Data_Val!$A$2:$A$3,0)),0,1))</f>
        <v/>
      </c>
      <c r="F297" s="36" t="str">
        <f ca="1">IF(Data!B287="","",IF(ISNUMBER(Data!F287),IF(AND(Data!F287&gt;(TODAY()-(Data_Val!$H$3*365.25)),Data!F287&lt;=(TODAY()-(Data_Val!$H$2*365.25))),0,1),1))</f>
        <v/>
      </c>
      <c r="G297" s="12" t="str">
        <f>IF(Data!B287="","",IF(AND(Data!G287="",Data!H287&lt;&gt;""),1,IF(ISNUMBER(MATCH(Data!G287,Data_Val!$C$2:$C$5,0)),0,1)))</f>
        <v/>
      </c>
      <c r="H297" s="12" t="str">
        <f>IF(Data!B287="","",IF(AND(Data!G287&lt;&gt;"",Data!H287=""),1,IF(Data!G287="",1,IF(ISNUMBER(MATCH(Data!H287,Data_Val!$D$2:$D$35,0)),0,1))))</f>
        <v/>
      </c>
      <c r="I297" s="38" t="str">
        <f>IF(Data!G287="","",IF(Data!G287=Data_Val!$C$2,IF(Data!I287="",0,1),0))</f>
        <v/>
      </c>
      <c r="J297" s="38" t="str">
        <f>IF(Data!I287="","",IF(ISNUMBER(MATCH(Data!J287,Data_Val!$A$2:$A$3,0)),0,1))</f>
        <v/>
      </c>
      <c r="K297" s="38" t="str">
        <f ca="1">IF(Data!I287="","",IF(ISNUMBER(Data!K287),IF(AND(Data!K287&gt;(TODAY()-(Data_Val!$K$3*365.25)),Data!K287&lt;=(TODAY()-(Data_Val!$K$2*365.25))),0,1),1))</f>
        <v/>
      </c>
      <c r="L297" s="16" t="str">
        <f>IF(Data!G287="","",IF(Data!G287=Data_Val!$C$2,IF(Data!L287="",0,1),0))</f>
        <v/>
      </c>
      <c r="M297" s="16" t="str">
        <f>IF(Data!L287="","",IF(ISNUMBER(MATCH(Data!M287,Data_Val!$A$2:$A$3,0)),0,1))</f>
        <v/>
      </c>
      <c r="N297" s="43" t="str">
        <f ca="1">IF(Data!L287="","",IF(ISNUMBER(Data!N287),IF(AND(Data!N287&gt;(TODAY()-(Data_Val!$L$3*365.25)),Data!N287&lt;=(TODAY()-(Data_Val!$L$2*365.25))),0,1),1))</f>
        <v/>
      </c>
      <c r="O297" s="18" t="str">
        <f>IF(Data!$G287="","",IF(Data!$G287=Data_Val!$C$2,IF(Data!O287="",0,1),0))</f>
        <v/>
      </c>
      <c r="P297" s="18" t="str">
        <f>IF(Data!O287="","",IF(ISNUMBER(MATCH(Data!P287,Data_Val!$A$2:$A$3,0)),0,1))</f>
        <v/>
      </c>
      <c r="Q297" s="44" t="str">
        <f ca="1">IF(Data!O287="","",IF(ISNUMBER(Data!Q287),IF(AND(Data!Q287&gt;(TODAY()-(Data_Val!$L$3*365.25)),Data!Q287&lt;=(TODAY()-(Data_Val!$L$2*365.25))),0,1),1))</f>
        <v/>
      </c>
    </row>
    <row r="298" spans="1:17" ht="12" customHeight="1" x14ac:dyDescent="0.25">
      <c r="A298" s="36" t="str">
        <f>IF(Data!B288="","",IF(COUNTIFS(Data!A$1:'Data'!A288,Data!A288)&lt;=1,0,1))</f>
        <v/>
      </c>
      <c r="B298" s="36"/>
      <c r="C298" s="36" t="str">
        <f>IF(Data!C288="","",(IF(ISNUMBER(MATCH("*@*.?*",Data!C288,0)),0,1)+IF(COUNTIFS(Data!C$1:'Data'!C288,Data!C288)&gt;1,1,0)))</f>
        <v/>
      </c>
      <c r="D298" s="36" t="str">
        <f>IF(Data!B288="","",IF(ISNUMBER(Data!D288),IF(AND(Data!D288&gt;999999999,Data!D288&lt;=9999999999),IF(COUNTIFS(Data!D$1:'Data'!D288,Data!D288)&lt;=1,0,1),1),1))</f>
        <v/>
      </c>
      <c r="E298" s="36" t="str">
        <f>IF(Data!B288="","",IF(ISNUMBER(MATCH(Data!E288,Data_Val!$A$2:$A$3,0)),0,1))</f>
        <v/>
      </c>
      <c r="F298" s="36" t="str">
        <f ca="1">IF(Data!B288="","",IF(ISNUMBER(Data!F288),IF(AND(Data!F288&gt;(TODAY()-(Data_Val!$H$3*365.25)),Data!F288&lt;=(TODAY()-(Data_Val!$H$2*365.25))),0,1),1))</f>
        <v/>
      </c>
      <c r="G298" s="12" t="str">
        <f>IF(Data!B288="","",IF(AND(Data!G288="",Data!H288&lt;&gt;""),1,IF(ISNUMBER(MATCH(Data!G288,Data_Val!$C$2:$C$5,0)),0,1)))</f>
        <v/>
      </c>
      <c r="H298" s="12" t="str">
        <f>IF(Data!B288="","",IF(AND(Data!G288&lt;&gt;"",Data!H288=""),1,IF(Data!G288="",1,IF(ISNUMBER(MATCH(Data!H288,Data_Val!$D$2:$D$35,0)),0,1))))</f>
        <v/>
      </c>
      <c r="I298" s="38" t="str">
        <f>IF(Data!G288="","",IF(Data!G288=Data_Val!$C$2,IF(Data!I288="",0,1),0))</f>
        <v/>
      </c>
      <c r="J298" s="38" t="str">
        <f>IF(Data!I288="","",IF(ISNUMBER(MATCH(Data!J288,Data_Val!$A$2:$A$3,0)),0,1))</f>
        <v/>
      </c>
      <c r="K298" s="38" t="str">
        <f ca="1">IF(Data!I288="","",IF(ISNUMBER(Data!K288),IF(AND(Data!K288&gt;(TODAY()-(Data_Val!$K$3*365.25)),Data!K288&lt;=(TODAY()-(Data_Val!$K$2*365.25))),0,1),1))</f>
        <v/>
      </c>
      <c r="L298" s="16" t="str">
        <f>IF(Data!G288="","",IF(Data!G288=Data_Val!$C$2,IF(Data!L288="",0,1),0))</f>
        <v/>
      </c>
      <c r="M298" s="16" t="str">
        <f>IF(Data!L288="","",IF(ISNUMBER(MATCH(Data!M288,Data_Val!$A$2:$A$3,0)),0,1))</f>
        <v/>
      </c>
      <c r="N298" s="43" t="str">
        <f ca="1">IF(Data!L288="","",IF(ISNUMBER(Data!N288),IF(AND(Data!N288&gt;(TODAY()-(Data_Val!$L$3*365.25)),Data!N288&lt;=(TODAY()-(Data_Val!$L$2*365.25))),0,1),1))</f>
        <v/>
      </c>
      <c r="O298" s="18" t="str">
        <f>IF(Data!$G288="","",IF(Data!$G288=Data_Val!$C$2,IF(Data!O288="",0,1),0))</f>
        <v/>
      </c>
      <c r="P298" s="18" t="str">
        <f>IF(Data!O288="","",IF(ISNUMBER(MATCH(Data!P288,Data_Val!$A$2:$A$3,0)),0,1))</f>
        <v/>
      </c>
      <c r="Q298" s="44" t="str">
        <f ca="1">IF(Data!O288="","",IF(ISNUMBER(Data!Q288),IF(AND(Data!Q288&gt;(TODAY()-(Data_Val!$L$3*365.25)),Data!Q288&lt;=(TODAY()-(Data_Val!$L$2*365.25))),0,1),1))</f>
        <v/>
      </c>
    </row>
    <row r="299" spans="1:17" ht="12" customHeight="1" x14ac:dyDescent="0.25">
      <c r="A299" s="36" t="str">
        <f>IF(Data!B289="","",IF(COUNTIFS(Data!A$1:'Data'!A289,Data!A289)&lt;=1,0,1))</f>
        <v/>
      </c>
      <c r="B299" s="36"/>
      <c r="C299" s="36" t="str">
        <f>IF(Data!C289="","",(IF(ISNUMBER(MATCH("*@*.?*",Data!C289,0)),0,1)+IF(COUNTIFS(Data!C$1:'Data'!C289,Data!C289)&gt;1,1,0)))</f>
        <v/>
      </c>
      <c r="D299" s="36" t="str">
        <f>IF(Data!B289="","",IF(ISNUMBER(Data!D289),IF(AND(Data!D289&gt;999999999,Data!D289&lt;=9999999999),IF(COUNTIFS(Data!D$1:'Data'!D289,Data!D289)&lt;=1,0,1),1),1))</f>
        <v/>
      </c>
      <c r="E299" s="36" t="str">
        <f>IF(Data!B289="","",IF(ISNUMBER(MATCH(Data!E289,Data_Val!$A$2:$A$3,0)),0,1))</f>
        <v/>
      </c>
      <c r="F299" s="36" t="str">
        <f ca="1">IF(Data!B289="","",IF(ISNUMBER(Data!F289),IF(AND(Data!F289&gt;(TODAY()-(Data_Val!$H$3*365.25)),Data!F289&lt;=(TODAY()-(Data_Val!$H$2*365.25))),0,1),1))</f>
        <v/>
      </c>
      <c r="G299" s="12" t="str">
        <f>IF(Data!B289="","",IF(AND(Data!G289="",Data!H289&lt;&gt;""),1,IF(ISNUMBER(MATCH(Data!G289,Data_Val!$C$2:$C$5,0)),0,1)))</f>
        <v/>
      </c>
      <c r="H299" s="12" t="str">
        <f>IF(Data!B289="","",IF(AND(Data!G289&lt;&gt;"",Data!H289=""),1,IF(Data!G289="",1,IF(ISNUMBER(MATCH(Data!H289,Data_Val!$D$2:$D$35,0)),0,1))))</f>
        <v/>
      </c>
      <c r="I299" s="38" t="str">
        <f>IF(Data!G289="","",IF(Data!G289=Data_Val!$C$2,IF(Data!I289="",0,1),0))</f>
        <v/>
      </c>
      <c r="J299" s="38" t="str">
        <f>IF(Data!I289="","",IF(ISNUMBER(MATCH(Data!J289,Data_Val!$A$2:$A$3,0)),0,1))</f>
        <v/>
      </c>
      <c r="K299" s="38" t="str">
        <f ca="1">IF(Data!I289="","",IF(ISNUMBER(Data!K289),IF(AND(Data!K289&gt;(TODAY()-(Data_Val!$K$3*365.25)),Data!K289&lt;=(TODAY()-(Data_Val!$K$2*365.25))),0,1),1))</f>
        <v/>
      </c>
      <c r="L299" s="16" t="str">
        <f>IF(Data!G289="","",IF(Data!G289=Data_Val!$C$2,IF(Data!L289="",0,1),0))</f>
        <v/>
      </c>
      <c r="M299" s="16" t="str">
        <f>IF(Data!L289="","",IF(ISNUMBER(MATCH(Data!M289,Data_Val!$A$2:$A$3,0)),0,1))</f>
        <v/>
      </c>
      <c r="N299" s="43" t="str">
        <f ca="1">IF(Data!L289="","",IF(ISNUMBER(Data!N289),IF(AND(Data!N289&gt;(TODAY()-(Data_Val!$L$3*365.25)),Data!N289&lt;=(TODAY()-(Data_Val!$L$2*365.25))),0,1),1))</f>
        <v/>
      </c>
      <c r="O299" s="18" t="str">
        <f>IF(Data!$G289="","",IF(Data!$G289=Data_Val!$C$2,IF(Data!O289="",0,1),0))</f>
        <v/>
      </c>
      <c r="P299" s="18" t="str">
        <f>IF(Data!O289="","",IF(ISNUMBER(MATCH(Data!P289,Data_Val!$A$2:$A$3,0)),0,1))</f>
        <v/>
      </c>
      <c r="Q299" s="44" t="str">
        <f ca="1">IF(Data!O289="","",IF(ISNUMBER(Data!Q289),IF(AND(Data!Q289&gt;(TODAY()-(Data_Val!$L$3*365.25)),Data!Q289&lt;=(TODAY()-(Data_Val!$L$2*365.25))),0,1),1))</f>
        <v/>
      </c>
    </row>
    <row r="300" spans="1:17" ht="12" customHeight="1" x14ac:dyDescent="0.25">
      <c r="A300" s="36" t="str">
        <f>IF(Data!B290="","",IF(COUNTIFS(Data!A$1:'Data'!A290,Data!A290)&lt;=1,0,1))</f>
        <v/>
      </c>
      <c r="B300" s="36"/>
      <c r="C300" s="36" t="str">
        <f>IF(Data!C290="","",(IF(ISNUMBER(MATCH("*@*.?*",Data!C290,0)),0,1)+IF(COUNTIFS(Data!C$1:'Data'!C290,Data!C290)&gt;1,1,0)))</f>
        <v/>
      </c>
      <c r="D300" s="36" t="str">
        <f>IF(Data!B290="","",IF(ISNUMBER(Data!D290),IF(AND(Data!D290&gt;999999999,Data!D290&lt;=9999999999),IF(COUNTIFS(Data!D$1:'Data'!D290,Data!D290)&lt;=1,0,1),1),1))</f>
        <v/>
      </c>
      <c r="E300" s="36" t="str">
        <f>IF(Data!B290="","",IF(ISNUMBER(MATCH(Data!E290,Data_Val!$A$2:$A$3,0)),0,1))</f>
        <v/>
      </c>
      <c r="F300" s="36" t="str">
        <f ca="1">IF(Data!B290="","",IF(ISNUMBER(Data!F290),IF(AND(Data!F290&gt;(TODAY()-(Data_Val!$H$3*365.25)),Data!F290&lt;=(TODAY()-(Data_Val!$H$2*365.25))),0,1),1))</f>
        <v/>
      </c>
      <c r="G300" s="12" t="str">
        <f>IF(Data!B290="","",IF(AND(Data!G290="",Data!H290&lt;&gt;""),1,IF(ISNUMBER(MATCH(Data!G290,Data_Val!$C$2:$C$5,0)),0,1)))</f>
        <v/>
      </c>
      <c r="H300" s="12" t="str">
        <f>IF(Data!B290="","",IF(AND(Data!G290&lt;&gt;"",Data!H290=""),1,IF(Data!G290="",1,IF(ISNUMBER(MATCH(Data!H290,Data_Val!$D$2:$D$35,0)),0,1))))</f>
        <v/>
      </c>
      <c r="I300" s="38" t="str">
        <f>IF(Data!G290="","",IF(Data!G290=Data_Val!$C$2,IF(Data!I290="",0,1),0))</f>
        <v/>
      </c>
      <c r="J300" s="38" t="str">
        <f>IF(Data!I290="","",IF(ISNUMBER(MATCH(Data!J290,Data_Val!$A$2:$A$3,0)),0,1))</f>
        <v/>
      </c>
      <c r="K300" s="38" t="str">
        <f ca="1">IF(Data!I290="","",IF(ISNUMBER(Data!K290),IF(AND(Data!K290&gt;(TODAY()-(Data_Val!$K$3*365.25)),Data!K290&lt;=(TODAY()-(Data_Val!$K$2*365.25))),0,1),1))</f>
        <v/>
      </c>
      <c r="L300" s="16" t="str">
        <f>IF(Data!G290="","",IF(Data!G290=Data_Val!$C$2,IF(Data!L290="",0,1),0))</f>
        <v/>
      </c>
      <c r="M300" s="16" t="str">
        <f>IF(Data!L290="","",IF(ISNUMBER(MATCH(Data!M290,Data_Val!$A$2:$A$3,0)),0,1))</f>
        <v/>
      </c>
      <c r="N300" s="43" t="str">
        <f ca="1">IF(Data!L290="","",IF(ISNUMBER(Data!N290),IF(AND(Data!N290&gt;(TODAY()-(Data_Val!$L$3*365.25)),Data!N290&lt;=(TODAY()-(Data_Val!$L$2*365.25))),0,1),1))</f>
        <v/>
      </c>
      <c r="O300" s="18" t="str">
        <f>IF(Data!$G290="","",IF(Data!$G290=Data_Val!$C$2,IF(Data!O290="",0,1),0))</f>
        <v/>
      </c>
      <c r="P300" s="18" t="str">
        <f>IF(Data!O290="","",IF(ISNUMBER(MATCH(Data!P290,Data_Val!$A$2:$A$3,0)),0,1))</f>
        <v/>
      </c>
      <c r="Q300" s="44" t="str">
        <f ca="1">IF(Data!O290="","",IF(ISNUMBER(Data!Q290),IF(AND(Data!Q290&gt;(TODAY()-(Data_Val!$L$3*365.25)),Data!Q290&lt;=(TODAY()-(Data_Val!$L$2*365.25))),0,1),1))</f>
        <v/>
      </c>
    </row>
    <row r="301" spans="1:17" ht="12" customHeight="1" x14ac:dyDescent="0.25">
      <c r="A301" s="36" t="str">
        <f>IF(Data!B291="","",IF(COUNTIFS(Data!A$1:'Data'!A291,Data!A291)&lt;=1,0,1))</f>
        <v/>
      </c>
      <c r="B301" s="36"/>
      <c r="C301" s="36" t="str">
        <f>IF(Data!C291="","",(IF(ISNUMBER(MATCH("*@*.?*",Data!C291,0)),0,1)+IF(COUNTIFS(Data!C$1:'Data'!C291,Data!C291)&gt;1,1,0)))</f>
        <v/>
      </c>
      <c r="D301" s="36" t="str">
        <f>IF(Data!B291="","",IF(ISNUMBER(Data!D291),IF(AND(Data!D291&gt;999999999,Data!D291&lt;=9999999999),IF(COUNTIFS(Data!D$1:'Data'!D291,Data!D291)&lt;=1,0,1),1),1))</f>
        <v/>
      </c>
      <c r="E301" s="36" t="str">
        <f>IF(Data!B291="","",IF(ISNUMBER(MATCH(Data!E291,Data_Val!$A$2:$A$3,0)),0,1))</f>
        <v/>
      </c>
      <c r="F301" s="36" t="str">
        <f ca="1">IF(Data!B291="","",IF(ISNUMBER(Data!F291),IF(AND(Data!F291&gt;(TODAY()-(Data_Val!$H$3*365.25)),Data!F291&lt;=(TODAY()-(Data_Val!$H$2*365.25))),0,1),1))</f>
        <v/>
      </c>
      <c r="G301" s="12" t="str">
        <f>IF(Data!B291="","",IF(AND(Data!G291="",Data!H291&lt;&gt;""),1,IF(ISNUMBER(MATCH(Data!G291,Data_Val!$C$2:$C$5,0)),0,1)))</f>
        <v/>
      </c>
      <c r="H301" s="12" t="str">
        <f>IF(Data!B291="","",IF(AND(Data!G291&lt;&gt;"",Data!H291=""),1,IF(Data!G291="",1,IF(ISNUMBER(MATCH(Data!H291,Data_Val!$D$2:$D$35,0)),0,1))))</f>
        <v/>
      </c>
      <c r="I301" s="38" t="str">
        <f>IF(Data!G291="","",IF(Data!G291=Data_Val!$C$2,IF(Data!I291="",0,1),0))</f>
        <v/>
      </c>
      <c r="J301" s="38" t="str">
        <f>IF(Data!I291="","",IF(ISNUMBER(MATCH(Data!J291,Data_Val!$A$2:$A$3,0)),0,1))</f>
        <v/>
      </c>
      <c r="K301" s="38" t="str">
        <f ca="1">IF(Data!I291="","",IF(ISNUMBER(Data!K291),IF(AND(Data!K291&gt;(TODAY()-(Data_Val!$K$3*365.25)),Data!K291&lt;=(TODAY()-(Data_Val!$K$2*365.25))),0,1),1))</f>
        <v/>
      </c>
      <c r="L301" s="16" t="str">
        <f>IF(Data!G291="","",IF(Data!G291=Data_Val!$C$2,IF(Data!L291="",0,1),0))</f>
        <v/>
      </c>
      <c r="M301" s="16" t="str">
        <f>IF(Data!L291="","",IF(ISNUMBER(MATCH(Data!M291,Data_Val!$A$2:$A$3,0)),0,1))</f>
        <v/>
      </c>
      <c r="N301" s="43" t="str">
        <f ca="1">IF(Data!L291="","",IF(ISNUMBER(Data!N291),IF(AND(Data!N291&gt;(TODAY()-(Data_Val!$L$3*365.25)),Data!N291&lt;=(TODAY()-(Data_Val!$L$2*365.25))),0,1),1))</f>
        <v/>
      </c>
      <c r="O301" s="18" t="str">
        <f>IF(Data!$G291="","",IF(Data!$G291=Data_Val!$C$2,IF(Data!O291="",0,1),0))</f>
        <v/>
      </c>
      <c r="P301" s="18" t="str">
        <f>IF(Data!O291="","",IF(ISNUMBER(MATCH(Data!P291,Data_Val!$A$2:$A$3,0)),0,1))</f>
        <v/>
      </c>
      <c r="Q301" s="44" t="str">
        <f ca="1">IF(Data!O291="","",IF(ISNUMBER(Data!Q291),IF(AND(Data!Q291&gt;(TODAY()-(Data_Val!$L$3*365.25)),Data!Q291&lt;=(TODAY()-(Data_Val!$L$2*365.25))),0,1),1))</f>
        <v/>
      </c>
    </row>
    <row r="302" spans="1:17" ht="12" customHeight="1" x14ac:dyDescent="0.25">
      <c r="A302" s="36" t="str">
        <f>IF(Data!B292="","",IF(COUNTIFS(Data!A$1:'Data'!A292,Data!A292)&lt;=1,0,1))</f>
        <v/>
      </c>
      <c r="B302" s="36"/>
      <c r="C302" s="36" t="str">
        <f>IF(Data!C292="","",(IF(ISNUMBER(MATCH("*@*.?*",Data!C292,0)),0,1)+IF(COUNTIFS(Data!C$1:'Data'!C292,Data!C292)&gt;1,1,0)))</f>
        <v/>
      </c>
      <c r="D302" s="36" t="str">
        <f>IF(Data!B292="","",IF(ISNUMBER(Data!D292),IF(AND(Data!D292&gt;999999999,Data!D292&lt;=9999999999),IF(COUNTIFS(Data!D$1:'Data'!D292,Data!D292)&lt;=1,0,1),1),1))</f>
        <v/>
      </c>
      <c r="E302" s="36" t="str">
        <f>IF(Data!B292="","",IF(ISNUMBER(MATCH(Data!E292,Data_Val!$A$2:$A$3,0)),0,1))</f>
        <v/>
      </c>
      <c r="F302" s="36" t="str">
        <f ca="1">IF(Data!B292="","",IF(ISNUMBER(Data!F292),IF(AND(Data!F292&gt;(TODAY()-(Data_Val!$H$3*365.25)),Data!F292&lt;=(TODAY()-(Data_Val!$H$2*365.25))),0,1),1))</f>
        <v/>
      </c>
      <c r="G302" s="12" t="str">
        <f>IF(Data!B292="","",IF(AND(Data!G292="",Data!H292&lt;&gt;""),1,IF(ISNUMBER(MATCH(Data!G292,Data_Val!$C$2:$C$5,0)),0,1)))</f>
        <v/>
      </c>
      <c r="H302" s="12" t="str">
        <f>IF(Data!B292="","",IF(AND(Data!G292&lt;&gt;"",Data!H292=""),1,IF(Data!G292="",1,IF(ISNUMBER(MATCH(Data!H292,Data_Val!$D$2:$D$35,0)),0,1))))</f>
        <v/>
      </c>
      <c r="I302" s="38" t="str">
        <f>IF(Data!G292="","",IF(Data!G292=Data_Val!$C$2,IF(Data!I292="",0,1),0))</f>
        <v/>
      </c>
      <c r="J302" s="38" t="str">
        <f>IF(Data!I292="","",IF(ISNUMBER(MATCH(Data!J292,Data_Val!$A$2:$A$3,0)),0,1))</f>
        <v/>
      </c>
      <c r="K302" s="38" t="str">
        <f ca="1">IF(Data!I292="","",IF(ISNUMBER(Data!K292),IF(AND(Data!K292&gt;(TODAY()-(Data_Val!$K$3*365.25)),Data!K292&lt;=(TODAY()-(Data_Val!$K$2*365.25))),0,1),1))</f>
        <v/>
      </c>
      <c r="L302" s="16" t="str">
        <f>IF(Data!G292="","",IF(Data!G292=Data_Val!$C$2,IF(Data!L292="",0,1),0))</f>
        <v/>
      </c>
      <c r="M302" s="16" t="str">
        <f>IF(Data!L292="","",IF(ISNUMBER(MATCH(Data!M292,Data_Val!$A$2:$A$3,0)),0,1))</f>
        <v/>
      </c>
      <c r="N302" s="43" t="str">
        <f ca="1">IF(Data!L292="","",IF(ISNUMBER(Data!N292),IF(AND(Data!N292&gt;(TODAY()-(Data_Val!$L$3*365.25)),Data!N292&lt;=(TODAY()-(Data_Val!$L$2*365.25))),0,1),1))</f>
        <v/>
      </c>
      <c r="O302" s="18" t="str">
        <f>IF(Data!$G292="","",IF(Data!$G292=Data_Val!$C$2,IF(Data!O292="",0,1),0))</f>
        <v/>
      </c>
      <c r="P302" s="18" t="str">
        <f>IF(Data!O292="","",IF(ISNUMBER(MATCH(Data!P292,Data_Val!$A$2:$A$3,0)),0,1))</f>
        <v/>
      </c>
      <c r="Q302" s="44" t="str">
        <f ca="1">IF(Data!O292="","",IF(ISNUMBER(Data!Q292),IF(AND(Data!Q292&gt;(TODAY()-(Data_Val!$L$3*365.25)),Data!Q292&lt;=(TODAY()-(Data_Val!$L$2*365.25))),0,1),1))</f>
        <v/>
      </c>
    </row>
    <row r="303" spans="1:17" ht="12" customHeight="1" x14ac:dyDescent="0.25">
      <c r="A303" s="36" t="str">
        <f>IF(Data!B293="","",IF(COUNTIFS(Data!A$1:'Data'!A293,Data!A293)&lt;=1,0,1))</f>
        <v/>
      </c>
      <c r="B303" s="36"/>
      <c r="C303" s="36" t="str">
        <f>IF(Data!C293="","",(IF(ISNUMBER(MATCH("*@*.?*",Data!C293,0)),0,1)+IF(COUNTIFS(Data!C$1:'Data'!C293,Data!C293)&gt;1,1,0)))</f>
        <v/>
      </c>
      <c r="D303" s="36" t="str">
        <f>IF(Data!B293="","",IF(ISNUMBER(Data!D293),IF(AND(Data!D293&gt;999999999,Data!D293&lt;=9999999999),IF(COUNTIFS(Data!D$1:'Data'!D293,Data!D293)&lt;=1,0,1),1),1))</f>
        <v/>
      </c>
      <c r="E303" s="36" t="str">
        <f>IF(Data!B293="","",IF(ISNUMBER(MATCH(Data!E293,Data_Val!$A$2:$A$3,0)),0,1))</f>
        <v/>
      </c>
      <c r="F303" s="36" t="str">
        <f ca="1">IF(Data!B293="","",IF(ISNUMBER(Data!F293),IF(AND(Data!F293&gt;(TODAY()-(Data_Val!$H$3*365.25)),Data!F293&lt;=(TODAY()-(Data_Val!$H$2*365.25))),0,1),1))</f>
        <v/>
      </c>
      <c r="G303" s="12" t="str">
        <f>IF(Data!B293="","",IF(AND(Data!G293="",Data!H293&lt;&gt;""),1,IF(ISNUMBER(MATCH(Data!G293,Data_Val!$C$2:$C$5,0)),0,1)))</f>
        <v/>
      </c>
      <c r="H303" s="12" t="str">
        <f>IF(Data!B293="","",IF(AND(Data!G293&lt;&gt;"",Data!H293=""),1,IF(Data!G293="",1,IF(ISNUMBER(MATCH(Data!H293,Data_Val!$D$2:$D$35,0)),0,1))))</f>
        <v/>
      </c>
      <c r="I303" s="38" t="str">
        <f>IF(Data!G293="","",IF(Data!G293=Data_Val!$C$2,IF(Data!I293="",0,1),0))</f>
        <v/>
      </c>
      <c r="J303" s="38" t="str">
        <f>IF(Data!I293="","",IF(ISNUMBER(MATCH(Data!J293,Data_Val!$A$2:$A$3,0)),0,1))</f>
        <v/>
      </c>
      <c r="K303" s="38" t="str">
        <f ca="1">IF(Data!I293="","",IF(ISNUMBER(Data!K293),IF(AND(Data!K293&gt;(TODAY()-(Data_Val!$K$3*365.25)),Data!K293&lt;=(TODAY()-(Data_Val!$K$2*365.25))),0,1),1))</f>
        <v/>
      </c>
      <c r="L303" s="16" t="str">
        <f>IF(Data!G293="","",IF(Data!G293=Data_Val!$C$2,IF(Data!L293="",0,1),0))</f>
        <v/>
      </c>
      <c r="M303" s="16" t="str">
        <f>IF(Data!L293="","",IF(ISNUMBER(MATCH(Data!M293,Data_Val!$A$2:$A$3,0)),0,1))</f>
        <v/>
      </c>
      <c r="N303" s="43" t="str">
        <f ca="1">IF(Data!L293="","",IF(ISNUMBER(Data!N293),IF(AND(Data!N293&gt;(TODAY()-(Data_Val!$L$3*365.25)),Data!N293&lt;=(TODAY()-(Data_Val!$L$2*365.25))),0,1),1))</f>
        <v/>
      </c>
      <c r="O303" s="18" t="str">
        <f>IF(Data!$G293="","",IF(Data!$G293=Data_Val!$C$2,IF(Data!O293="",0,1),0))</f>
        <v/>
      </c>
      <c r="P303" s="18" t="str">
        <f>IF(Data!O293="","",IF(ISNUMBER(MATCH(Data!P293,Data_Val!$A$2:$A$3,0)),0,1))</f>
        <v/>
      </c>
      <c r="Q303" s="44" t="str">
        <f ca="1">IF(Data!O293="","",IF(ISNUMBER(Data!Q293),IF(AND(Data!Q293&gt;(TODAY()-(Data_Val!$L$3*365.25)),Data!Q293&lt;=(TODAY()-(Data_Val!$L$2*365.25))),0,1),1))</f>
        <v/>
      </c>
    </row>
    <row r="304" spans="1:17" ht="12" customHeight="1" x14ac:dyDescent="0.25">
      <c r="A304" s="36" t="str">
        <f>IF(Data!B294="","",IF(COUNTIFS(Data!A$1:'Data'!A294,Data!A294)&lt;=1,0,1))</f>
        <v/>
      </c>
      <c r="B304" s="36"/>
      <c r="C304" s="36" t="str">
        <f>IF(Data!C294="","",(IF(ISNUMBER(MATCH("*@*.?*",Data!C294,0)),0,1)+IF(COUNTIFS(Data!C$1:'Data'!C294,Data!C294)&gt;1,1,0)))</f>
        <v/>
      </c>
      <c r="D304" s="36" t="str">
        <f>IF(Data!B294="","",IF(ISNUMBER(Data!D294),IF(AND(Data!D294&gt;999999999,Data!D294&lt;=9999999999),IF(COUNTIFS(Data!D$1:'Data'!D294,Data!D294)&lt;=1,0,1),1),1))</f>
        <v/>
      </c>
      <c r="E304" s="36" t="str">
        <f>IF(Data!B294="","",IF(ISNUMBER(MATCH(Data!E294,Data_Val!$A$2:$A$3,0)),0,1))</f>
        <v/>
      </c>
      <c r="F304" s="36" t="str">
        <f ca="1">IF(Data!B294="","",IF(ISNUMBER(Data!F294),IF(AND(Data!F294&gt;(TODAY()-(Data_Val!$H$3*365.25)),Data!F294&lt;=(TODAY()-(Data_Val!$H$2*365.25))),0,1),1))</f>
        <v/>
      </c>
      <c r="G304" s="12" t="str">
        <f>IF(Data!B294="","",IF(AND(Data!G294="",Data!H294&lt;&gt;""),1,IF(ISNUMBER(MATCH(Data!G294,Data_Val!$C$2:$C$5,0)),0,1)))</f>
        <v/>
      </c>
      <c r="H304" s="12" t="str">
        <f>IF(Data!B294="","",IF(AND(Data!G294&lt;&gt;"",Data!H294=""),1,IF(Data!G294="",1,IF(ISNUMBER(MATCH(Data!H294,Data_Val!$D$2:$D$35,0)),0,1))))</f>
        <v/>
      </c>
      <c r="I304" s="38" t="str">
        <f>IF(Data!G294="","",IF(Data!G294=Data_Val!$C$2,IF(Data!I294="",0,1),0))</f>
        <v/>
      </c>
      <c r="J304" s="38" t="str">
        <f>IF(Data!I294="","",IF(ISNUMBER(MATCH(Data!J294,Data_Val!$A$2:$A$3,0)),0,1))</f>
        <v/>
      </c>
      <c r="K304" s="38" t="str">
        <f ca="1">IF(Data!I294="","",IF(ISNUMBER(Data!K294),IF(AND(Data!K294&gt;(TODAY()-(Data_Val!$K$3*365.25)),Data!K294&lt;=(TODAY()-(Data_Val!$K$2*365.25))),0,1),1))</f>
        <v/>
      </c>
      <c r="L304" s="16" t="str">
        <f>IF(Data!G294="","",IF(Data!G294=Data_Val!$C$2,IF(Data!L294="",0,1),0))</f>
        <v/>
      </c>
      <c r="M304" s="16" t="str">
        <f>IF(Data!L294="","",IF(ISNUMBER(MATCH(Data!M294,Data_Val!$A$2:$A$3,0)),0,1))</f>
        <v/>
      </c>
      <c r="N304" s="43" t="str">
        <f ca="1">IF(Data!L294="","",IF(ISNUMBER(Data!N294),IF(AND(Data!N294&gt;(TODAY()-(Data_Val!$L$3*365.25)),Data!N294&lt;=(TODAY()-(Data_Val!$L$2*365.25))),0,1),1))</f>
        <v/>
      </c>
      <c r="O304" s="18" t="str">
        <f>IF(Data!$G294="","",IF(Data!$G294=Data_Val!$C$2,IF(Data!O294="",0,1),0))</f>
        <v/>
      </c>
      <c r="P304" s="18" t="str">
        <f>IF(Data!O294="","",IF(ISNUMBER(MATCH(Data!P294,Data_Val!$A$2:$A$3,0)),0,1))</f>
        <v/>
      </c>
      <c r="Q304" s="44" t="str">
        <f ca="1">IF(Data!O294="","",IF(ISNUMBER(Data!Q294),IF(AND(Data!Q294&gt;(TODAY()-(Data_Val!$L$3*365.25)),Data!Q294&lt;=(TODAY()-(Data_Val!$L$2*365.25))),0,1),1))</f>
        <v/>
      </c>
    </row>
    <row r="305" spans="1:17" ht="12" customHeight="1" x14ac:dyDescent="0.25">
      <c r="A305" s="36" t="str">
        <f>IF(Data!B295="","",IF(COUNTIFS(Data!A$1:'Data'!A295,Data!A295)&lt;=1,0,1))</f>
        <v/>
      </c>
      <c r="B305" s="36"/>
      <c r="C305" s="36" t="str">
        <f>IF(Data!C295="","",(IF(ISNUMBER(MATCH("*@*.?*",Data!C295,0)),0,1)+IF(COUNTIFS(Data!C$1:'Data'!C295,Data!C295)&gt;1,1,0)))</f>
        <v/>
      </c>
      <c r="D305" s="36" t="str">
        <f>IF(Data!B295="","",IF(ISNUMBER(Data!D295),IF(AND(Data!D295&gt;999999999,Data!D295&lt;=9999999999),IF(COUNTIFS(Data!D$1:'Data'!D295,Data!D295)&lt;=1,0,1),1),1))</f>
        <v/>
      </c>
      <c r="E305" s="36" t="str">
        <f>IF(Data!B295="","",IF(ISNUMBER(MATCH(Data!E295,Data_Val!$A$2:$A$3,0)),0,1))</f>
        <v/>
      </c>
      <c r="F305" s="36" t="str">
        <f ca="1">IF(Data!B295="","",IF(ISNUMBER(Data!F295),IF(AND(Data!F295&gt;(TODAY()-(Data_Val!$H$3*365.25)),Data!F295&lt;=(TODAY()-(Data_Val!$H$2*365.25))),0,1),1))</f>
        <v/>
      </c>
      <c r="G305" s="12" t="str">
        <f>IF(Data!B295="","",IF(AND(Data!G295="",Data!H295&lt;&gt;""),1,IF(ISNUMBER(MATCH(Data!G295,Data_Val!$C$2:$C$5,0)),0,1)))</f>
        <v/>
      </c>
      <c r="H305" s="12" t="str">
        <f>IF(Data!B295="","",IF(AND(Data!G295&lt;&gt;"",Data!H295=""),1,IF(Data!G295="",1,IF(ISNUMBER(MATCH(Data!H295,Data_Val!$D$2:$D$35,0)),0,1))))</f>
        <v/>
      </c>
      <c r="I305" s="38" t="str">
        <f>IF(Data!G295="","",IF(Data!G295=Data_Val!$C$2,IF(Data!I295="",0,1),0))</f>
        <v/>
      </c>
      <c r="J305" s="38" t="str">
        <f>IF(Data!I295="","",IF(ISNUMBER(MATCH(Data!J295,Data_Val!$A$2:$A$3,0)),0,1))</f>
        <v/>
      </c>
      <c r="K305" s="38" t="str">
        <f ca="1">IF(Data!I295="","",IF(ISNUMBER(Data!K295),IF(AND(Data!K295&gt;(TODAY()-(Data_Val!$K$3*365.25)),Data!K295&lt;=(TODAY()-(Data_Val!$K$2*365.25))),0,1),1))</f>
        <v/>
      </c>
      <c r="L305" s="16" t="str">
        <f>IF(Data!G295="","",IF(Data!G295=Data_Val!$C$2,IF(Data!L295="",0,1),0))</f>
        <v/>
      </c>
      <c r="M305" s="16" t="str">
        <f>IF(Data!L295="","",IF(ISNUMBER(MATCH(Data!M295,Data_Val!$A$2:$A$3,0)),0,1))</f>
        <v/>
      </c>
      <c r="N305" s="43" t="str">
        <f ca="1">IF(Data!L295="","",IF(ISNUMBER(Data!N295),IF(AND(Data!N295&gt;(TODAY()-(Data_Val!$L$3*365.25)),Data!N295&lt;=(TODAY()-(Data_Val!$L$2*365.25))),0,1),1))</f>
        <v/>
      </c>
      <c r="O305" s="18" t="str">
        <f>IF(Data!$G295="","",IF(Data!$G295=Data_Val!$C$2,IF(Data!O295="",0,1),0))</f>
        <v/>
      </c>
      <c r="P305" s="18" t="str">
        <f>IF(Data!O295="","",IF(ISNUMBER(MATCH(Data!P295,Data_Val!$A$2:$A$3,0)),0,1))</f>
        <v/>
      </c>
      <c r="Q305" s="44" t="str">
        <f ca="1">IF(Data!O295="","",IF(ISNUMBER(Data!Q295),IF(AND(Data!Q295&gt;(TODAY()-(Data_Val!$L$3*365.25)),Data!Q295&lt;=(TODAY()-(Data_Val!$L$2*365.25))),0,1),1))</f>
        <v/>
      </c>
    </row>
    <row r="306" spans="1:17" ht="12" customHeight="1" x14ac:dyDescent="0.25">
      <c r="A306" s="36" t="str">
        <f>IF(Data!B296="","",IF(COUNTIFS(Data!A$1:'Data'!A296,Data!A296)&lt;=1,0,1))</f>
        <v/>
      </c>
      <c r="B306" s="36"/>
      <c r="C306" s="36" t="str">
        <f>IF(Data!C296="","",(IF(ISNUMBER(MATCH("*@*.?*",Data!C296,0)),0,1)+IF(COUNTIFS(Data!C$1:'Data'!C296,Data!C296)&gt;1,1,0)))</f>
        <v/>
      </c>
      <c r="D306" s="36" t="str">
        <f>IF(Data!B296="","",IF(ISNUMBER(Data!D296),IF(AND(Data!D296&gt;999999999,Data!D296&lt;=9999999999),IF(COUNTIFS(Data!D$1:'Data'!D296,Data!D296)&lt;=1,0,1),1),1))</f>
        <v/>
      </c>
      <c r="E306" s="36" t="str">
        <f>IF(Data!B296="","",IF(ISNUMBER(MATCH(Data!E296,Data_Val!$A$2:$A$3,0)),0,1))</f>
        <v/>
      </c>
      <c r="F306" s="36" t="str">
        <f ca="1">IF(Data!B296="","",IF(ISNUMBER(Data!F296),IF(AND(Data!F296&gt;(TODAY()-(Data_Val!$H$3*365.25)),Data!F296&lt;=(TODAY()-(Data_Val!$H$2*365.25))),0,1),1))</f>
        <v/>
      </c>
      <c r="G306" s="12" t="str">
        <f>IF(Data!B296="","",IF(AND(Data!G296="",Data!H296&lt;&gt;""),1,IF(ISNUMBER(MATCH(Data!G296,Data_Val!$C$2:$C$5,0)),0,1)))</f>
        <v/>
      </c>
      <c r="H306" s="12" t="str">
        <f>IF(Data!B296="","",IF(AND(Data!G296&lt;&gt;"",Data!H296=""),1,IF(Data!G296="",1,IF(ISNUMBER(MATCH(Data!H296,Data_Val!$D$2:$D$35,0)),0,1))))</f>
        <v/>
      </c>
      <c r="I306" s="38" t="str">
        <f>IF(Data!G296="","",IF(Data!G296=Data_Val!$C$2,IF(Data!I296="",0,1),0))</f>
        <v/>
      </c>
      <c r="J306" s="38" t="str">
        <f>IF(Data!I296="","",IF(ISNUMBER(MATCH(Data!J296,Data_Val!$A$2:$A$3,0)),0,1))</f>
        <v/>
      </c>
      <c r="K306" s="38" t="str">
        <f ca="1">IF(Data!I296="","",IF(ISNUMBER(Data!K296),IF(AND(Data!K296&gt;(TODAY()-(Data_Val!$K$3*365.25)),Data!K296&lt;=(TODAY()-(Data_Val!$K$2*365.25))),0,1),1))</f>
        <v/>
      </c>
      <c r="L306" s="16" t="str">
        <f>IF(Data!G296="","",IF(Data!G296=Data_Val!$C$2,IF(Data!L296="",0,1),0))</f>
        <v/>
      </c>
      <c r="M306" s="16" t="str">
        <f>IF(Data!L296="","",IF(ISNUMBER(MATCH(Data!M296,Data_Val!$A$2:$A$3,0)),0,1))</f>
        <v/>
      </c>
      <c r="N306" s="43" t="str">
        <f ca="1">IF(Data!L296="","",IF(ISNUMBER(Data!N296),IF(AND(Data!N296&gt;(TODAY()-(Data_Val!$L$3*365.25)),Data!N296&lt;=(TODAY()-(Data_Val!$L$2*365.25))),0,1),1))</f>
        <v/>
      </c>
      <c r="O306" s="18" t="str">
        <f>IF(Data!$G296="","",IF(Data!$G296=Data_Val!$C$2,IF(Data!O296="",0,1),0))</f>
        <v/>
      </c>
      <c r="P306" s="18" t="str">
        <f>IF(Data!O296="","",IF(ISNUMBER(MATCH(Data!P296,Data_Val!$A$2:$A$3,0)),0,1))</f>
        <v/>
      </c>
      <c r="Q306" s="44" t="str">
        <f ca="1">IF(Data!O296="","",IF(ISNUMBER(Data!Q296),IF(AND(Data!Q296&gt;(TODAY()-(Data_Val!$L$3*365.25)),Data!Q296&lt;=(TODAY()-(Data_Val!$L$2*365.25))),0,1),1))</f>
        <v/>
      </c>
    </row>
    <row r="307" spans="1:17" ht="12" customHeight="1" x14ac:dyDescent="0.25">
      <c r="A307" s="36" t="str">
        <f>IF(Data!B297="","",IF(COUNTIFS(Data!A$1:'Data'!A297,Data!A297)&lt;=1,0,1))</f>
        <v/>
      </c>
      <c r="B307" s="36"/>
      <c r="C307" s="36" t="str">
        <f>IF(Data!C297="","",(IF(ISNUMBER(MATCH("*@*.?*",Data!C297,0)),0,1)+IF(COUNTIFS(Data!C$1:'Data'!C297,Data!C297)&gt;1,1,0)))</f>
        <v/>
      </c>
      <c r="D307" s="36" t="str">
        <f>IF(Data!B297="","",IF(ISNUMBER(Data!D297),IF(AND(Data!D297&gt;999999999,Data!D297&lt;=9999999999),IF(COUNTIFS(Data!D$1:'Data'!D297,Data!D297)&lt;=1,0,1),1),1))</f>
        <v/>
      </c>
      <c r="E307" s="36" t="str">
        <f>IF(Data!B297="","",IF(ISNUMBER(MATCH(Data!E297,Data_Val!$A$2:$A$3,0)),0,1))</f>
        <v/>
      </c>
      <c r="F307" s="36" t="str">
        <f ca="1">IF(Data!B297="","",IF(ISNUMBER(Data!F297),IF(AND(Data!F297&gt;(TODAY()-(Data_Val!$H$3*365.25)),Data!F297&lt;=(TODAY()-(Data_Val!$H$2*365.25))),0,1),1))</f>
        <v/>
      </c>
      <c r="G307" s="12" t="str">
        <f>IF(Data!B297="","",IF(AND(Data!G297="",Data!H297&lt;&gt;""),1,IF(ISNUMBER(MATCH(Data!G297,Data_Val!$C$2:$C$5,0)),0,1)))</f>
        <v/>
      </c>
      <c r="H307" s="12" t="str">
        <f>IF(Data!B297="","",IF(AND(Data!G297&lt;&gt;"",Data!H297=""),1,IF(Data!G297="",1,IF(ISNUMBER(MATCH(Data!H297,Data_Val!$D$2:$D$35,0)),0,1))))</f>
        <v/>
      </c>
      <c r="I307" s="38" t="str">
        <f>IF(Data!G297="","",IF(Data!G297=Data_Val!$C$2,IF(Data!I297="",0,1),0))</f>
        <v/>
      </c>
      <c r="J307" s="38" t="str">
        <f>IF(Data!I297="","",IF(ISNUMBER(MATCH(Data!J297,Data_Val!$A$2:$A$3,0)),0,1))</f>
        <v/>
      </c>
      <c r="K307" s="38" t="str">
        <f ca="1">IF(Data!I297="","",IF(ISNUMBER(Data!K297),IF(AND(Data!K297&gt;(TODAY()-(Data_Val!$K$3*365.25)),Data!K297&lt;=(TODAY()-(Data_Val!$K$2*365.25))),0,1),1))</f>
        <v/>
      </c>
      <c r="L307" s="16" t="str">
        <f>IF(Data!G297="","",IF(Data!G297=Data_Val!$C$2,IF(Data!L297="",0,1),0))</f>
        <v/>
      </c>
      <c r="M307" s="16" t="str">
        <f>IF(Data!L297="","",IF(ISNUMBER(MATCH(Data!M297,Data_Val!$A$2:$A$3,0)),0,1))</f>
        <v/>
      </c>
      <c r="N307" s="43" t="str">
        <f ca="1">IF(Data!L297="","",IF(ISNUMBER(Data!N297),IF(AND(Data!N297&gt;(TODAY()-(Data_Val!$L$3*365.25)),Data!N297&lt;=(TODAY()-(Data_Val!$L$2*365.25))),0,1),1))</f>
        <v/>
      </c>
      <c r="O307" s="18" t="str">
        <f>IF(Data!$G297="","",IF(Data!$G297=Data_Val!$C$2,IF(Data!O297="",0,1),0))</f>
        <v/>
      </c>
      <c r="P307" s="18" t="str">
        <f>IF(Data!O297="","",IF(ISNUMBER(MATCH(Data!P297,Data_Val!$A$2:$A$3,0)),0,1))</f>
        <v/>
      </c>
      <c r="Q307" s="44" t="str">
        <f ca="1">IF(Data!O297="","",IF(ISNUMBER(Data!Q297),IF(AND(Data!Q297&gt;(TODAY()-(Data_Val!$L$3*365.25)),Data!Q297&lt;=(TODAY()-(Data_Val!$L$2*365.25))),0,1),1))</f>
        <v/>
      </c>
    </row>
    <row r="308" spans="1:17" ht="12" customHeight="1" x14ac:dyDescent="0.25">
      <c r="A308" s="36" t="str">
        <f>IF(Data!B298="","",IF(COUNTIFS(Data!A$1:'Data'!A298,Data!A298)&lt;=1,0,1))</f>
        <v/>
      </c>
      <c r="B308" s="36"/>
      <c r="C308" s="36" t="str">
        <f>IF(Data!C298="","",(IF(ISNUMBER(MATCH("*@*.?*",Data!C298,0)),0,1)+IF(COUNTIFS(Data!C$1:'Data'!C298,Data!C298)&gt;1,1,0)))</f>
        <v/>
      </c>
      <c r="D308" s="36" t="str">
        <f>IF(Data!B298="","",IF(ISNUMBER(Data!D298),IF(AND(Data!D298&gt;999999999,Data!D298&lt;=9999999999),IF(COUNTIFS(Data!D$1:'Data'!D298,Data!D298)&lt;=1,0,1),1),1))</f>
        <v/>
      </c>
      <c r="E308" s="36" t="str">
        <f>IF(Data!B298="","",IF(ISNUMBER(MATCH(Data!E298,Data_Val!$A$2:$A$3,0)),0,1))</f>
        <v/>
      </c>
      <c r="F308" s="36" t="str">
        <f ca="1">IF(Data!B298="","",IF(ISNUMBER(Data!F298),IF(AND(Data!F298&gt;(TODAY()-(Data_Val!$H$3*365.25)),Data!F298&lt;=(TODAY()-(Data_Val!$H$2*365.25))),0,1),1))</f>
        <v/>
      </c>
      <c r="G308" s="12" t="str">
        <f>IF(Data!B298="","",IF(AND(Data!G298="",Data!H298&lt;&gt;""),1,IF(ISNUMBER(MATCH(Data!G298,Data_Val!$C$2:$C$5,0)),0,1)))</f>
        <v/>
      </c>
      <c r="H308" s="12" t="str">
        <f>IF(Data!B298="","",IF(AND(Data!G298&lt;&gt;"",Data!H298=""),1,IF(Data!G298="",1,IF(ISNUMBER(MATCH(Data!H298,Data_Val!$D$2:$D$35,0)),0,1))))</f>
        <v/>
      </c>
      <c r="I308" s="38" t="str">
        <f>IF(Data!G298="","",IF(Data!G298=Data_Val!$C$2,IF(Data!I298="",0,1),0))</f>
        <v/>
      </c>
      <c r="J308" s="38" t="str">
        <f>IF(Data!I298="","",IF(ISNUMBER(MATCH(Data!J298,Data_Val!$A$2:$A$3,0)),0,1))</f>
        <v/>
      </c>
      <c r="K308" s="38" t="str">
        <f ca="1">IF(Data!I298="","",IF(ISNUMBER(Data!K298),IF(AND(Data!K298&gt;(TODAY()-(Data_Val!$K$3*365.25)),Data!K298&lt;=(TODAY()-(Data_Val!$K$2*365.25))),0,1),1))</f>
        <v/>
      </c>
      <c r="L308" s="16" t="str">
        <f>IF(Data!G298="","",IF(Data!G298=Data_Val!$C$2,IF(Data!L298="",0,1),0))</f>
        <v/>
      </c>
      <c r="M308" s="16" t="str">
        <f>IF(Data!L298="","",IF(ISNUMBER(MATCH(Data!M298,Data_Val!$A$2:$A$3,0)),0,1))</f>
        <v/>
      </c>
      <c r="N308" s="43" t="str">
        <f ca="1">IF(Data!L298="","",IF(ISNUMBER(Data!N298),IF(AND(Data!N298&gt;(TODAY()-(Data_Val!$L$3*365.25)),Data!N298&lt;=(TODAY()-(Data_Val!$L$2*365.25))),0,1),1))</f>
        <v/>
      </c>
      <c r="O308" s="18" t="str">
        <f>IF(Data!$G298="","",IF(Data!$G298=Data_Val!$C$2,IF(Data!O298="",0,1),0))</f>
        <v/>
      </c>
      <c r="P308" s="18" t="str">
        <f>IF(Data!O298="","",IF(ISNUMBER(MATCH(Data!P298,Data_Val!$A$2:$A$3,0)),0,1))</f>
        <v/>
      </c>
      <c r="Q308" s="44" t="str">
        <f ca="1">IF(Data!O298="","",IF(ISNUMBER(Data!Q298),IF(AND(Data!Q298&gt;(TODAY()-(Data_Val!$L$3*365.25)),Data!Q298&lt;=(TODAY()-(Data_Val!$L$2*365.25))),0,1),1))</f>
        <v/>
      </c>
    </row>
    <row r="309" spans="1:17" ht="12" customHeight="1" x14ac:dyDescent="0.25">
      <c r="A309" s="36" t="str">
        <f>IF(Data!B299="","",IF(COUNTIFS(Data!A$1:'Data'!A299,Data!A299)&lt;=1,0,1))</f>
        <v/>
      </c>
      <c r="B309" s="36"/>
      <c r="C309" s="36" t="str">
        <f>IF(Data!C299="","",(IF(ISNUMBER(MATCH("*@*.?*",Data!C299,0)),0,1)+IF(COUNTIFS(Data!C$1:'Data'!C299,Data!C299)&gt;1,1,0)))</f>
        <v/>
      </c>
      <c r="D309" s="36" t="str">
        <f>IF(Data!B299="","",IF(ISNUMBER(Data!D299),IF(AND(Data!D299&gt;999999999,Data!D299&lt;=9999999999),IF(COUNTIFS(Data!D$1:'Data'!D299,Data!D299)&lt;=1,0,1),1),1))</f>
        <v/>
      </c>
      <c r="E309" s="36" t="str">
        <f>IF(Data!B299="","",IF(ISNUMBER(MATCH(Data!E299,Data_Val!$A$2:$A$3,0)),0,1))</f>
        <v/>
      </c>
      <c r="F309" s="36" t="str">
        <f ca="1">IF(Data!B299="","",IF(ISNUMBER(Data!F299),IF(AND(Data!F299&gt;(TODAY()-(Data_Val!$H$3*365.25)),Data!F299&lt;=(TODAY()-(Data_Val!$H$2*365.25))),0,1),1))</f>
        <v/>
      </c>
      <c r="G309" s="12" t="str">
        <f>IF(Data!B299="","",IF(AND(Data!G299="",Data!H299&lt;&gt;""),1,IF(ISNUMBER(MATCH(Data!G299,Data_Val!$C$2:$C$5,0)),0,1)))</f>
        <v/>
      </c>
      <c r="H309" s="12" t="str">
        <f>IF(Data!B299="","",IF(AND(Data!G299&lt;&gt;"",Data!H299=""),1,IF(Data!G299="",1,IF(ISNUMBER(MATCH(Data!H299,Data_Val!$D$2:$D$35,0)),0,1))))</f>
        <v/>
      </c>
      <c r="I309" s="38" t="str">
        <f>IF(Data!G299="","",IF(Data!G299=Data_Val!$C$2,IF(Data!I299="",0,1),0))</f>
        <v/>
      </c>
      <c r="J309" s="38" t="str">
        <f>IF(Data!I299="","",IF(ISNUMBER(MATCH(Data!J299,Data_Val!$A$2:$A$3,0)),0,1))</f>
        <v/>
      </c>
      <c r="K309" s="38" t="str">
        <f ca="1">IF(Data!I299="","",IF(ISNUMBER(Data!K299),IF(AND(Data!K299&gt;(TODAY()-(Data_Val!$K$3*365.25)),Data!K299&lt;=(TODAY()-(Data_Val!$K$2*365.25))),0,1),1))</f>
        <v/>
      </c>
      <c r="L309" s="16" t="str">
        <f>IF(Data!G299="","",IF(Data!G299=Data_Val!$C$2,IF(Data!L299="",0,1),0))</f>
        <v/>
      </c>
      <c r="M309" s="16" t="str">
        <f>IF(Data!L299="","",IF(ISNUMBER(MATCH(Data!M299,Data_Val!$A$2:$A$3,0)),0,1))</f>
        <v/>
      </c>
      <c r="N309" s="43" t="str">
        <f ca="1">IF(Data!L299="","",IF(ISNUMBER(Data!N299),IF(AND(Data!N299&gt;(TODAY()-(Data_Val!$L$3*365.25)),Data!N299&lt;=(TODAY()-(Data_Val!$L$2*365.25))),0,1),1))</f>
        <v/>
      </c>
      <c r="O309" s="18" t="str">
        <f>IF(Data!$G299="","",IF(Data!$G299=Data_Val!$C$2,IF(Data!O299="",0,1),0))</f>
        <v/>
      </c>
      <c r="P309" s="18" t="str">
        <f>IF(Data!O299="","",IF(ISNUMBER(MATCH(Data!P299,Data_Val!$A$2:$A$3,0)),0,1))</f>
        <v/>
      </c>
      <c r="Q309" s="44" t="str">
        <f ca="1">IF(Data!O299="","",IF(ISNUMBER(Data!Q299),IF(AND(Data!Q299&gt;(TODAY()-(Data_Val!$L$3*365.25)),Data!Q299&lt;=(TODAY()-(Data_Val!$L$2*365.25))),0,1),1))</f>
        <v/>
      </c>
    </row>
    <row r="310" spans="1:17" ht="12" customHeight="1" x14ac:dyDescent="0.25">
      <c r="A310" s="36" t="str">
        <f>IF(Data!B300="","",IF(COUNTIFS(Data!A$1:'Data'!A300,Data!A300)&lt;=1,0,1))</f>
        <v/>
      </c>
      <c r="B310" s="36"/>
      <c r="C310" s="36" t="str">
        <f>IF(Data!C300="","",(IF(ISNUMBER(MATCH("*@*.?*",Data!C300,0)),0,1)+IF(COUNTIFS(Data!C$1:'Data'!C300,Data!C300)&gt;1,1,0)))</f>
        <v/>
      </c>
      <c r="D310" s="36" t="str">
        <f>IF(Data!B300="","",IF(ISNUMBER(Data!D300),IF(AND(Data!D300&gt;999999999,Data!D300&lt;=9999999999),IF(COUNTIFS(Data!D$1:'Data'!D300,Data!D300)&lt;=1,0,1),1),1))</f>
        <v/>
      </c>
      <c r="E310" s="36" t="str">
        <f>IF(Data!B300="","",IF(ISNUMBER(MATCH(Data!E300,Data_Val!$A$2:$A$3,0)),0,1))</f>
        <v/>
      </c>
      <c r="F310" s="36" t="str">
        <f ca="1">IF(Data!B300="","",IF(ISNUMBER(Data!F300),IF(AND(Data!F300&gt;(TODAY()-(Data_Val!$H$3*365.25)),Data!F300&lt;=(TODAY()-(Data_Val!$H$2*365.25))),0,1),1))</f>
        <v/>
      </c>
      <c r="G310" s="12" t="str">
        <f>IF(Data!B300="","",IF(AND(Data!G300="",Data!H300&lt;&gt;""),1,IF(ISNUMBER(MATCH(Data!G300,Data_Val!$C$2:$C$5,0)),0,1)))</f>
        <v/>
      </c>
      <c r="H310" s="12" t="str">
        <f>IF(Data!B300="","",IF(AND(Data!G300&lt;&gt;"",Data!H300=""),1,IF(Data!G300="",1,IF(ISNUMBER(MATCH(Data!H300,Data_Val!$D$2:$D$35,0)),0,1))))</f>
        <v/>
      </c>
      <c r="I310" s="38" t="str">
        <f>IF(Data!G300="","",IF(Data!G300=Data_Val!$C$2,IF(Data!I300="",0,1),0))</f>
        <v/>
      </c>
      <c r="J310" s="38" t="str">
        <f>IF(Data!I300="","",IF(ISNUMBER(MATCH(Data!J300,Data_Val!$A$2:$A$3,0)),0,1))</f>
        <v/>
      </c>
      <c r="K310" s="38" t="str">
        <f ca="1">IF(Data!I300="","",IF(ISNUMBER(Data!K300),IF(AND(Data!K300&gt;(TODAY()-(Data_Val!$K$3*365.25)),Data!K300&lt;=(TODAY()-(Data_Val!$K$2*365.25))),0,1),1))</f>
        <v/>
      </c>
      <c r="L310" s="16" t="str">
        <f>IF(Data!G300="","",IF(Data!G300=Data_Val!$C$2,IF(Data!L300="",0,1),0))</f>
        <v/>
      </c>
      <c r="M310" s="16" t="str">
        <f>IF(Data!L300="","",IF(ISNUMBER(MATCH(Data!M300,Data_Val!$A$2:$A$3,0)),0,1))</f>
        <v/>
      </c>
      <c r="N310" s="43" t="str">
        <f ca="1">IF(Data!L300="","",IF(ISNUMBER(Data!N300),IF(AND(Data!N300&gt;(TODAY()-(Data_Val!$L$3*365.25)),Data!N300&lt;=(TODAY()-(Data_Val!$L$2*365.25))),0,1),1))</f>
        <v/>
      </c>
      <c r="O310" s="18" t="str">
        <f>IF(Data!$G300="","",IF(Data!$G300=Data_Val!$C$2,IF(Data!O300="",0,1),0))</f>
        <v/>
      </c>
      <c r="P310" s="18" t="str">
        <f>IF(Data!O300="","",IF(ISNUMBER(MATCH(Data!P300,Data_Val!$A$2:$A$3,0)),0,1))</f>
        <v/>
      </c>
      <c r="Q310" s="44" t="str">
        <f ca="1">IF(Data!O300="","",IF(ISNUMBER(Data!Q300),IF(AND(Data!Q300&gt;(TODAY()-(Data_Val!$L$3*365.25)),Data!Q300&lt;=(TODAY()-(Data_Val!$L$2*365.25))),0,1),1))</f>
        <v/>
      </c>
    </row>
    <row r="311" spans="1:17" ht="12" customHeight="1" x14ac:dyDescent="0.25">
      <c r="A311" s="36" t="str">
        <f>IF(Data!B301="","",IF(COUNTIFS(Data!A$1:'Data'!A301,Data!A301)&lt;=1,0,1))</f>
        <v/>
      </c>
      <c r="B311" s="36"/>
      <c r="C311" s="36" t="str">
        <f>IF(Data!C301="","",(IF(ISNUMBER(MATCH("*@*.?*",Data!C301,0)),0,1)+IF(COUNTIFS(Data!C$1:'Data'!C301,Data!C301)&gt;1,1,0)))</f>
        <v/>
      </c>
      <c r="D311" s="36" t="str">
        <f>IF(Data!B301="","",IF(ISNUMBER(Data!D301),IF(AND(Data!D301&gt;999999999,Data!D301&lt;=9999999999),IF(COUNTIFS(Data!D$1:'Data'!D301,Data!D301)&lt;=1,0,1),1),1))</f>
        <v/>
      </c>
      <c r="E311" s="36" t="str">
        <f>IF(Data!B301="","",IF(ISNUMBER(MATCH(Data!E301,Data_Val!$A$2:$A$3,0)),0,1))</f>
        <v/>
      </c>
      <c r="F311" s="36" t="str">
        <f ca="1">IF(Data!B301="","",IF(ISNUMBER(Data!F301),IF(AND(Data!F301&gt;(TODAY()-(Data_Val!$H$3*365.25)),Data!F301&lt;=(TODAY()-(Data_Val!$H$2*365.25))),0,1),1))</f>
        <v/>
      </c>
      <c r="G311" s="12" t="str">
        <f>IF(Data!B301="","",IF(AND(Data!G301="",Data!H301&lt;&gt;""),1,IF(ISNUMBER(MATCH(Data!G301,Data_Val!$C$2:$C$5,0)),0,1)))</f>
        <v/>
      </c>
      <c r="H311" s="12" t="str">
        <f>IF(Data!B301="","",IF(AND(Data!G301&lt;&gt;"",Data!H301=""),1,IF(Data!G301="",1,IF(ISNUMBER(MATCH(Data!H301,Data_Val!$D$2:$D$35,0)),0,1))))</f>
        <v/>
      </c>
      <c r="I311" s="38" t="str">
        <f>IF(Data!G301="","",IF(Data!G301=Data_Val!$C$2,IF(Data!I301="",0,1),0))</f>
        <v/>
      </c>
      <c r="J311" s="38" t="str">
        <f>IF(Data!I301="","",IF(ISNUMBER(MATCH(Data!J301,Data_Val!$A$2:$A$3,0)),0,1))</f>
        <v/>
      </c>
      <c r="K311" s="38" t="str">
        <f ca="1">IF(Data!I301="","",IF(ISNUMBER(Data!K301),IF(AND(Data!K301&gt;(TODAY()-(Data_Val!$K$3*365.25)),Data!K301&lt;=(TODAY()-(Data_Val!$K$2*365.25))),0,1),1))</f>
        <v/>
      </c>
      <c r="L311" s="16" t="str">
        <f>IF(Data!G301="","",IF(Data!G301=Data_Val!$C$2,IF(Data!L301="",0,1),0))</f>
        <v/>
      </c>
      <c r="M311" s="16" t="str">
        <f>IF(Data!L301="","",IF(ISNUMBER(MATCH(Data!M301,Data_Val!$A$2:$A$3,0)),0,1))</f>
        <v/>
      </c>
      <c r="N311" s="43" t="str">
        <f ca="1">IF(Data!L301="","",IF(ISNUMBER(Data!N301),IF(AND(Data!N301&gt;(TODAY()-(Data_Val!$L$3*365.25)),Data!N301&lt;=(TODAY()-(Data_Val!$L$2*365.25))),0,1),1))</f>
        <v/>
      </c>
      <c r="O311" s="18" t="str">
        <f>IF(Data!$G301="","",IF(Data!$G301=Data_Val!$C$2,IF(Data!O301="",0,1),0))</f>
        <v/>
      </c>
      <c r="P311" s="18" t="str">
        <f>IF(Data!O301="","",IF(ISNUMBER(MATCH(Data!P301,Data_Val!$A$2:$A$3,0)),0,1))</f>
        <v/>
      </c>
      <c r="Q311" s="44" t="str">
        <f ca="1">IF(Data!O301="","",IF(ISNUMBER(Data!Q301),IF(AND(Data!Q301&gt;(TODAY()-(Data_Val!$L$3*365.25)),Data!Q301&lt;=(TODAY()-(Data_Val!$L$2*365.25))),0,1),1))</f>
        <v/>
      </c>
    </row>
    <row r="312" spans="1:17" ht="12" customHeight="1" x14ac:dyDescent="0.25">
      <c r="A312" s="36" t="str">
        <f>IF(Data!B302="","",IF(COUNTIFS(Data!A$1:'Data'!A302,Data!A302)&lt;=1,0,1))</f>
        <v/>
      </c>
      <c r="B312" s="36"/>
      <c r="C312" s="36" t="str">
        <f>IF(Data!C302="","",(IF(ISNUMBER(MATCH("*@*.?*",Data!C302,0)),0,1)+IF(COUNTIFS(Data!C$1:'Data'!C302,Data!C302)&gt;1,1,0)))</f>
        <v/>
      </c>
      <c r="D312" s="36" t="str">
        <f>IF(Data!B302="","",IF(ISNUMBER(Data!D302),IF(AND(Data!D302&gt;999999999,Data!D302&lt;=9999999999),IF(COUNTIFS(Data!D$1:'Data'!D302,Data!D302)&lt;=1,0,1),1),1))</f>
        <v/>
      </c>
      <c r="E312" s="36" t="str">
        <f>IF(Data!B302="","",IF(ISNUMBER(MATCH(Data!E302,Data_Val!$A$2:$A$3,0)),0,1))</f>
        <v/>
      </c>
      <c r="F312" s="36" t="str">
        <f ca="1">IF(Data!B302="","",IF(ISNUMBER(Data!F302),IF(AND(Data!F302&gt;(TODAY()-(Data_Val!$H$3*365.25)),Data!F302&lt;=(TODAY()-(Data_Val!$H$2*365.25))),0,1),1))</f>
        <v/>
      </c>
      <c r="G312" s="12" t="str">
        <f>IF(Data!B302="","",IF(AND(Data!G302="",Data!H302&lt;&gt;""),1,IF(ISNUMBER(MATCH(Data!G302,Data_Val!$C$2:$C$5,0)),0,1)))</f>
        <v/>
      </c>
      <c r="H312" s="12" t="str">
        <f>IF(Data!B302="","",IF(AND(Data!G302&lt;&gt;"",Data!H302=""),1,IF(Data!G302="",1,IF(ISNUMBER(MATCH(Data!H302,Data_Val!$D$2:$D$35,0)),0,1))))</f>
        <v/>
      </c>
      <c r="I312" s="38" t="str">
        <f>IF(Data!G302="","",IF(Data!G302=Data_Val!$C$2,IF(Data!I302="",0,1),0))</f>
        <v/>
      </c>
      <c r="J312" s="38" t="str">
        <f>IF(Data!I302="","",IF(ISNUMBER(MATCH(Data!J302,Data_Val!$A$2:$A$3,0)),0,1))</f>
        <v/>
      </c>
      <c r="K312" s="38" t="str">
        <f ca="1">IF(Data!I302="","",IF(ISNUMBER(Data!K302),IF(AND(Data!K302&gt;(TODAY()-(Data_Val!$K$3*365.25)),Data!K302&lt;=(TODAY()-(Data_Val!$K$2*365.25))),0,1),1))</f>
        <v/>
      </c>
      <c r="L312" s="16" t="str">
        <f>IF(Data!G302="","",IF(Data!G302=Data_Val!$C$2,IF(Data!L302="",0,1),0))</f>
        <v/>
      </c>
      <c r="M312" s="16" t="str">
        <f>IF(Data!L302="","",IF(ISNUMBER(MATCH(Data!M302,Data_Val!$A$2:$A$3,0)),0,1))</f>
        <v/>
      </c>
      <c r="N312" s="43" t="str">
        <f ca="1">IF(Data!L302="","",IF(ISNUMBER(Data!N302),IF(AND(Data!N302&gt;(TODAY()-(Data_Val!$L$3*365.25)),Data!N302&lt;=(TODAY()-(Data_Val!$L$2*365.25))),0,1),1))</f>
        <v/>
      </c>
      <c r="O312" s="18" t="str">
        <f>IF(Data!$G302="","",IF(Data!$G302=Data_Val!$C$2,IF(Data!O302="",0,1),0))</f>
        <v/>
      </c>
      <c r="P312" s="18" t="str">
        <f>IF(Data!O302="","",IF(ISNUMBER(MATCH(Data!P302,Data_Val!$A$2:$A$3,0)),0,1))</f>
        <v/>
      </c>
      <c r="Q312" s="44" t="str">
        <f ca="1">IF(Data!O302="","",IF(ISNUMBER(Data!Q302),IF(AND(Data!Q302&gt;(TODAY()-(Data_Val!$L$3*365.25)),Data!Q302&lt;=(TODAY()-(Data_Val!$L$2*365.25))),0,1),1))</f>
        <v/>
      </c>
    </row>
    <row r="313" spans="1:17" ht="12" customHeight="1" x14ac:dyDescent="0.25">
      <c r="A313" s="36" t="str">
        <f>IF(Data!B303="","",IF(COUNTIFS(Data!A$1:'Data'!A303,Data!A303)&lt;=1,0,1))</f>
        <v/>
      </c>
      <c r="B313" s="36"/>
      <c r="C313" s="36" t="str">
        <f>IF(Data!C303="","",(IF(ISNUMBER(MATCH("*@*.?*",Data!C303,0)),0,1)+IF(COUNTIFS(Data!C$1:'Data'!C303,Data!C303)&gt;1,1,0)))</f>
        <v/>
      </c>
      <c r="D313" s="36" t="str">
        <f>IF(Data!B303="","",IF(ISNUMBER(Data!D303),IF(AND(Data!D303&gt;999999999,Data!D303&lt;=9999999999),IF(COUNTIFS(Data!D$1:'Data'!D303,Data!D303)&lt;=1,0,1),1),1))</f>
        <v/>
      </c>
      <c r="E313" s="36" t="str">
        <f>IF(Data!B303="","",IF(ISNUMBER(MATCH(Data!E303,Data_Val!$A$2:$A$3,0)),0,1))</f>
        <v/>
      </c>
      <c r="F313" s="36" t="str">
        <f ca="1">IF(Data!B303="","",IF(ISNUMBER(Data!F303),IF(AND(Data!F303&gt;(TODAY()-(Data_Val!$H$3*365.25)),Data!F303&lt;=(TODAY()-(Data_Val!$H$2*365.25))),0,1),1))</f>
        <v/>
      </c>
      <c r="G313" s="12" t="str">
        <f>IF(Data!B303="","",IF(AND(Data!G303="",Data!H303&lt;&gt;""),1,IF(ISNUMBER(MATCH(Data!G303,Data_Val!$C$2:$C$5,0)),0,1)))</f>
        <v/>
      </c>
      <c r="H313" s="12" t="str">
        <f>IF(Data!B303="","",IF(AND(Data!G303&lt;&gt;"",Data!H303=""),1,IF(Data!G303="",1,IF(ISNUMBER(MATCH(Data!H303,Data_Val!$D$2:$D$35,0)),0,1))))</f>
        <v/>
      </c>
      <c r="I313" s="38" t="str">
        <f>IF(Data!G303="","",IF(Data!G303=Data_Val!$C$2,IF(Data!I303="",0,1),0))</f>
        <v/>
      </c>
      <c r="J313" s="38" t="str">
        <f>IF(Data!I303="","",IF(ISNUMBER(MATCH(Data!J303,Data_Val!$A$2:$A$3,0)),0,1))</f>
        <v/>
      </c>
      <c r="K313" s="38" t="str">
        <f ca="1">IF(Data!I303="","",IF(ISNUMBER(Data!K303),IF(AND(Data!K303&gt;(TODAY()-(Data_Val!$K$3*365.25)),Data!K303&lt;=(TODAY()-(Data_Val!$K$2*365.25))),0,1),1))</f>
        <v/>
      </c>
      <c r="L313" s="16" t="str">
        <f>IF(Data!G303="","",IF(Data!G303=Data_Val!$C$2,IF(Data!L303="",0,1),0))</f>
        <v/>
      </c>
      <c r="M313" s="16" t="str">
        <f>IF(Data!L303="","",IF(ISNUMBER(MATCH(Data!M303,Data_Val!$A$2:$A$3,0)),0,1))</f>
        <v/>
      </c>
      <c r="N313" s="43" t="str">
        <f ca="1">IF(Data!L303="","",IF(ISNUMBER(Data!N303),IF(AND(Data!N303&gt;(TODAY()-(Data_Val!$L$3*365.25)),Data!N303&lt;=(TODAY()-(Data_Val!$L$2*365.25))),0,1),1))</f>
        <v/>
      </c>
      <c r="O313" s="18" t="str">
        <f>IF(Data!$G303="","",IF(Data!$G303=Data_Val!$C$2,IF(Data!O303="",0,1),0))</f>
        <v/>
      </c>
      <c r="P313" s="18" t="str">
        <f>IF(Data!O303="","",IF(ISNUMBER(MATCH(Data!P303,Data_Val!$A$2:$A$3,0)),0,1))</f>
        <v/>
      </c>
      <c r="Q313" s="44" t="str">
        <f ca="1">IF(Data!O303="","",IF(ISNUMBER(Data!Q303),IF(AND(Data!Q303&gt;(TODAY()-(Data_Val!$L$3*365.25)),Data!Q303&lt;=(TODAY()-(Data_Val!$L$2*365.25))),0,1),1))</f>
        <v/>
      </c>
    </row>
    <row r="314" spans="1:17" ht="12" customHeight="1" x14ac:dyDescent="0.25">
      <c r="A314" s="36" t="str">
        <f>IF(Data!B304="","",IF(COUNTIFS(Data!A$1:'Data'!A304,Data!A304)&lt;=1,0,1))</f>
        <v/>
      </c>
      <c r="B314" s="36"/>
      <c r="C314" s="36" t="str">
        <f>IF(Data!C304="","",(IF(ISNUMBER(MATCH("*@*.?*",Data!C304,0)),0,1)+IF(COUNTIFS(Data!C$1:'Data'!C304,Data!C304)&gt;1,1,0)))</f>
        <v/>
      </c>
      <c r="D314" s="36" t="str">
        <f>IF(Data!B304="","",IF(ISNUMBER(Data!D304),IF(AND(Data!D304&gt;999999999,Data!D304&lt;=9999999999),IF(COUNTIFS(Data!D$1:'Data'!D304,Data!D304)&lt;=1,0,1),1),1))</f>
        <v/>
      </c>
      <c r="E314" s="36" t="str">
        <f>IF(Data!B304="","",IF(ISNUMBER(MATCH(Data!E304,Data_Val!$A$2:$A$3,0)),0,1))</f>
        <v/>
      </c>
      <c r="F314" s="36" t="str">
        <f ca="1">IF(Data!B304="","",IF(ISNUMBER(Data!F304),IF(AND(Data!F304&gt;(TODAY()-(Data_Val!$H$3*365.25)),Data!F304&lt;=(TODAY()-(Data_Val!$H$2*365.25))),0,1),1))</f>
        <v/>
      </c>
      <c r="G314" s="12" t="str">
        <f>IF(Data!B304="","",IF(AND(Data!G304="",Data!H304&lt;&gt;""),1,IF(ISNUMBER(MATCH(Data!G304,Data_Val!$C$2:$C$5,0)),0,1)))</f>
        <v/>
      </c>
      <c r="H314" s="12" t="str">
        <f>IF(Data!B304="","",IF(AND(Data!G304&lt;&gt;"",Data!H304=""),1,IF(Data!G304="",1,IF(ISNUMBER(MATCH(Data!H304,Data_Val!$D$2:$D$35,0)),0,1))))</f>
        <v/>
      </c>
      <c r="I314" s="38" t="str">
        <f>IF(Data!G304="","",IF(Data!G304=Data_Val!$C$2,IF(Data!I304="",0,1),0))</f>
        <v/>
      </c>
      <c r="J314" s="38" t="str">
        <f>IF(Data!I304="","",IF(ISNUMBER(MATCH(Data!J304,Data_Val!$A$2:$A$3,0)),0,1))</f>
        <v/>
      </c>
      <c r="K314" s="38" t="str">
        <f ca="1">IF(Data!I304="","",IF(ISNUMBER(Data!K304),IF(AND(Data!K304&gt;(TODAY()-(Data_Val!$K$3*365.25)),Data!K304&lt;=(TODAY()-(Data_Val!$K$2*365.25))),0,1),1))</f>
        <v/>
      </c>
      <c r="L314" s="16" t="str">
        <f>IF(Data!G304="","",IF(Data!G304=Data_Val!$C$2,IF(Data!L304="",0,1),0))</f>
        <v/>
      </c>
      <c r="M314" s="16" t="str">
        <f>IF(Data!L304="","",IF(ISNUMBER(MATCH(Data!M304,Data_Val!$A$2:$A$3,0)),0,1))</f>
        <v/>
      </c>
      <c r="N314" s="43" t="str">
        <f ca="1">IF(Data!L304="","",IF(ISNUMBER(Data!N304),IF(AND(Data!N304&gt;(TODAY()-(Data_Val!$L$3*365.25)),Data!N304&lt;=(TODAY()-(Data_Val!$L$2*365.25))),0,1),1))</f>
        <v/>
      </c>
      <c r="O314" s="18" t="str">
        <f>IF(Data!$G304="","",IF(Data!$G304=Data_Val!$C$2,IF(Data!O304="",0,1),0))</f>
        <v/>
      </c>
      <c r="P314" s="18" t="str">
        <f>IF(Data!O304="","",IF(ISNUMBER(MATCH(Data!P304,Data_Val!$A$2:$A$3,0)),0,1))</f>
        <v/>
      </c>
      <c r="Q314" s="44" t="str">
        <f ca="1">IF(Data!O304="","",IF(ISNUMBER(Data!Q304),IF(AND(Data!Q304&gt;(TODAY()-(Data_Val!$L$3*365.25)),Data!Q304&lt;=(TODAY()-(Data_Val!$L$2*365.25))),0,1),1))</f>
        <v/>
      </c>
    </row>
    <row r="315" spans="1:17" ht="12" customHeight="1" x14ac:dyDescent="0.25">
      <c r="A315" s="36" t="str">
        <f>IF(Data!B305="","",IF(COUNTIFS(Data!A$1:'Data'!A305,Data!A305)&lt;=1,0,1))</f>
        <v/>
      </c>
      <c r="B315" s="36"/>
      <c r="C315" s="36" t="str">
        <f>IF(Data!C305="","",(IF(ISNUMBER(MATCH("*@*.?*",Data!C305,0)),0,1)+IF(COUNTIFS(Data!C$1:'Data'!C305,Data!C305)&gt;1,1,0)))</f>
        <v/>
      </c>
      <c r="D315" s="36" t="str">
        <f>IF(Data!B305="","",IF(ISNUMBER(Data!D305),IF(AND(Data!D305&gt;999999999,Data!D305&lt;=9999999999),IF(COUNTIFS(Data!D$1:'Data'!D305,Data!D305)&lt;=1,0,1),1),1))</f>
        <v/>
      </c>
      <c r="E315" s="36" t="str">
        <f>IF(Data!B305="","",IF(ISNUMBER(MATCH(Data!E305,Data_Val!$A$2:$A$3,0)),0,1))</f>
        <v/>
      </c>
      <c r="F315" s="36" t="str">
        <f ca="1">IF(Data!B305="","",IF(ISNUMBER(Data!F305),IF(AND(Data!F305&gt;(TODAY()-(Data_Val!$H$3*365.25)),Data!F305&lt;=(TODAY()-(Data_Val!$H$2*365.25))),0,1),1))</f>
        <v/>
      </c>
      <c r="G315" s="12" t="str">
        <f>IF(Data!B305="","",IF(AND(Data!G305="",Data!H305&lt;&gt;""),1,IF(ISNUMBER(MATCH(Data!G305,Data_Val!$C$2:$C$5,0)),0,1)))</f>
        <v/>
      </c>
      <c r="H315" s="12" t="str">
        <f>IF(Data!B305="","",IF(AND(Data!G305&lt;&gt;"",Data!H305=""),1,IF(Data!G305="",1,IF(ISNUMBER(MATCH(Data!H305,Data_Val!$D$2:$D$35,0)),0,1))))</f>
        <v/>
      </c>
      <c r="I315" s="38" t="str">
        <f>IF(Data!G305="","",IF(Data!G305=Data_Val!$C$2,IF(Data!I305="",0,1),0))</f>
        <v/>
      </c>
      <c r="J315" s="38" t="str">
        <f>IF(Data!I305="","",IF(ISNUMBER(MATCH(Data!J305,Data_Val!$A$2:$A$3,0)),0,1))</f>
        <v/>
      </c>
      <c r="K315" s="38" t="str">
        <f ca="1">IF(Data!I305="","",IF(ISNUMBER(Data!K305),IF(AND(Data!K305&gt;(TODAY()-(Data_Val!$K$3*365.25)),Data!K305&lt;=(TODAY()-(Data_Val!$K$2*365.25))),0,1),1))</f>
        <v/>
      </c>
      <c r="L315" s="16" t="str">
        <f>IF(Data!G305="","",IF(Data!G305=Data_Val!$C$2,IF(Data!L305="",0,1),0))</f>
        <v/>
      </c>
      <c r="M315" s="16" t="str">
        <f>IF(Data!L305="","",IF(ISNUMBER(MATCH(Data!M305,Data_Val!$A$2:$A$3,0)),0,1))</f>
        <v/>
      </c>
      <c r="N315" s="43" t="str">
        <f ca="1">IF(Data!L305="","",IF(ISNUMBER(Data!N305),IF(AND(Data!N305&gt;(TODAY()-(Data_Val!$L$3*365.25)),Data!N305&lt;=(TODAY()-(Data_Val!$L$2*365.25))),0,1),1))</f>
        <v/>
      </c>
      <c r="O315" s="18" t="str">
        <f>IF(Data!$G305="","",IF(Data!$G305=Data_Val!$C$2,IF(Data!O305="",0,1),0))</f>
        <v/>
      </c>
      <c r="P315" s="18" t="str">
        <f>IF(Data!O305="","",IF(ISNUMBER(MATCH(Data!P305,Data_Val!$A$2:$A$3,0)),0,1))</f>
        <v/>
      </c>
      <c r="Q315" s="44" t="str">
        <f ca="1">IF(Data!O305="","",IF(ISNUMBER(Data!Q305),IF(AND(Data!Q305&gt;(TODAY()-(Data_Val!$L$3*365.25)),Data!Q305&lt;=(TODAY()-(Data_Val!$L$2*365.25))),0,1),1))</f>
        <v/>
      </c>
    </row>
    <row r="316" spans="1:17" ht="12" customHeight="1" x14ac:dyDescent="0.25">
      <c r="A316" s="36" t="str">
        <f>IF(Data!B306="","",IF(COUNTIFS(Data!A$1:'Data'!A306,Data!A306)&lt;=1,0,1))</f>
        <v/>
      </c>
      <c r="B316" s="36"/>
      <c r="C316" s="36" t="str">
        <f>IF(Data!C306="","",(IF(ISNUMBER(MATCH("*@*.?*",Data!C306,0)),0,1)+IF(COUNTIFS(Data!C$1:'Data'!C306,Data!C306)&gt;1,1,0)))</f>
        <v/>
      </c>
      <c r="D316" s="36" t="str">
        <f>IF(Data!B306="","",IF(ISNUMBER(Data!D306),IF(AND(Data!D306&gt;999999999,Data!D306&lt;=9999999999),IF(COUNTIFS(Data!D$1:'Data'!D306,Data!D306)&lt;=1,0,1),1),1))</f>
        <v/>
      </c>
      <c r="E316" s="36" t="str">
        <f>IF(Data!B306="","",IF(ISNUMBER(MATCH(Data!E306,Data_Val!$A$2:$A$3,0)),0,1))</f>
        <v/>
      </c>
      <c r="F316" s="36" t="str">
        <f ca="1">IF(Data!B306="","",IF(ISNUMBER(Data!F306),IF(AND(Data!F306&gt;(TODAY()-(Data_Val!$H$3*365.25)),Data!F306&lt;=(TODAY()-(Data_Val!$H$2*365.25))),0,1),1))</f>
        <v/>
      </c>
      <c r="G316" s="12" t="str">
        <f>IF(Data!B306="","",IF(AND(Data!G306="",Data!H306&lt;&gt;""),1,IF(ISNUMBER(MATCH(Data!G306,Data_Val!$C$2:$C$5,0)),0,1)))</f>
        <v/>
      </c>
      <c r="H316" s="12" t="str">
        <f>IF(Data!B306="","",IF(AND(Data!G306&lt;&gt;"",Data!H306=""),1,IF(Data!G306="",1,IF(ISNUMBER(MATCH(Data!H306,Data_Val!$D$2:$D$35,0)),0,1))))</f>
        <v/>
      </c>
      <c r="I316" s="38" t="str">
        <f>IF(Data!G306="","",IF(Data!G306=Data_Val!$C$2,IF(Data!I306="",0,1),0))</f>
        <v/>
      </c>
      <c r="J316" s="38" t="str">
        <f>IF(Data!I306="","",IF(ISNUMBER(MATCH(Data!J306,Data_Val!$A$2:$A$3,0)),0,1))</f>
        <v/>
      </c>
      <c r="K316" s="38" t="str">
        <f ca="1">IF(Data!I306="","",IF(ISNUMBER(Data!K306),IF(AND(Data!K306&gt;(TODAY()-(Data_Val!$K$3*365.25)),Data!K306&lt;=(TODAY()-(Data_Val!$K$2*365.25))),0,1),1))</f>
        <v/>
      </c>
      <c r="L316" s="16" t="str">
        <f>IF(Data!G306="","",IF(Data!G306=Data_Val!$C$2,IF(Data!L306="",0,1),0))</f>
        <v/>
      </c>
      <c r="M316" s="16" t="str">
        <f>IF(Data!L306="","",IF(ISNUMBER(MATCH(Data!M306,Data_Val!$A$2:$A$3,0)),0,1))</f>
        <v/>
      </c>
      <c r="N316" s="43" t="str">
        <f ca="1">IF(Data!L306="","",IF(ISNUMBER(Data!N306),IF(AND(Data!N306&gt;(TODAY()-(Data_Val!$L$3*365.25)),Data!N306&lt;=(TODAY()-(Data_Val!$L$2*365.25))),0,1),1))</f>
        <v/>
      </c>
      <c r="O316" s="18" t="str">
        <f>IF(Data!$G306="","",IF(Data!$G306=Data_Val!$C$2,IF(Data!O306="",0,1),0))</f>
        <v/>
      </c>
      <c r="P316" s="18" t="str">
        <f>IF(Data!O306="","",IF(ISNUMBER(MATCH(Data!P306,Data_Val!$A$2:$A$3,0)),0,1))</f>
        <v/>
      </c>
      <c r="Q316" s="44" t="str">
        <f ca="1">IF(Data!O306="","",IF(ISNUMBER(Data!Q306),IF(AND(Data!Q306&gt;(TODAY()-(Data_Val!$L$3*365.25)),Data!Q306&lt;=(TODAY()-(Data_Val!$L$2*365.25))),0,1),1))</f>
        <v/>
      </c>
    </row>
    <row r="317" spans="1:17" ht="12" customHeight="1" x14ac:dyDescent="0.25">
      <c r="A317" s="36" t="str">
        <f>IF(Data!B307="","",IF(COUNTIFS(Data!A$1:'Data'!A307,Data!A307)&lt;=1,0,1))</f>
        <v/>
      </c>
      <c r="B317" s="36"/>
      <c r="C317" s="36" t="str">
        <f>IF(Data!C307="","",(IF(ISNUMBER(MATCH("*@*.?*",Data!C307,0)),0,1)+IF(COUNTIFS(Data!C$1:'Data'!C307,Data!C307)&gt;1,1,0)))</f>
        <v/>
      </c>
      <c r="D317" s="36" t="str">
        <f>IF(Data!B307="","",IF(ISNUMBER(Data!D307),IF(AND(Data!D307&gt;999999999,Data!D307&lt;=9999999999),IF(COUNTIFS(Data!D$1:'Data'!D307,Data!D307)&lt;=1,0,1),1),1))</f>
        <v/>
      </c>
      <c r="E317" s="36" t="str">
        <f>IF(Data!B307="","",IF(ISNUMBER(MATCH(Data!E307,Data_Val!$A$2:$A$3,0)),0,1))</f>
        <v/>
      </c>
      <c r="F317" s="36" t="str">
        <f ca="1">IF(Data!B307="","",IF(ISNUMBER(Data!F307),IF(AND(Data!F307&gt;(TODAY()-(Data_Val!$H$3*365.25)),Data!F307&lt;=(TODAY()-(Data_Val!$H$2*365.25))),0,1),1))</f>
        <v/>
      </c>
      <c r="G317" s="12" t="str">
        <f>IF(Data!B307="","",IF(AND(Data!G307="",Data!H307&lt;&gt;""),1,IF(ISNUMBER(MATCH(Data!G307,Data_Val!$C$2:$C$5,0)),0,1)))</f>
        <v/>
      </c>
      <c r="H317" s="12" t="str">
        <f>IF(Data!B307="","",IF(AND(Data!G307&lt;&gt;"",Data!H307=""),1,IF(Data!G307="",1,IF(ISNUMBER(MATCH(Data!H307,Data_Val!$D$2:$D$35,0)),0,1))))</f>
        <v/>
      </c>
      <c r="I317" s="38" t="str">
        <f>IF(Data!G307="","",IF(Data!G307=Data_Val!$C$2,IF(Data!I307="",0,1),0))</f>
        <v/>
      </c>
      <c r="J317" s="38" t="str">
        <f>IF(Data!I307="","",IF(ISNUMBER(MATCH(Data!J307,Data_Val!$A$2:$A$3,0)),0,1))</f>
        <v/>
      </c>
      <c r="K317" s="38" t="str">
        <f ca="1">IF(Data!I307="","",IF(ISNUMBER(Data!K307),IF(AND(Data!K307&gt;(TODAY()-(Data_Val!$K$3*365.25)),Data!K307&lt;=(TODAY()-(Data_Val!$K$2*365.25))),0,1),1))</f>
        <v/>
      </c>
      <c r="L317" s="16" t="str">
        <f>IF(Data!G307="","",IF(Data!G307=Data_Val!$C$2,IF(Data!L307="",0,1),0))</f>
        <v/>
      </c>
      <c r="M317" s="16" t="str">
        <f>IF(Data!L307="","",IF(ISNUMBER(MATCH(Data!M307,Data_Val!$A$2:$A$3,0)),0,1))</f>
        <v/>
      </c>
      <c r="N317" s="43" t="str">
        <f ca="1">IF(Data!L307="","",IF(ISNUMBER(Data!N307),IF(AND(Data!N307&gt;(TODAY()-(Data_Val!$L$3*365.25)),Data!N307&lt;=(TODAY()-(Data_Val!$L$2*365.25))),0,1),1))</f>
        <v/>
      </c>
      <c r="O317" s="18" t="str">
        <f>IF(Data!$G307="","",IF(Data!$G307=Data_Val!$C$2,IF(Data!O307="",0,1),0))</f>
        <v/>
      </c>
      <c r="P317" s="18" t="str">
        <f>IF(Data!O307="","",IF(ISNUMBER(MATCH(Data!P307,Data_Val!$A$2:$A$3,0)),0,1))</f>
        <v/>
      </c>
      <c r="Q317" s="44" t="str">
        <f ca="1">IF(Data!O307="","",IF(ISNUMBER(Data!Q307),IF(AND(Data!Q307&gt;(TODAY()-(Data_Val!$L$3*365.25)),Data!Q307&lt;=(TODAY()-(Data_Val!$L$2*365.25))),0,1),1))</f>
        <v/>
      </c>
    </row>
    <row r="318" spans="1:17" ht="12" customHeight="1" x14ac:dyDescent="0.25">
      <c r="A318" s="36" t="str">
        <f>IF(Data!B308="","",IF(COUNTIFS(Data!A$1:'Data'!A308,Data!A308)&lt;=1,0,1))</f>
        <v/>
      </c>
      <c r="B318" s="36"/>
      <c r="C318" s="36" t="str">
        <f>IF(Data!C308="","",(IF(ISNUMBER(MATCH("*@*.?*",Data!C308,0)),0,1)+IF(COUNTIFS(Data!C$1:'Data'!C308,Data!C308)&gt;1,1,0)))</f>
        <v/>
      </c>
      <c r="D318" s="36" t="str">
        <f>IF(Data!B308="","",IF(ISNUMBER(Data!D308),IF(AND(Data!D308&gt;999999999,Data!D308&lt;=9999999999),IF(COUNTIFS(Data!D$1:'Data'!D308,Data!D308)&lt;=1,0,1),1),1))</f>
        <v/>
      </c>
      <c r="E318" s="36" t="str">
        <f>IF(Data!B308="","",IF(ISNUMBER(MATCH(Data!E308,Data_Val!$A$2:$A$3,0)),0,1))</f>
        <v/>
      </c>
      <c r="F318" s="36" t="str">
        <f ca="1">IF(Data!B308="","",IF(ISNUMBER(Data!F308),IF(AND(Data!F308&gt;(TODAY()-(Data_Val!$H$3*365.25)),Data!F308&lt;=(TODAY()-(Data_Val!$H$2*365.25))),0,1),1))</f>
        <v/>
      </c>
      <c r="G318" s="12" t="str">
        <f>IF(Data!B308="","",IF(AND(Data!G308="",Data!H308&lt;&gt;""),1,IF(ISNUMBER(MATCH(Data!G308,Data_Val!$C$2:$C$5,0)),0,1)))</f>
        <v/>
      </c>
      <c r="H318" s="12" t="str">
        <f>IF(Data!B308="","",IF(AND(Data!G308&lt;&gt;"",Data!H308=""),1,IF(Data!G308="",1,IF(ISNUMBER(MATCH(Data!H308,Data_Val!$D$2:$D$35,0)),0,1))))</f>
        <v/>
      </c>
      <c r="I318" s="38" t="str">
        <f>IF(Data!G308="","",IF(Data!G308=Data_Val!$C$2,IF(Data!I308="",0,1),0))</f>
        <v/>
      </c>
      <c r="J318" s="38" t="str">
        <f>IF(Data!I308="","",IF(ISNUMBER(MATCH(Data!J308,Data_Val!$A$2:$A$3,0)),0,1))</f>
        <v/>
      </c>
      <c r="K318" s="38" t="str">
        <f ca="1">IF(Data!I308="","",IF(ISNUMBER(Data!K308),IF(AND(Data!K308&gt;(TODAY()-(Data_Val!$K$3*365.25)),Data!K308&lt;=(TODAY()-(Data_Val!$K$2*365.25))),0,1),1))</f>
        <v/>
      </c>
      <c r="L318" s="16" t="str">
        <f>IF(Data!G308="","",IF(Data!G308=Data_Val!$C$2,IF(Data!L308="",0,1),0))</f>
        <v/>
      </c>
      <c r="M318" s="16" t="str">
        <f>IF(Data!L308="","",IF(ISNUMBER(MATCH(Data!M308,Data_Val!$A$2:$A$3,0)),0,1))</f>
        <v/>
      </c>
      <c r="N318" s="43" t="str">
        <f ca="1">IF(Data!L308="","",IF(ISNUMBER(Data!N308),IF(AND(Data!N308&gt;(TODAY()-(Data_Val!$L$3*365.25)),Data!N308&lt;=(TODAY()-(Data_Val!$L$2*365.25))),0,1),1))</f>
        <v/>
      </c>
      <c r="O318" s="18" t="str">
        <f>IF(Data!$G308="","",IF(Data!$G308=Data_Val!$C$2,IF(Data!O308="",0,1),0))</f>
        <v/>
      </c>
      <c r="P318" s="18" t="str">
        <f>IF(Data!O308="","",IF(ISNUMBER(MATCH(Data!P308,Data_Val!$A$2:$A$3,0)),0,1))</f>
        <v/>
      </c>
      <c r="Q318" s="44" t="str">
        <f ca="1">IF(Data!O308="","",IF(ISNUMBER(Data!Q308),IF(AND(Data!Q308&gt;(TODAY()-(Data_Val!$L$3*365.25)),Data!Q308&lt;=(TODAY()-(Data_Val!$L$2*365.25))),0,1),1))</f>
        <v/>
      </c>
    </row>
    <row r="319" spans="1:17" ht="12" customHeight="1" x14ac:dyDescent="0.25">
      <c r="A319" s="36" t="str">
        <f>IF(Data!B309="","",IF(COUNTIFS(Data!A$1:'Data'!A309,Data!A309)&lt;=1,0,1))</f>
        <v/>
      </c>
      <c r="B319" s="36"/>
      <c r="C319" s="36" t="str">
        <f>IF(Data!C309="","",(IF(ISNUMBER(MATCH("*@*.?*",Data!C309,0)),0,1)+IF(COUNTIFS(Data!C$1:'Data'!C309,Data!C309)&gt;1,1,0)))</f>
        <v/>
      </c>
      <c r="D319" s="36" t="str">
        <f>IF(Data!B309="","",IF(ISNUMBER(Data!D309),IF(AND(Data!D309&gt;999999999,Data!D309&lt;=9999999999),IF(COUNTIFS(Data!D$1:'Data'!D309,Data!D309)&lt;=1,0,1),1),1))</f>
        <v/>
      </c>
      <c r="E319" s="36" t="str">
        <f>IF(Data!B309="","",IF(ISNUMBER(MATCH(Data!E309,Data_Val!$A$2:$A$3,0)),0,1))</f>
        <v/>
      </c>
      <c r="F319" s="36" t="str">
        <f ca="1">IF(Data!B309="","",IF(ISNUMBER(Data!F309),IF(AND(Data!F309&gt;(TODAY()-(Data_Val!$H$3*365.25)),Data!F309&lt;=(TODAY()-(Data_Val!$H$2*365.25))),0,1),1))</f>
        <v/>
      </c>
      <c r="G319" s="12" t="str">
        <f>IF(Data!B309="","",IF(AND(Data!G309="",Data!H309&lt;&gt;""),1,IF(ISNUMBER(MATCH(Data!G309,Data_Val!$C$2:$C$5,0)),0,1)))</f>
        <v/>
      </c>
      <c r="H319" s="12" t="str">
        <f>IF(Data!B309="","",IF(AND(Data!G309&lt;&gt;"",Data!H309=""),1,IF(Data!G309="",1,IF(ISNUMBER(MATCH(Data!H309,Data_Val!$D$2:$D$35,0)),0,1))))</f>
        <v/>
      </c>
      <c r="I319" s="38" t="str">
        <f>IF(Data!G309="","",IF(Data!G309=Data_Val!$C$2,IF(Data!I309="",0,1),0))</f>
        <v/>
      </c>
      <c r="J319" s="38" t="str">
        <f>IF(Data!I309="","",IF(ISNUMBER(MATCH(Data!J309,Data_Val!$A$2:$A$3,0)),0,1))</f>
        <v/>
      </c>
      <c r="K319" s="38" t="str">
        <f ca="1">IF(Data!I309="","",IF(ISNUMBER(Data!K309),IF(AND(Data!K309&gt;(TODAY()-(Data_Val!$K$3*365.25)),Data!K309&lt;=(TODAY()-(Data_Val!$K$2*365.25))),0,1),1))</f>
        <v/>
      </c>
      <c r="L319" s="16" t="str">
        <f>IF(Data!G309="","",IF(Data!G309=Data_Val!$C$2,IF(Data!L309="",0,1),0))</f>
        <v/>
      </c>
      <c r="M319" s="16" t="str">
        <f>IF(Data!L309="","",IF(ISNUMBER(MATCH(Data!M309,Data_Val!$A$2:$A$3,0)),0,1))</f>
        <v/>
      </c>
      <c r="N319" s="43" t="str">
        <f ca="1">IF(Data!L309="","",IF(ISNUMBER(Data!N309),IF(AND(Data!N309&gt;(TODAY()-(Data_Val!$L$3*365.25)),Data!N309&lt;=(TODAY()-(Data_Val!$L$2*365.25))),0,1),1))</f>
        <v/>
      </c>
      <c r="O319" s="18" t="str">
        <f>IF(Data!$G309="","",IF(Data!$G309=Data_Val!$C$2,IF(Data!O309="",0,1),0))</f>
        <v/>
      </c>
      <c r="P319" s="18" t="str">
        <f>IF(Data!O309="","",IF(ISNUMBER(MATCH(Data!P309,Data_Val!$A$2:$A$3,0)),0,1))</f>
        <v/>
      </c>
      <c r="Q319" s="44" t="str">
        <f ca="1">IF(Data!O309="","",IF(ISNUMBER(Data!Q309),IF(AND(Data!Q309&gt;(TODAY()-(Data_Val!$L$3*365.25)),Data!Q309&lt;=(TODAY()-(Data_Val!$L$2*365.25))),0,1),1))</f>
        <v/>
      </c>
    </row>
    <row r="320" spans="1:17" ht="12" customHeight="1" x14ac:dyDescent="0.25">
      <c r="A320" s="36" t="str">
        <f>IF(Data!B310="","",IF(COUNTIFS(Data!A$1:'Data'!A310,Data!A310)&lt;=1,0,1))</f>
        <v/>
      </c>
      <c r="B320" s="36"/>
      <c r="C320" s="36" t="str">
        <f>IF(Data!C310="","",(IF(ISNUMBER(MATCH("*@*.?*",Data!C310,0)),0,1)+IF(COUNTIFS(Data!C$1:'Data'!C310,Data!C310)&gt;1,1,0)))</f>
        <v/>
      </c>
      <c r="D320" s="36" t="str">
        <f>IF(Data!B310="","",IF(ISNUMBER(Data!D310),IF(AND(Data!D310&gt;999999999,Data!D310&lt;=9999999999),IF(COUNTIFS(Data!D$1:'Data'!D310,Data!D310)&lt;=1,0,1),1),1))</f>
        <v/>
      </c>
      <c r="E320" s="36" t="str">
        <f>IF(Data!B310="","",IF(ISNUMBER(MATCH(Data!E310,Data_Val!$A$2:$A$3,0)),0,1))</f>
        <v/>
      </c>
      <c r="F320" s="36" t="str">
        <f ca="1">IF(Data!B310="","",IF(ISNUMBER(Data!F310),IF(AND(Data!F310&gt;(TODAY()-(Data_Val!$H$3*365.25)),Data!F310&lt;=(TODAY()-(Data_Val!$H$2*365.25))),0,1),1))</f>
        <v/>
      </c>
      <c r="G320" s="12" t="str">
        <f>IF(Data!B310="","",IF(AND(Data!G310="",Data!H310&lt;&gt;""),1,IF(ISNUMBER(MATCH(Data!G310,Data_Val!$C$2:$C$5,0)),0,1)))</f>
        <v/>
      </c>
      <c r="H320" s="12" t="str">
        <f>IF(Data!B310="","",IF(AND(Data!G310&lt;&gt;"",Data!H310=""),1,IF(Data!G310="",1,IF(ISNUMBER(MATCH(Data!H310,Data_Val!$D$2:$D$35,0)),0,1))))</f>
        <v/>
      </c>
      <c r="I320" s="38" t="str">
        <f>IF(Data!G310="","",IF(Data!G310=Data_Val!$C$2,IF(Data!I310="",0,1),0))</f>
        <v/>
      </c>
      <c r="J320" s="38" t="str">
        <f>IF(Data!I310="","",IF(ISNUMBER(MATCH(Data!J310,Data_Val!$A$2:$A$3,0)),0,1))</f>
        <v/>
      </c>
      <c r="K320" s="38" t="str">
        <f ca="1">IF(Data!I310="","",IF(ISNUMBER(Data!K310),IF(AND(Data!K310&gt;(TODAY()-(Data_Val!$K$3*365.25)),Data!K310&lt;=(TODAY()-(Data_Val!$K$2*365.25))),0,1),1))</f>
        <v/>
      </c>
      <c r="L320" s="16" t="str">
        <f>IF(Data!G310="","",IF(Data!G310=Data_Val!$C$2,IF(Data!L310="",0,1),0))</f>
        <v/>
      </c>
      <c r="M320" s="16" t="str">
        <f>IF(Data!L310="","",IF(ISNUMBER(MATCH(Data!M310,Data_Val!$A$2:$A$3,0)),0,1))</f>
        <v/>
      </c>
      <c r="N320" s="43" t="str">
        <f ca="1">IF(Data!L310="","",IF(ISNUMBER(Data!N310),IF(AND(Data!N310&gt;(TODAY()-(Data_Val!$L$3*365.25)),Data!N310&lt;=(TODAY()-(Data_Val!$L$2*365.25))),0,1),1))</f>
        <v/>
      </c>
      <c r="O320" s="18" t="str">
        <f>IF(Data!$G310="","",IF(Data!$G310=Data_Val!$C$2,IF(Data!O310="",0,1),0))</f>
        <v/>
      </c>
      <c r="P320" s="18" t="str">
        <f>IF(Data!O310="","",IF(ISNUMBER(MATCH(Data!P310,Data_Val!$A$2:$A$3,0)),0,1))</f>
        <v/>
      </c>
      <c r="Q320" s="44" t="str">
        <f ca="1">IF(Data!O310="","",IF(ISNUMBER(Data!Q310),IF(AND(Data!Q310&gt;(TODAY()-(Data_Val!$L$3*365.25)),Data!Q310&lt;=(TODAY()-(Data_Val!$L$2*365.25))),0,1),1))</f>
        <v/>
      </c>
    </row>
    <row r="321" spans="1:17" ht="12" customHeight="1" x14ac:dyDescent="0.25">
      <c r="A321" s="36" t="str">
        <f>IF(Data!B311="","",IF(COUNTIFS(Data!A$1:'Data'!A311,Data!A311)&lt;=1,0,1))</f>
        <v/>
      </c>
      <c r="B321" s="36"/>
      <c r="C321" s="36" t="str">
        <f>IF(Data!C311="","",(IF(ISNUMBER(MATCH("*@*.?*",Data!C311,0)),0,1)+IF(COUNTIFS(Data!C$1:'Data'!C311,Data!C311)&gt;1,1,0)))</f>
        <v/>
      </c>
      <c r="D321" s="36" t="str">
        <f>IF(Data!B311="","",IF(ISNUMBER(Data!D311),IF(AND(Data!D311&gt;999999999,Data!D311&lt;=9999999999),IF(COUNTIFS(Data!D$1:'Data'!D311,Data!D311)&lt;=1,0,1),1),1))</f>
        <v/>
      </c>
      <c r="E321" s="36" t="str">
        <f>IF(Data!B311="","",IF(ISNUMBER(MATCH(Data!E311,Data_Val!$A$2:$A$3,0)),0,1))</f>
        <v/>
      </c>
      <c r="F321" s="36" t="str">
        <f ca="1">IF(Data!B311="","",IF(ISNUMBER(Data!F311),IF(AND(Data!F311&gt;(TODAY()-(Data_Val!$H$3*365.25)),Data!F311&lt;=(TODAY()-(Data_Val!$H$2*365.25))),0,1),1))</f>
        <v/>
      </c>
      <c r="G321" s="12" t="str">
        <f>IF(Data!B311="","",IF(AND(Data!G311="",Data!H311&lt;&gt;""),1,IF(ISNUMBER(MATCH(Data!G311,Data_Val!$C$2:$C$5,0)),0,1)))</f>
        <v/>
      </c>
      <c r="H321" s="12" t="str">
        <f>IF(Data!B311="","",IF(AND(Data!G311&lt;&gt;"",Data!H311=""),1,IF(Data!G311="",1,IF(ISNUMBER(MATCH(Data!H311,Data_Val!$D$2:$D$35,0)),0,1))))</f>
        <v/>
      </c>
      <c r="I321" s="38" t="str">
        <f>IF(Data!G311="","",IF(Data!G311=Data_Val!$C$2,IF(Data!I311="",0,1),0))</f>
        <v/>
      </c>
      <c r="J321" s="38" t="str">
        <f>IF(Data!I311="","",IF(ISNUMBER(MATCH(Data!J311,Data_Val!$A$2:$A$3,0)),0,1))</f>
        <v/>
      </c>
      <c r="K321" s="38" t="str">
        <f ca="1">IF(Data!I311="","",IF(ISNUMBER(Data!K311),IF(AND(Data!K311&gt;(TODAY()-(Data_Val!$K$3*365.25)),Data!K311&lt;=(TODAY()-(Data_Val!$K$2*365.25))),0,1),1))</f>
        <v/>
      </c>
      <c r="L321" s="16" t="str">
        <f>IF(Data!G311="","",IF(Data!G311=Data_Val!$C$2,IF(Data!L311="",0,1),0))</f>
        <v/>
      </c>
      <c r="M321" s="16" t="str">
        <f>IF(Data!L311="","",IF(ISNUMBER(MATCH(Data!M311,Data_Val!$A$2:$A$3,0)),0,1))</f>
        <v/>
      </c>
      <c r="N321" s="43" t="str">
        <f ca="1">IF(Data!L311="","",IF(ISNUMBER(Data!N311),IF(AND(Data!N311&gt;(TODAY()-(Data_Val!$L$3*365.25)),Data!N311&lt;=(TODAY()-(Data_Val!$L$2*365.25))),0,1),1))</f>
        <v/>
      </c>
      <c r="O321" s="18" t="str">
        <f>IF(Data!$G311="","",IF(Data!$G311=Data_Val!$C$2,IF(Data!O311="",0,1),0))</f>
        <v/>
      </c>
      <c r="P321" s="18" t="str">
        <f>IF(Data!O311="","",IF(ISNUMBER(MATCH(Data!P311,Data_Val!$A$2:$A$3,0)),0,1))</f>
        <v/>
      </c>
      <c r="Q321" s="44" t="str">
        <f ca="1">IF(Data!O311="","",IF(ISNUMBER(Data!Q311),IF(AND(Data!Q311&gt;(TODAY()-(Data_Val!$L$3*365.25)),Data!Q311&lt;=(TODAY()-(Data_Val!$L$2*365.25))),0,1),1))</f>
        <v/>
      </c>
    </row>
    <row r="322" spans="1:17" ht="12" customHeight="1" x14ac:dyDescent="0.25">
      <c r="A322" s="36" t="str">
        <f>IF(Data!B312="","",IF(COUNTIFS(Data!A$1:'Data'!A312,Data!A312)&lt;=1,0,1))</f>
        <v/>
      </c>
      <c r="B322" s="36"/>
      <c r="C322" s="36" t="str">
        <f>IF(Data!C312="","",(IF(ISNUMBER(MATCH("*@*.?*",Data!C312,0)),0,1)+IF(COUNTIFS(Data!C$1:'Data'!C312,Data!C312)&gt;1,1,0)))</f>
        <v/>
      </c>
      <c r="D322" s="36" t="str">
        <f>IF(Data!B312="","",IF(ISNUMBER(Data!D312),IF(AND(Data!D312&gt;999999999,Data!D312&lt;=9999999999),IF(COUNTIFS(Data!D$1:'Data'!D312,Data!D312)&lt;=1,0,1),1),1))</f>
        <v/>
      </c>
      <c r="E322" s="36" t="str">
        <f>IF(Data!B312="","",IF(ISNUMBER(MATCH(Data!E312,Data_Val!$A$2:$A$3,0)),0,1))</f>
        <v/>
      </c>
      <c r="F322" s="36" t="str">
        <f ca="1">IF(Data!B312="","",IF(ISNUMBER(Data!F312),IF(AND(Data!F312&gt;(TODAY()-(Data_Val!$H$3*365.25)),Data!F312&lt;=(TODAY()-(Data_Val!$H$2*365.25))),0,1),1))</f>
        <v/>
      </c>
      <c r="G322" s="12" t="str">
        <f>IF(Data!B312="","",IF(AND(Data!G312="",Data!H312&lt;&gt;""),1,IF(ISNUMBER(MATCH(Data!G312,Data_Val!$C$2:$C$5,0)),0,1)))</f>
        <v/>
      </c>
      <c r="H322" s="12" t="str">
        <f>IF(Data!B312="","",IF(AND(Data!G312&lt;&gt;"",Data!H312=""),1,IF(Data!G312="",1,IF(ISNUMBER(MATCH(Data!H312,Data_Val!$D$2:$D$35,0)),0,1))))</f>
        <v/>
      </c>
      <c r="I322" s="38" t="str">
        <f>IF(Data!G312="","",IF(Data!G312=Data_Val!$C$2,IF(Data!I312="",0,1),0))</f>
        <v/>
      </c>
      <c r="J322" s="38" t="str">
        <f>IF(Data!I312="","",IF(ISNUMBER(MATCH(Data!J312,Data_Val!$A$2:$A$3,0)),0,1))</f>
        <v/>
      </c>
      <c r="K322" s="38" t="str">
        <f ca="1">IF(Data!I312="","",IF(ISNUMBER(Data!K312),IF(AND(Data!K312&gt;(TODAY()-(Data_Val!$K$3*365.25)),Data!K312&lt;=(TODAY()-(Data_Val!$K$2*365.25))),0,1),1))</f>
        <v/>
      </c>
      <c r="L322" s="16" t="str">
        <f>IF(Data!G312="","",IF(Data!G312=Data_Val!$C$2,IF(Data!L312="",0,1),0))</f>
        <v/>
      </c>
      <c r="M322" s="16" t="str">
        <f>IF(Data!L312="","",IF(ISNUMBER(MATCH(Data!M312,Data_Val!$A$2:$A$3,0)),0,1))</f>
        <v/>
      </c>
      <c r="N322" s="43" t="str">
        <f ca="1">IF(Data!L312="","",IF(ISNUMBER(Data!N312),IF(AND(Data!N312&gt;(TODAY()-(Data_Val!$L$3*365.25)),Data!N312&lt;=(TODAY()-(Data_Val!$L$2*365.25))),0,1),1))</f>
        <v/>
      </c>
      <c r="O322" s="18" t="str">
        <f>IF(Data!$G312="","",IF(Data!$G312=Data_Val!$C$2,IF(Data!O312="",0,1),0))</f>
        <v/>
      </c>
      <c r="P322" s="18" t="str">
        <f>IF(Data!O312="","",IF(ISNUMBER(MATCH(Data!P312,Data_Val!$A$2:$A$3,0)),0,1))</f>
        <v/>
      </c>
      <c r="Q322" s="44" t="str">
        <f ca="1">IF(Data!O312="","",IF(ISNUMBER(Data!Q312),IF(AND(Data!Q312&gt;(TODAY()-(Data_Val!$L$3*365.25)),Data!Q312&lt;=(TODAY()-(Data_Val!$L$2*365.25))),0,1),1))</f>
        <v/>
      </c>
    </row>
    <row r="323" spans="1:17" ht="12" customHeight="1" x14ac:dyDescent="0.25">
      <c r="A323" s="36" t="str">
        <f>IF(Data!B313="","",IF(COUNTIFS(Data!A$1:'Data'!A313,Data!A313)&lt;=1,0,1))</f>
        <v/>
      </c>
      <c r="B323" s="36"/>
      <c r="C323" s="36" t="str">
        <f>IF(Data!C313="","",(IF(ISNUMBER(MATCH("*@*.?*",Data!C313,0)),0,1)+IF(COUNTIFS(Data!C$1:'Data'!C313,Data!C313)&gt;1,1,0)))</f>
        <v/>
      </c>
      <c r="D323" s="36" t="str">
        <f>IF(Data!B313="","",IF(ISNUMBER(Data!D313),IF(AND(Data!D313&gt;999999999,Data!D313&lt;=9999999999),IF(COUNTIFS(Data!D$1:'Data'!D313,Data!D313)&lt;=1,0,1),1),1))</f>
        <v/>
      </c>
      <c r="E323" s="36" t="str">
        <f>IF(Data!B313="","",IF(ISNUMBER(MATCH(Data!E313,Data_Val!$A$2:$A$3,0)),0,1))</f>
        <v/>
      </c>
      <c r="F323" s="36" t="str">
        <f ca="1">IF(Data!B313="","",IF(ISNUMBER(Data!F313),IF(AND(Data!F313&gt;(TODAY()-(Data_Val!$H$3*365.25)),Data!F313&lt;=(TODAY()-(Data_Val!$H$2*365.25))),0,1),1))</f>
        <v/>
      </c>
      <c r="G323" s="12" t="str">
        <f>IF(Data!B313="","",IF(AND(Data!G313="",Data!H313&lt;&gt;""),1,IF(ISNUMBER(MATCH(Data!G313,Data_Val!$C$2:$C$5,0)),0,1)))</f>
        <v/>
      </c>
      <c r="H323" s="12" t="str">
        <f>IF(Data!B313="","",IF(AND(Data!G313&lt;&gt;"",Data!H313=""),1,IF(Data!G313="",1,IF(ISNUMBER(MATCH(Data!H313,Data_Val!$D$2:$D$35,0)),0,1))))</f>
        <v/>
      </c>
      <c r="I323" s="38" t="str">
        <f>IF(Data!G313="","",IF(Data!G313=Data_Val!$C$2,IF(Data!I313="",0,1),0))</f>
        <v/>
      </c>
      <c r="J323" s="38" t="str">
        <f>IF(Data!I313="","",IF(ISNUMBER(MATCH(Data!J313,Data_Val!$A$2:$A$3,0)),0,1))</f>
        <v/>
      </c>
      <c r="K323" s="38" t="str">
        <f ca="1">IF(Data!I313="","",IF(ISNUMBER(Data!K313),IF(AND(Data!K313&gt;(TODAY()-(Data_Val!$K$3*365.25)),Data!K313&lt;=(TODAY()-(Data_Val!$K$2*365.25))),0,1),1))</f>
        <v/>
      </c>
      <c r="L323" s="16" t="str">
        <f>IF(Data!G313="","",IF(Data!G313=Data_Val!$C$2,IF(Data!L313="",0,1),0))</f>
        <v/>
      </c>
      <c r="M323" s="16" t="str">
        <f>IF(Data!L313="","",IF(ISNUMBER(MATCH(Data!M313,Data_Val!$A$2:$A$3,0)),0,1))</f>
        <v/>
      </c>
      <c r="N323" s="43" t="str">
        <f ca="1">IF(Data!L313="","",IF(ISNUMBER(Data!N313),IF(AND(Data!N313&gt;(TODAY()-(Data_Val!$L$3*365.25)),Data!N313&lt;=(TODAY()-(Data_Val!$L$2*365.25))),0,1),1))</f>
        <v/>
      </c>
      <c r="O323" s="18" t="str">
        <f>IF(Data!$G313="","",IF(Data!$G313=Data_Val!$C$2,IF(Data!O313="",0,1),0))</f>
        <v/>
      </c>
      <c r="P323" s="18" t="str">
        <f>IF(Data!O313="","",IF(ISNUMBER(MATCH(Data!P313,Data_Val!$A$2:$A$3,0)),0,1))</f>
        <v/>
      </c>
      <c r="Q323" s="44" t="str">
        <f ca="1">IF(Data!O313="","",IF(ISNUMBER(Data!Q313),IF(AND(Data!Q313&gt;(TODAY()-(Data_Val!$L$3*365.25)),Data!Q313&lt;=(TODAY()-(Data_Val!$L$2*365.25))),0,1),1))</f>
        <v/>
      </c>
    </row>
    <row r="324" spans="1:17" ht="12" customHeight="1" x14ac:dyDescent="0.25">
      <c r="A324" s="36" t="str">
        <f>IF(Data!B314="","",IF(COUNTIFS(Data!A$1:'Data'!A314,Data!A314)&lt;=1,0,1))</f>
        <v/>
      </c>
      <c r="B324" s="36"/>
      <c r="C324" s="36" t="str">
        <f>IF(Data!C314="","",(IF(ISNUMBER(MATCH("*@*.?*",Data!C314,0)),0,1)+IF(COUNTIFS(Data!C$1:'Data'!C314,Data!C314)&gt;1,1,0)))</f>
        <v/>
      </c>
      <c r="D324" s="36" t="str">
        <f>IF(Data!B314="","",IF(ISNUMBER(Data!D314),IF(AND(Data!D314&gt;999999999,Data!D314&lt;=9999999999),IF(COUNTIFS(Data!D$1:'Data'!D314,Data!D314)&lt;=1,0,1),1),1))</f>
        <v/>
      </c>
      <c r="E324" s="36" t="str">
        <f>IF(Data!B314="","",IF(ISNUMBER(MATCH(Data!E314,Data_Val!$A$2:$A$3,0)),0,1))</f>
        <v/>
      </c>
      <c r="F324" s="36" t="str">
        <f ca="1">IF(Data!B314="","",IF(ISNUMBER(Data!F314),IF(AND(Data!F314&gt;(TODAY()-(Data_Val!$H$3*365.25)),Data!F314&lt;=(TODAY()-(Data_Val!$H$2*365.25))),0,1),1))</f>
        <v/>
      </c>
      <c r="G324" s="12" t="str">
        <f>IF(Data!B314="","",IF(AND(Data!G314="",Data!H314&lt;&gt;""),1,IF(ISNUMBER(MATCH(Data!G314,Data_Val!$C$2:$C$5,0)),0,1)))</f>
        <v/>
      </c>
      <c r="H324" s="12" t="str">
        <f>IF(Data!B314="","",IF(AND(Data!G314&lt;&gt;"",Data!H314=""),1,IF(Data!G314="",1,IF(ISNUMBER(MATCH(Data!H314,Data_Val!$D$2:$D$35,0)),0,1))))</f>
        <v/>
      </c>
      <c r="I324" s="38" t="str">
        <f>IF(Data!G314="","",IF(Data!G314=Data_Val!$C$2,IF(Data!I314="",0,1),0))</f>
        <v/>
      </c>
      <c r="J324" s="38" t="str">
        <f>IF(Data!I314="","",IF(ISNUMBER(MATCH(Data!J314,Data_Val!$A$2:$A$3,0)),0,1))</f>
        <v/>
      </c>
      <c r="K324" s="38" t="str">
        <f ca="1">IF(Data!I314="","",IF(ISNUMBER(Data!K314),IF(AND(Data!K314&gt;(TODAY()-(Data_Val!$K$3*365.25)),Data!K314&lt;=(TODAY()-(Data_Val!$K$2*365.25))),0,1),1))</f>
        <v/>
      </c>
      <c r="L324" s="16" t="str">
        <f>IF(Data!G314="","",IF(Data!G314=Data_Val!$C$2,IF(Data!L314="",0,1),0))</f>
        <v/>
      </c>
      <c r="M324" s="16" t="str">
        <f>IF(Data!L314="","",IF(ISNUMBER(MATCH(Data!M314,Data_Val!$A$2:$A$3,0)),0,1))</f>
        <v/>
      </c>
      <c r="N324" s="43" t="str">
        <f ca="1">IF(Data!L314="","",IF(ISNUMBER(Data!N314),IF(AND(Data!N314&gt;(TODAY()-(Data_Val!$L$3*365.25)),Data!N314&lt;=(TODAY()-(Data_Val!$L$2*365.25))),0,1),1))</f>
        <v/>
      </c>
      <c r="O324" s="18" t="str">
        <f>IF(Data!$G314="","",IF(Data!$G314=Data_Val!$C$2,IF(Data!O314="",0,1),0))</f>
        <v/>
      </c>
      <c r="P324" s="18" t="str">
        <f>IF(Data!O314="","",IF(ISNUMBER(MATCH(Data!P314,Data_Val!$A$2:$A$3,0)),0,1))</f>
        <v/>
      </c>
      <c r="Q324" s="44" t="str">
        <f ca="1">IF(Data!O314="","",IF(ISNUMBER(Data!Q314),IF(AND(Data!Q314&gt;(TODAY()-(Data_Val!$L$3*365.25)),Data!Q314&lt;=(TODAY()-(Data_Val!$L$2*365.25))),0,1),1))</f>
        <v/>
      </c>
    </row>
    <row r="325" spans="1:17" ht="12" customHeight="1" x14ac:dyDescent="0.25">
      <c r="A325" s="36" t="str">
        <f>IF(Data!B315="","",IF(COUNTIFS(Data!A$1:'Data'!A315,Data!A315)&lt;=1,0,1))</f>
        <v/>
      </c>
      <c r="B325" s="36"/>
      <c r="C325" s="36" t="str">
        <f>IF(Data!C315="","",(IF(ISNUMBER(MATCH("*@*.?*",Data!C315,0)),0,1)+IF(COUNTIFS(Data!C$1:'Data'!C315,Data!C315)&gt;1,1,0)))</f>
        <v/>
      </c>
      <c r="D325" s="36" t="str">
        <f>IF(Data!B315="","",IF(ISNUMBER(Data!D315),IF(AND(Data!D315&gt;999999999,Data!D315&lt;=9999999999),IF(COUNTIFS(Data!D$1:'Data'!D315,Data!D315)&lt;=1,0,1),1),1))</f>
        <v/>
      </c>
      <c r="E325" s="36" t="str">
        <f>IF(Data!B315="","",IF(ISNUMBER(MATCH(Data!E315,Data_Val!$A$2:$A$3,0)),0,1))</f>
        <v/>
      </c>
      <c r="F325" s="36" t="str">
        <f ca="1">IF(Data!B315="","",IF(ISNUMBER(Data!F315),IF(AND(Data!F315&gt;(TODAY()-(Data_Val!$H$3*365.25)),Data!F315&lt;=(TODAY()-(Data_Val!$H$2*365.25))),0,1),1))</f>
        <v/>
      </c>
      <c r="G325" s="12" t="str">
        <f>IF(Data!B315="","",IF(AND(Data!G315="",Data!H315&lt;&gt;""),1,IF(ISNUMBER(MATCH(Data!G315,Data_Val!$C$2:$C$5,0)),0,1)))</f>
        <v/>
      </c>
      <c r="H325" s="12" t="str">
        <f>IF(Data!B315="","",IF(AND(Data!G315&lt;&gt;"",Data!H315=""),1,IF(Data!G315="",1,IF(ISNUMBER(MATCH(Data!H315,Data_Val!$D$2:$D$35,0)),0,1))))</f>
        <v/>
      </c>
      <c r="I325" s="38" t="str">
        <f>IF(Data!G315="","",IF(Data!G315=Data_Val!$C$2,IF(Data!I315="",0,1),0))</f>
        <v/>
      </c>
      <c r="J325" s="38" t="str">
        <f>IF(Data!I315="","",IF(ISNUMBER(MATCH(Data!J315,Data_Val!$A$2:$A$3,0)),0,1))</f>
        <v/>
      </c>
      <c r="K325" s="38" t="str">
        <f ca="1">IF(Data!I315="","",IF(ISNUMBER(Data!K315),IF(AND(Data!K315&gt;(TODAY()-(Data_Val!$K$3*365.25)),Data!K315&lt;=(TODAY()-(Data_Val!$K$2*365.25))),0,1),1))</f>
        <v/>
      </c>
      <c r="L325" s="16" t="str">
        <f>IF(Data!G315="","",IF(Data!G315=Data_Val!$C$2,IF(Data!L315="",0,1),0))</f>
        <v/>
      </c>
      <c r="M325" s="16" t="str">
        <f>IF(Data!L315="","",IF(ISNUMBER(MATCH(Data!M315,Data_Val!$A$2:$A$3,0)),0,1))</f>
        <v/>
      </c>
      <c r="N325" s="43" t="str">
        <f ca="1">IF(Data!L315="","",IF(ISNUMBER(Data!N315),IF(AND(Data!N315&gt;(TODAY()-(Data_Val!$L$3*365.25)),Data!N315&lt;=(TODAY()-(Data_Val!$L$2*365.25))),0,1),1))</f>
        <v/>
      </c>
      <c r="O325" s="18" t="str">
        <f>IF(Data!$G315="","",IF(Data!$G315=Data_Val!$C$2,IF(Data!O315="",0,1),0))</f>
        <v/>
      </c>
      <c r="P325" s="18" t="str">
        <f>IF(Data!O315="","",IF(ISNUMBER(MATCH(Data!P315,Data_Val!$A$2:$A$3,0)),0,1))</f>
        <v/>
      </c>
      <c r="Q325" s="44" t="str">
        <f ca="1">IF(Data!O315="","",IF(ISNUMBER(Data!Q315),IF(AND(Data!Q315&gt;(TODAY()-(Data_Val!$L$3*365.25)),Data!Q315&lt;=(TODAY()-(Data_Val!$L$2*365.25))),0,1),1))</f>
        <v/>
      </c>
    </row>
    <row r="326" spans="1:17" ht="12" customHeight="1" x14ac:dyDescent="0.25">
      <c r="A326" s="36" t="str">
        <f>IF(Data!B316="","",IF(COUNTIFS(Data!A$1:'Data'!A316,Data!A316)&lt;=1,0,1))</f>
        <v/>
      </c>
      <c r="B326" s="36"/>
      <c r="C326" s="36" t="str">
        <f>IF(Data!C316="","",(IF(ISNUMBER(MATCH("*@*.?*",Data!C316,0)),0,1)+IF(COUNTIFS(Data!C$1:'Data'!C316,Data!C316)&gt;1,1,0)))</f>
        <v/>
      </c>
      <c r="D326" s="36" t="str">
        <f>IF(Data!B316="","",IF(ISNUMBER(Data!D316),IF(AND(Data!D316&gt;999999999,Data!D316&lt;=9999999999),IF(COUNTIFS(Data!D$1:'Data'!D316,Data!D316)&lt;=1,0,1),1),1))</f>
        <v/>
      </c>
      <c r="E326" s="36" t="str">
        <f>IF(Data!B316="","",IF(ISNUMBER(MATCH(Data!E316,Data_Val!$A$2:$A$3,0)),0,1))</f>
        <v/>
      </c>
      <c r="F326" s="36" t="str">
        <f ca="1">IF(Data!B316="","",IF(ISNUMBER(Data!F316),IF(AND(Data!F316&gt;(TODAY()-(Data_Val!$H$3*365.25)),Data!F316&lt;=(TODAY()-(Data_Val!$H$2*365.25))),0,1),1))</f>
        <v/>
      </c>
      <c r="G326" s="12" t="str">
        <f>IF(Data!B316="","",IF(AND(Data!G316="",Data!H316&lt;&gt;""),1,IF(ISNUMBER(MATCH(Data!G316,Data_Val!$C$2:$C$5,0)),0,1)))</f>
        <v/>
      </c>
      <c r="H326" s="12" t="str">
        <f>IF(Data!B316="","",IF(AND(Data!G316&lt;&gt;"",Data!H316=""),1,IF(Data!G316="",1,IF(ISNUMBER(MATCH(Data!H316,Data_Val!$D$2:$D$35,0)),0,1))))</f>
        <v/>
      </c>
      <c r="I326" s="38" t="str">
        <f>IF(Data!G316="","",IF(Data!G316=Data_Val!$C$2,IF(Data!I316="",0,1),0))</f>
        <v/>
      </c>
      <c r="J326" s="38" t="str">
        <f>IF(Data!I316="","",IF(ISNUMBER(MATCH(Data!J316,Data_Val!$A$2:$A$3,0)),0,1))</f>
        <v/>
      </c>
      <c r="K326" s="38" t="str">
        <f ca="1">IF(Data!I316="","",IF(ISNUMBER(Data!K316),IF(AND(Data!K316&gt;(TODAY()-(Data_Val!$K$3*365.25)),Data!K316&lt;=(TODAY()-(Data_Val!$K$2*365.25))),0,1),1))</f>
        <v/>
      </c>
      <c r="L326" s="16" t="str">
        <f>IF(Data!G316="","",IF(Data!G316=Data_Val!$C$2,IF(Data!L316="",0,1),0))</f>
        <v/>
      </c>
      <c r="M326" s="16" t="str">
        <f>IF(Data!L316="","",IF(ISNUMBER(MATCH(Data!M316,Data_Val!$A$2:$A$3,0)),0,1))</f>
        <v/>
      </c>
      <c r="N326" s="43" t="str">
        <f ca="1">IF(Data!L316="","",IF(ISNUMBER(Data!N316),IF(AND(Data!N316&gt;(TODAY()-(Data_Val!$L$3*365.25)),Data!N316&lt;=(TODAY()-(Data_Val!$L$2*365.25))),0,1),1))</f>
        <v/>
      </c>
      <c r="O326" s="18" t="str">
        <f>IF(Data!$G316="","",IF(Data!$G316=Data_Val!$C$2,IF(Data!O316="",0,1),0))</f>
        <v/>
      </c>
      <c r="P326" s="18" t="str">
        <f>IF(Data!O316="","",IF(ISNUMBER(MATCH(Data!P316,Data_Val!$A$2:$A$3,0)),0,1))</f>
        <v/>
      </c>
      <c r="Q326" s="44" t="str">
        <f ca="1">IF(Data!O316="","",IF(ISNUMBER(Data!Q316),IF(AND(Data!Q316&gt;(TODAY()-(Data_Val!$L$3*365.25)),Data!Q316&lt;=(TODAY()-(Data_Val!$L$2*365.25))),0,1),1))</f>
        <v/>
      </c>
    </row>
    <row r="327" spans="1:17" ht="12" customHeight="1" x14ac:dyDescent="0.25">
      <c r="A327" s="36" t="str">
        <f>IF(Data!B317="","",IF(COUNTIFS(Data!A$1:'Data'!A317,Data!A317)&lt;=1,0,1))</f>
        <v/>
      </c>
      <c r="B327" s="36"/>
      <c r="C327" s="36" t="str">
        <f>IF(Data!C317="","",(IF(ISNUMBER(MATCH("*@*.?*",Data!C317,0)),0,1)+IF(COUNTIFS(Data!C$1:'Data'!C317,Data!C317)&gt;1,1,0)))</f>
        <v/>
      </c>
      <c r="D327" s="36" t="str">
        <f>IF(Data!B317="","",IF(ISNUMBER(Data!D317),IF(AND(Data!D317&gt;999999999,Data!D317&lt;=9999999999),IF(COUNTIFS(Data!D$1:'Data'!D317,Data!D317)&lt;=1,0,1),1),1))</f>
        <v/>
      </c>
      <c r="E327" s="36" t="str">
        <f>IF(Data!B317="","",IF(ISNUMBER(MATCH(Data!E317,Data_Val!$A$2:$A$3,0)),0,1))</f>
        <v/>
      </c>
      <c r="F327" s="36" t="str">
        <f ca="1">IF(Data!B317="","",IF(ISNUMBER(Data!F317),IF(AND(Data!F317&gt;(TODAY()-(Data_Val!$H$3*365.25)),Data!F317&lt;=(TODAY()-(Data_Val!$H$2*365.25))),0,1),1))</f>
        <v/>
      </c>
      <c r="G327" s="12" t="str">
        <f>IF(Data!B317="","",IF(AND(Data!G317="",Data!H317&lt;&gt;""),1,IF(ISNUMBER(MATCH(Data!G317,Data_Val!$C$2:$C$5,0)),0,1)))</f>
        <v/>
      </c>
      <c r="H327" s="12" t="str">
        <f>IF(Data!B317="","",IF(AND(Data!G317&lt;&gt;"",Data!H317=""),1,IF(Data!G317="",1,IF(ISNUMBER(MATCH(Data!H317,Data_Val!$D$2:$D$35,0)),0,1))))</f>
        <v/>
      </c>
      <c r="I327" s="38" t="str">
        <f>IF(Data!G317="","",IF(Data!G317=Data_Val!$C$2,IF(Data!I317="",0,1),0))</f>
        <v/>
      </c>
      <c r="J327" s="38" t="str">
        <f>IF(Data!I317="","",IF(ISNUMBER(MATCH(Data!J317,Data_Val!$A$2:$A$3,0)),0,1))</f>
        <v/>
      </c>
      <c r="K327" s="38" t="str">
        <f ca="1">IF(Data!I317="","",IF(ISNUMBER(Data!K317),IF(AND(Data!K317&gt;(TODAY()-(Data_Val!$K$3*365.25)),Data!K317&lt;=(TODAY()-(Data_Val!$K$2*365.25))),0,1),1))</f>
        <v/>
      </c>
      <c r="L327" s="16" t="str">
        <f>IF(Data!G317="","",IF(Data!G317=Data_Val!$C$2,IF(Data!L317="",0,1),0))</f>
        <v/>
      </c>
      <c r="M327" s="16" t="str">
        <f>IF(Data!L317="","",IF(ISNUMBER(MATCH(Data!M317,Data_Val!$A$2:$A$3,0)),0,1))</f>
        <v/>
      </c>
      <c r="N327" s="43" t="str">
        <f ca="1">IF(Data!L317="","",IF(ISNUMBER(Data!N317),IF(AND(Data!N317&gt;(TODAY()-(Data_Val!$L$3*365.25)),Data!N317&lt;=(TODAY()-(Data_Val!$L$2*365.25))),0,1),1))</f>
        <v/>
      </c>
      <c r="O327" s="18" t="str">
        <f>IF(Data!$G317="","",IF(Data!$G317=Data_Val!$C$2,IF(Data!O317="",0,1),0))</f>
        <v/>
      </c>
      <c r="P327" s="18" t="str">
        <f>IF(Data!O317="","",IF(ISNUMBER(MATCH(Data!P317,Data_Val!$A$2:$A$3,0)),0,1))</f>
        <v/>
      </c>
      <c r="Q327" s="44" t="str">
        <f ca="1">IF(Data!O317="","",IF(ISNUMBER(Data!Q317),IF(AND(Data!Q317&gt;(TODAY()-(Data_Val!$L$3*365.25)),Data!Q317&lt;=(TODAY()-(Data_Val!$L$2*365.25))),0,1),1))</f>
        <v/>
      </c>
    </row>
    <row r="328" spans="1:17" ht="12" customHeight="1" x14ac:dyDescent="0.25">
      <c r="A328" s="36" t="str">
        <f>IF(Data!B318="","",IF(COUNTIFS(Data!A$1:'Data'!A318,Data!A318)&lt;=1,0,1))</f>
        <v/>
      </c>
      <c r="B328" s="36"/>
      <c r="C328" s="36" t="str">
        <f>IF(Data!C318="","",(IF(ISNUMBER(MATCH("*@*.?*",Data!C318,0)),0,1)+IF(COUNTIFS(Data!C$1:'Data'!C318,Data!C318)&gt;1,1,0)))</f>
        <v/>
      </c>
      <c r="D328" s="36" t="str">
        <f>IF(Data!B318="","",IF(ISNUMBER(Data!D318),IF(AND(Data!D318&gt;999999999,Data!D318&lt;=9999999999),IF(COUNTIFS(Data!D$1:'Data'!D318,Data!D318)&lt;=1,0,1),1),1))</f>
        <v/>
      </c>
      <c r="E328" s="36" t="str">
        <f>IF(Data!B318="","",IF(ISNUMBER(MATCH(Data!E318,Data_Val!$A$2:$A$3,0)),0,1))</f>
        <v/>
      </c>
      <c r="F328" s="36" t="str">
        <f ca="1">IF(Data!B318="","",IF(ISNUMBER(Data!F318),IF(AND(Data!F318&gt;(TODAY()-(Data_Val!$H$3*365.25)),Data!F318&lt;=(TODAY()-(Data_Val!$H$2*365.25))),0,1),1))</f>
        <v/>
      </c>
      <c r="G328" s="12" t="str">
        <f>IF(Data!B318="","",IF(AND(Data!G318="",Data!H318&lt;&gt;""),1,IF(ISNUMBER(MATCH(Data!G318,Data_Val!$C$2:$C$5,0)),0,1)))</f>
        <v/>
      </c>
      <c r="H328" s="12" t="str">
        <f>IF(Data!B318="","",IF(AND(Data!G318&lt;&gt;"",Data!H318=""),1,IF(Data!G318="",1,IF(ISNUMBER(MATCH(Data!H318,Data_Val!$D$2:$D$35,0)),0,1))))</f>
        <v/>
      </c>
      <c r="I328" s="38" t="str">
        <f>IF(Data!G318="","",IF(Data!G318=Data_Val!$C$2,IF(Data!I318="",0,1),0))</f>
        <v/>
      </c>
      <c r="J328" s="38" t="str">
        <f>IF(Data!I318="","",IF(ISNUMBER(MATCH(Data!J318,Data_Val!$A$2:$A$3,0)),0,1))</f>
        <v/>
      </c>
      <c r="K328" s="38" t="str">
        <f ca="1">IF(Data!I318="","",IF(ISNUMBER(Data!K318),IF(AND(Data!K318&gt;(TODAY()-(Data_Val!$K$3*365.25)),Data!K318&lt;=(TODAY()-(Data_Val!$K$2*365.25))),0,1),1))</f>
        <v/>
      </c>
      <c r="L328" s="16" t="str">
        <f>IF(Data!G318="","",IF(Data!G318=Data_Val!$C$2,IF(Data!L318="",0,1),0))</f>
        <v/>
      </c>
      <c r="M328" s="16" t="str">
        <f>IF(Data!L318="","",IF(ISNUMBER(MATCH(Data!M318,Data_Val!$A$2:$A$3,0)),0,1))</f>
        <v/>
      </c>
      <c r="N328" s="43" t="str">
        <f ca="1">IF(Data!L318="","",IF(ISNUMBER(Data!N318),IF(AND(Data!N318&gt;(TODAY()-(Data_Val!$L$3*365.25)),Data!N318&lt;=(TODAY()-(Data_Val!$L$2*365.25))),0,1),1))</f>
        <v/>
      </c>
      <c r="O328" s="18" t="str">
        <f>IF(Data!$G318="","",IF(Data!$G318=Data_Val!$C$2,IF(Data!O318="",0,1),0))</f>
        <v/>
      </c>
      <c r="P328" s="18" t="str">
        <f>IF(Data!O318="","",IF(ISNUMBER(MATCH(Data!P318,Data_Val!$A$2:$A$3,0)),0,1))</f>
        <v/>
      </c>
      <c r="Q328" s="44" t="str">
        <f ca="1">IF(Data!O318="","",IF(ISNUMBER(Data!Q318),IF(AND(Data!Q318&gt;(TODAY()-(Data_Val!$L$3*365.25)),Data!Q318&lt;=(TODAY()-(Data_Val!$L$2*365.25))),0,1),1))</f>
        <v/>
      </c>
    </row>
    <row r="329" spans="1:17" ht="12" customHeight="1" x14ac:dyDescent="0.25">
      <c r="A329" s="36" t="str">
        <f>IF(Data!B319="","",IF(COUNTIFS(Data!A$1:'Data'!A319,Data!A319)&lt;=1,0,1))</f>
        <v/>
      </c>
      <c r="B329" s="36"/>
      <c r="C329" s="36" t="str">
        <f>IF(Data!C319="","",(IF(ISNUMBER(MATCH("*@*.?*",Data!C319,0)),0,1)+IF(COUNTIFS(Data!C$1:'Data'!C319,Data!C319)&gt;1,1,0)))</f>
        <v/>
      </c>
      <c r="D329" s="36" t="str">
        <f>IF(Data!B319="","",IF(ISNUMBER(Data!D319),IF(AND(Data!D319&gt;999999999,Data!D319&lt;=9999999999),IF(COUNTIFS(Data!D$1:'Data'!D319,Data!D319)&lt;=1,0,1),1),1))</f>
        <v/>
      </c>
      <c r="E329" s="36" t="str">
        <f>IF(Data!B319="","",IF(ISNUMBER(MATCH(Data!E319,Data_Val!$A$2:$A$3,0)),0,1))</f>
        <v/>
      </c>
      <c r="F329" s="36" t="str">
        <f ca="1">IF(Data!B319="","",IF(ISNUMBER(Data!F319),IF(AND(Data!F319&gt;(TODAY()-(Data_Val!$H$3*365.25)),Data!F319&lt;=(TODAY()-(Data_Val!$H$2*365.25))),0,1),1))</f>
        <v/>
      </c>
      <c r="G329" s="12" t="str">
        <f>IF(Data!B319="","",IF(AND(Data!G319="",Data!H319&lt;&gt;""),1,IF(ISNUMBER(MATCH(Data!G319,Data_Val!$C$2:$C$5,0)),0,1)))</f>
        <v/>
      </c>
      <c r="H329" s="12" t="str">
        <f>IF(Data!B319="","",IF(AND(Data!G319&lt;&gt;"",Data!H319=""),1,IF(Data!G319="",1,IF(ISNUMBER(MATCH(Data!H319,Data_Val!$D$2:$D$35,0)),0,1))))</f>
        <v/>
      </c>
      <c r="I329" s="38" t="str">
        <f>IF(Data!G319="","",IF(Data!G319=Data_Val!$C$2,IF(Data!I319="",0,1),0))</f>
        <v/>
      </c>
      <c r="J329" s="38" t="str">
        <f>IF(Data!I319="","",IF(ISNUMBER(MATCH(Data!J319,Data_Val!$A$2:$A$3,0)),0,1))</f>
        <v/>
      </c>
      <c r="K329" s="38" t="str">
        <f ca="1">IF(Data!I319="","",IF(ISNUMBER(Data!K319),IF(AND(Data!K319&gt;(TODAY()-(Data_Val!$K$3*365.25)),Data!K319&lt;=(TODAY()-(Data_Val!$K$2*365.25))),0,1),1))</f>
        <v/>
      </c>
      <c r="L329" s="16" t="str">
        <f>IF(Data!G319="","",IF(Data!G319=Data_Val!$C$2,IF(Data!L319="",0,1),0))</f>
        <v/>
      </c>
      <c r="M329" s="16" t="str">
        <f>IF(Data!L319="","",IF(ISNUMBER(MATCH(Data!M319,Data_Val!$A$2:$A$3,0)),0,1))</f>
        <v/>
      </c>
      <c r="N329" s="43" t="str">
        <f ca="1">IF(Data!L319="","",IF(ISNUMBER(Data!N319),IF(AND(Data!N319&gt;(TODAY()-(Data_Val!$L$3*365.25)),Data!N319&lt;=(TODAY()-(Data_Val!$L$2*365.25))),0,1),1))</f>
        <v/>
      </c>
      <c r="O329" s="18" t="str">
        <f>IF(Data!$G319="","",IF(Data!$G319=Data_Val!$C$2,IF(Data!O319="",0,1),0))</f>
        <v/>
      </c>
      <c r="P329" s="18" t="str">
        <f>IF(Data!O319="","",IF(ISNUMBER(MATCH(Data!P319,Data_Val!$A$2:$A$3,0)),0,1))</f>
        <v/>
      </c>
      <c r="Q329" s="44" t="str">
        <f ca="1">IF(Data!O319="","",IF(ISNUMBER(Data!Q319),IF(AND(Data!Q319&gt;(TODAY()-(Data_Val!$L$3*365.25)),Data!Q319&lt;=(TODAY()-(Data_Val!$L$2*365.25))),0,1),1))</f>
        <v/>
      </c>
    </row>
    <row r="330" spans="1:17" ht="12" customHeight="1" x14ac:dyDescent="0.25">
      <c r="A330" s="36" t="str">
        <f>IF(Data!B320="","",IF(COUNTIFS(Data!A$1:'Data'!A320,Data!A320)&lt;=1,0,1))</f>
        <v/>
      </c>
      <c r="B330" s="36"/>
      <c r="C330" s="36" t="str">
        <f>IF(Data!C320="","",(IF(ISNUMBER(MATCH("*@*.?*",Data!C320,0)),0,1)+IF(COUNTIFS(Data!C$1:'Data'!C320,Data!C320)&gt;1,1,0)))</f>
        <v/>
      </c>
      <c r="D330" s="36" t="str">
        <f>IF(Data!B320="","",IF(ISNUMBER(Data!D320),IF(AND(Data!D320&gt;999999999,Data!D320&lt;=9999999999),IF(COUNTIFS(Data!D$1:'Data'!D320,Data!D320)&lt;=1,0,1),1),1))</f>
        <v/>
      </c>
      <c r="E330" s="36" t="str">
        <f>IF(Data!B320="","",IF(ISNUMBER(MATCH(Data!E320,Data_Val!$A$2:$A$3,0)),0,1))</f>
        <v/>
      </c>
      <c r="F330" s="36" t="str">
        <f ca="1">IF(Data!B320="","",IF(ISNUMBER(Data!F320),IF(AND(Data!F320&gt;(TODAY()-(Data_Val!$H$3*365.25)),Data!F320&lt;=(TODAY()-(Data_Val!$H$2*365.25))),0,1),1))</f>
        <v/>
      </c>
      <c r="G330" s="12" t="str">
        <f>IF(Data!B320="","",IF(AND(Data!G320="",Data!H320&lt;&gt;""),1,IF(ISNUMBER(MATCH(Data!G320,Data_Val!$C$2:$C$5,0)),0,1)))</f>
        <v/>
      </c>
      <c r="H330" s="12" t="str">
        <f>IF(Data!B320="","",IF(AND(Data!G320&lt;&gt;"",Data!H320=""),1,IF(Data!G320="",1,IF(ISNUMBER(MATCH(Data!H320,Data_Val!$D$2:$D$35,0)),0,1))))</f>
        <v/>
      </c>
      <c r="I330" s="38" t="str">
        <f>IF(Data!G320="","",IF(Data!G320=Data_Val!$C$2,IF(Data!I320="",0,1),0))</f>
        <v/>
      </c>
      <c r="J330" s="38" t="str">
        <f>IF(Data!I320="","",IF(ISNUMBER(MATCH(Data!J320,Data_Val!$A$2:$A$3,0)),0,1))</f>
        <v/>
      </c>
      <c r="K330" s="38" t="str">
        <f ca="1">IF(Data!I320="","",IF(ISNUMBER(Data!K320),IF(AND(Data!K320&gt;(TODAY()-(Data_Val!$K$3*365.25)),Data!K320&lt;=(TODAY()-(Data_Val!$K$2*365.25))),0,1),1))</f>
        <v/>
      </c>
      <c r="L330" s="16" t="str">
        <f>IF(Data!G320="","",IF(Data!G320=Data_Val!$C$2,IF(Data!L320="",0,1),0))</f>
        <v/>
      </c>
      <c r="M330" s="16" t="str">
        <f>IF(Data!L320="","",IF(ISNUMBER(MATCH(Data!M320,Data_Val!$A$2:$A$3,0)),0,1))</f>
        <v/>
      </c>
      <c r="N330" s="43" t="str">
        <f ca="1">IF(Data!L320="","",IF(ISNUMBER(Data!N320),IF(AND(Data!N320&gt;(TODAY()-(Data_Val!$L$3*365.25)),Data!N320&lt;=(TODAY()-(Data_Val!$L$2*365.25))),0,1),1))</f>
        <v/>
      </c>
      <c r="O330" s="18" t="str">
        <f>IF(Data!$G320="","",IF(Data!$G320=Data_Val!$C$2,IF(Data!O320="",0,1),0))</f>
        <v/>
      </c>
      <c r="P330" s="18" t="str">
        <f>IF(Data!O320="","",IF(ISNUMBER(MATCH(Data!P320,Data_Val!$A$2:$A$3,0)),0,1))</f>
        <v/>
      </c>
      <c r="Q330" s="44" t="str">
        <f ca="1">IF(Data!O320="","",IF(ISNUMBER(Data!Q320),IF(AND(Data!Q320&gt;(TODAY()-(Data_Val!$L$3*365.25)),Data!Q320&lt;=(TODAY()-(Data_Val!$L$2*365.25))),0,1),1))</f>
        <v/>
      </c>
    </row>
    <row r="331" spans="1:17" ht="12" customHeight="1" x14ac:dyDescent="0.25">
      <c r="A331" s="36" t="str">
        <f>IF(Data!B321="","",IF(COUNTIFS(Data!A$1:'Data'!A321,Data!A321)&lt;=1,0,1))</f>
        <v/>
      </c>
      <c r="B331" s="36"/>
      <c r="C331" s="36" t="str">
        <f>IF(Data!C321="","",(IF(ISNUMBER(MATCH("*@*.?*",Data!C321,0)),0,1)+IF(COUNTIFS(Data!C$1:'Data'!C321,Data!C321)&gt;1,1,0)))</f>
        <v/>
      </c>
      <c r="D331" s="36" t="str">
        <f>IF(Data!B321="","",IF(ISNUMBER(Data!D321),IF(AND(Data!D321&gt;999999999,Data!D321&lt;=9999999999),IF(COUNTIFS(Data!D$1:'Data'!D321,Data!D321)&lt;=1,0,1),1),1))</f>
        <v/>
      </c>
      <c r="E331" s="36" t="str">
        <f>IF(Data!B321="","",IF(ISNUMBER(MATCH(Data!E321,Data_Val!$A$2:$A$3,0)),0,1))</f>
        <v/>
      </c>
      <c r="F331" s="36" t="str">
        <f ca="1">IF(Data!B321="","",IF(ISNUMBER(Data!F321),IF(AND(Data!F321&gt;(TODAY()-(Data_Val!$H$3*365.25)),Data!F321&lt;=(TODAY()-(Data_Val!$H$2*365.25))),0,1),1))</f>
        <v/>
      </c>
      <c r="G331" s="12" t="str">
        <f>IF(Data!B321="","",IF(AND(Data!G321="",Data!H321&lt;&gt;""),1,IF(ISNUMBER(MATCH(Data!G321,Data_Val!$C$2:$C$5,0)),0,1)))</f>
        <v/>
      </c>
      <c r="H331" s="12" t="str">
        <f>IF(Data!B321="","",IF(AND(Data!G321&lt;&gt;"",Data!H321=""),1,IF(Data!G321="",1,IF(ISNUMBER(MATCH(Data!H321,Data_Val!$D$2:$D$35,0)),0,1))))</f>
        <v/>
      </c>
      <c r="I331" s="38" t="str">
        <f>IF(Data!G321="","",IF(Data!G321=Data_Val!$C$2,IF(Data!I321="",0,1),0))</f>
        <v/>
      </c>
      <c r="J331" s="38" t="str">
        <f>IF(Data!I321="","",IF(ISNUMBER(MATCH(Data!J321,Data_Val!$A$2:$A$3,0)),0,1))</f>
        <v/>
      </c>
      <c r="K331" s="38" t="str">
        <f ca="1">IF(Data!I321="","",IF(ISNUMBER(Data!K321),IF(AND(Data!K321&gt;(TODAY()-(Data_Val!$K$3*365.25)),Data!K321&lt;=(TODAY()-(Data_Val!$K$2*365.25))),0,1),1))</f>
        <v/>
      </c>
      <c r="L331" s="16" t="str">
        <f>IF(Data!G321="","",IF(Data!G321=Data_Val!$C$2,IF(Data!L321="",0,1),0))</f>
        <v/>
      </c>
      <c r="M331" s="16" t="str">
        <f>IF(Data!L321="","",IF(ISNUMBER(MATCH(Data!M321,Data_Val!$A$2:$A$3,0)),0,1))</f>
        <v/>
      </c>
      <c r="N331" s="43" t="str">
        <f ca="1">IF(Data!L321="","",IF(ISNUMBER(Data!N321),IF(AND(Data!N321&gt;(TODAY()-(Data_Val!$L$3*365.25)),Data!N321&lt;=(TODAY()-(Data_Val!$L$2*365.25))),0,1),1))</f>
        <v/>
      </c>
      <c r="O331" s="18" t="str">
        <f>IF(Data!$G321="","",IF(Data!$G321=Data_Val!$C$2,IF(Data!O321="",0,1),0))</f>
        <v/>
      </c>
      <c r="P331" s="18" t="str">
        <f>IF(Data!O321="","",IF(ISNUMBER(MATCH(Data!P321,Data_Val!$A$2:$A$3,0)),0,1))</f>
        <v/>
      </c>
      <c r="Q331" s="44" t="str">
        <f ca="1">IF(Data!O321="","",IF(ISNUMBER(Data!Q321),IF(AND(Data!Q321&gt;(TODAY()-(Data_Val!$L$3*365.25)),Data!Q321&lt;=(TODAY()-(Data_Val!$L$2*365.25))),0,1),1))</f>
        <v/>
      </c>
    </row>
    <row r="332" spans="1:17" ht="12" customHeight="1" x14ac:dyDescent="0.25">
      <c r="A332" s="36" t="str">
        <f>IF(Data!B322="","",IF(COUNTIFS(Data!A$1:'Data'!A322,Data!A322)&lt;=1,0,1))</f>
        <v/>
      </c>
      <c r="B332" s="36"/>
      <c r="C332" s="36" t="str">
        <f>IF(Data!C322="","",(IF(ISNUMBER(MATCH("*@*.?*",Data!C322,0)),0,1)+IF(COUNTIFS(Data!C$1:'Data'!C322,Data!C322)&gt;1,1,0)))</f>
        <v/>
      </c>
      <c r="D332" s="36" t="str">
        <f>IF(Data!B322="","",IF(ISNUMBER(Data!D322),IF(AND(Data!D322&gt;999999999,Data!D322&lt;=9999999999),IF(COUNTIFS(Data!D$1:'Data'!D322,Data!D322)&lt;=1,0,1),1),1))</f>
        <v/>
      </c>
      <c r="E332" s="36" t="str">
        <f>IF(Data!B322="","",IF(ISNUMBER(MATCH(Data!E322,Data_Val!$A$2:$A$3,0)),0,1))</f>
        <v/>
      </c>
      <c r="F332" s="36" t="str">
        <f ca="1">IF(Data!B322="","",IF(ISNUMBER(Data!F322),IF(AND(Data!F322&gt;(TODAY()-(Data_Val!$H$3*365.25)),Data!F322&lt;=(TODAY()-(Data_Val!$H$2*365.25))),0,1),1))</f>
        <v/>
      </c>
      <c r="G332" s="12" t="str">
        <f>IF(Data!B322="","",IF(AND(Data!G322="",Data!H322&lt;&gt;""),1,IF(ISNUMBER(MATCH(Data!G322,Data_Val!$C$2:$C$5,0)),0,1)))</f>
        <v/>
      </c>
      <c r="H332" s="12" t="str">
        <f>IF(Data!B322="","",IF(AND(Data!G322&lt;&gt;"",Data!H322=""),1,IF(Data!G322="",1,IF(ISNUMBER(MATCH(Data!H322,Data_Val!$D$2:$D$35,0)),0,1))))</f>
        <v/>
      </c>
      <c r="I332" s="38" t="str">
        <f>IF(Data!G322="","",IF(Data!G322=Data_Val!$C$2,IF(Data!I322="",0,1),0))</f>
        <v/>
      </c>
      <c r="J332" s="38" t="str">
        <f>IF(Data!I322="","",IF(ISNUMBER(MATCH(Data!J322,Data_Val!$A$2:$A$3,0)),0,1))</f>
        <v/>
      </c>
      <c r="K332" s="38" t="str">
        <f ca="1">IF(Data!I322="","",IF(ISNUMBER(Data!K322),IF(AND(Data!K322&gt;(TODAY()-(Data_Val!$K$3*365.25)),Data!K322&lt;=(TODAY()-(Data_Val!$K$2*365.25))),0,1),1))</f>
        <v/>
      </c>
      <c r="L332" s="16" t="str">
        <f>IF(Data!G322="","",IF(Data!G322=Data_Val!$C$2,IF(Data!L322="",0,1),0))</f>
        <v/>
      </c>
      <c r="M332" s="16" t="str">
        <f>IF(Data!L322="","",IF(ISNUMBER(MATCH(Data!M322,Data_Val!$A$2:$A$3,0)),0,1))</f>
        <v/>
      </c>
      <c r="N332" s="43" t="str">
        <f ca="1">IF(Data!L322="","",IF(ISNUMBER(Data!N322),IF(AND(Data!N322&gt;(TODAY()-(Data_Val!$L$3*365.25)),Data!N322&lt;=(TODAY()-(Data_Val!$L$2*365.25))),0,1),1))</f>
        <v/>
      </c>
      <c r="O332" s="18" t="str">
        <f>IF(Data!$G322="","",IF(Data!$G322=Data_Val!$C$2,IF(Data!O322="",0,1),0))</f>
        <v/>
      </c>
      <c r="P332" s="18" t="str">
        <f>IF(Data!O322="","",IF(ISNUMBER(MATCH(Data!P322,Data_Val!$A$2:$A$3,0)),0,1))</f>
        <v/>
      </c>
      <c r="Q332" s="44" t="str">
        <f ca="1">IF(Data!O322="","",IF(ISNUMBER(Data!Q322),IF(AND(Data!Q322&gt;(TODAY()-(Data_Val!$L$3*365.25)),Data!Q322&lt;=(TODAY()-(Data_Val!$L$2*365.25))),0,1),1))</f>
        <v/>
      </c>
    </row>
    <row r="333" spans="1:17" ht="12" customHeight="1" x14ac:dyDescent="0.25">
      <c r="A333" s="36" t="str">
        <f>IF(Data!B323="","",IF(COUNTIFS(Data!A$1:'Data'!A323,Data!A323)&lt;=1,0,1))</f>
        <v/>
      </c>
      <c r="B333" s="36"/>
      <c r="C333" s="36" t="str">
        <f>IF(Data!C323="","",(IF(ISNUMBER(MATCH("*@*.?*",Data!C323,0)),0,1)+IF(COUNTIFS(Data!C$1:'Data'!C323,Data!C323)&gt;1,1,0)))</f>
        <v/>
      </c>
      <c r="D333" s="36" t="str">
        <f>IF(Data!B323="","",IF(ISNUMBER(Data!D323),IF(AND(Data!D323&gt;999999999,Data!D323&lt;=9999999999),IF(COUNTIFS(Data!D$1:'Data'!D323,Data!D323)&lt;=1,0,1),1),1))</f>
        <v/>
      </c>
      <c r="E333" s="36" t="str">
        <f>IF(Data!B323="","",IF(ISNUMBER(MATCH(Data!E323,Data_Val!$A$2:$A$3,0)),0,1))</f>
        <v/>
      </c>
      <c r="F333" s="36" t="str">
        <f ca="1">IF(Data!B323="","",IF(ISNUMBER(Data!F323),IF(AND(Data!F323&gt;(TODAY()-(Data_Val!$H$3*365.25)),Data!F323&lt;=(TODAY()-(Data_Val!$H$2*365.25))),0,1),1))</f>
        <v/>
      </c>
      <c r="G333" s="12" t="str">
        <f>IF(Data!B323="","",IF(AND(Data!G323="",Data!H323&lt;&gt;""),1,IF(ISNUMBER(MATCH(Data!G323,Data_Val!$C$2:$C$5,0)),0,1)))</f>
        <v/>
      </c>
      <c r="H333" s="12" t="str">
        <f>IF(Data!B323="","",IF(AND(Data!G323&lt;&gt;"",Data!H323=""),1,IF(Data!G323="",1,IF(ISNUMBER(MATCH(Data!H323,Data_Val!$D$2:$D$35,0)),0,1))))</f>
        <v/>
      </c>
      <c r="I333" s="38" t="str">
        <f>IF(Data!G323="","",IF(Data!G323=Data_Val!$C$2,IF(Data!I323="",0,1),0))</f>
        <v/>
      </c>
      <c r="J333" s="38" t="str">
        <f>IF(Data!I323="","",IF(ISNUMBER(MATCH(Data!J323,Data_Val!$A$2:$A$3,0)),0,1))</f>
        <v/>
      </c>
      <c r="K333" s="38" t="str">
        <f ca="1">IF(Data!I323="","",IF(ISNUMBER(Data!K323),IF(AND(Data!K323&gt;(TODAY()-(Data_Val!$K$3*365.25)),Data!K323&lt;=(TODAY()-(Data_Val!$K$2*365.25))),0,1),1))</f>
        <v/>
      </c>
      <c r="L333" s="16" t="str">
        <f>IF(Data!G323="","",IF(Data!G323=Data_Val!$C$2,IF(Data!L323="",0,1),0))</f>
        <v/>
      </c>
      <c r="M333" s="16" t="str">
        <f>IF(Data!L323="","",IF(ISNUMBER(MATCH(Data!M323,Data_Val!$A$2:$A$3,0)),0,1))</f>
        <v/>
      </c>
      <c r="N333" s="43" t="str">
        <f ca="1">IF(Data!L323="","",IF(ISNUMBER(Data!N323),IF(AND(Data!N323&gt;(TODAY()-(Data_Val!$L$3*365.25)),Data!N323&lt;=(TODAY()-(Data_Val!$L$2*365.25))),0,1),1))</f>
        <v/>
      </c>
      <c r="O333" s="18" t="str">
        <f>IF(Data!$G323="","",IF(Data!$G323=Data_Val!$C$2,IF(Data!O323="",0,1),0))</f>
        <v/>
      </c>
      <c r="P333" s="18" t="str">
        <f>IF(Data!O323="","",IF(ISNUMBER(MATCH(Data!P323,Data_Val!$A$2:$A$3,0)),0,1))</f>
        <v/>
      </c>
      <c r="Q333" s="44" t="str">
        <f ca="1">IF(Data!O323="","",IF(ISNUMBER(Data!Q323),IF(AND(Data!Q323&gt;(TODAY()-(Data_Val!$L$3*365.25)),Data!Q323&lt;=(TODAY()-(Data_Val!$L$2*365.25))),0,1),1))</f>
        <v/>
      </c>
    </row>
    <row r="334" spans="1:17" ht="12" customHeight="1" x14ac:dyDescent="0.25">
      <c r="A334" s="36" t="str">
        <f>IF(Data!B324="","",IF(COUNTIFS(Data!A$1:'Data'!A324,Data!A324)&lt;=1,0,1))</f>
        <v/>
      </c>
      <c r="B334" s="36"/>
      <c r="C334" s="36" t="str">
        <f>IF(Data!C324="","",(IF(ISNUMBER(MATCH("*@*.?*",Data!C324,0)),0,1)+IF(COUNTIFS(Data!C$1:'Data'!C324,Data!C324)&gt;1,1,0)))</f>
        <v/>
      </c>
      <c r="D334" s="36" t="str">
        <f>IF(Data!B324="","",IF(ISNUMBER(Data!D324),IF(AND(Data!D324&gt;999999999,Data!D324&lt;=9999999999),IF(COUNTIFS(Data!D$1:'Data'!D324,Data!D324)&lt;=1,0,1),1),1))</f>
        <v/>
      </c>
      <c r="E334" s="36" t="str">
        <f>IF(Data!B324="","",IF(ISNUMBER(MATCH(Data!E324,Data_Val!$A$2:$A$3,0)),0,1))</f>
        <v/>
      </c>
      <c r="F334" s="36" t="str">
        <f ca="1">IF(Data!B324="","",IF(ISNUMBER(Data!F324),IF(AND(Data!F324&gt;(TODAY()-(Data_Val!$H$3*365.25)),Data!F324&lt;=(TODAY()-(Data_Val!$H$2*365.25))),0,1),1))</f>
        <v/>
      </c>
      <c r="G334" s="12" t="str">
        <f>IF(Data!B324="","",IF(AND(Data!G324="",Data!H324&lt;&gt;""),1,IF(ISNUMBER(MATCH(Data!G324,Data_Val!$C$2:$C$5,0)),0,1)))</f>
        <v/>
      </c>
      <c r="H334" s="12" t="str">
        <f>IF(Data!B324="","",IF(AND(Data!G324&lt;&gt;"",Data!H324=""),1,IF(Data!G324="",1,IF(ISNUMBER(MATCH(Data!H324,Data_Val!$D$2:$D$35,0)),0,1))))</f>
        <v/>
      </c>
      <c r="I334" s="38" t="str">
        <f>IF(Data!G324="","",IF(Data!G324=Data_Val!$C$2,IF(Data!I324="",0,1),0))</f>
        <v/>
      </c>
      <c r="J334" s="38" t="str">
        <f>IF(Data!I324="","",IF(ISNUMBER(MATCH(Data!J324,Data_Val!$A$2:$A$3,0)),0,1))</f>
        <v/>
      </c>
      <c r="K334" s="38" t="str">
        <f ca="1">IF(Data!I324="","",IF(ISNUMBER(Data!K324),IF(AND(Data!K324&gt;(TODAY()-(Data_Val!$K$3*365.25)),Data!K324&lt;=(TODAY()-(Data_Val!$K$2*365.25))),0,1),1))</f>
        <v/>
      </c>
      <c r="L334" s="16" t="str">
        <f>IF(Data!G324="","",IF(Data!G324=Data_Val!$C$2,IF(Data!L324="",0,1),0))</f>
        <v/>
      </c>
      <c r="M334" s="16" t="str">
        <f>IF(Data!L324="","",IF(ISNUMBER(MATCH(Data!M324,Data_Val!$A$2:$A$3,0)),0,1))</f>
        <v/>
      </c>
      <c r="N334" s="43" t="str">
        <f ca="1">IF(Data!L324="","",IF(ISNUMBER(Data!N324),IF(AND(Data!N324&gt;(TODAY()-(Data_Val!$L$3*365.25)),Data!N324&lt;=(TODAY()-(Data_Val!$L$2*365.25))),0,1),1))</f>
        <v/>
      </c>
      <c r="O334" s="18" t="str">
        <f>IF(Data!$G324="","",IF(Data!$G324=Data_Val!$C$2,IF(Data!O324="",0,1),0))</f>
        <v/>
      </c>
      <c r="P334" s="18" t="str">
        <f>IF(Data!O324="","",IF(ISNUMBER(MATCH(Data!P324,Data_Val!$A$2:$A$3,0)),0,1))</f>
        <v/>
      </c>
      <c r="Q334" s="44" t="str">
        <f ca="1">IF(Data!O324="","",IF(ISNUMBER(Data!Q324),IF(AND(Data!Q324&gt;(TODAY()-(Data_Val!$L$3*365.25)),Data!Q324&lt;=(TODAY()-(Data_Val!$L$2*365.25))),0,1),1))</f>
        <v/>
      </c>
    </row>
    <row r="335" spans="1:17" ht="12" customHeight="1" x14ac:dyDescent="0.25">
      <c r="A335" s="36" t="str">
        <f>IF(Data!B325="","",IF(COUNTIFS(Data!A$1:'Data'!A325,Data!A325)&lt;=1,0,1))</f>
        <v/>
      </c>
      <c r="B335" s="36"/>
      <c r="C335" s="36" t="str">
        <f>IF(Data!C325="","",(IF(ISNUMBER(MATCH("*@*.?*",Data!C325,0)),0,1)+IF(COUNTIFS(Data!C$1:'Data'!C325,Data!C325)&gt;1,1,0)))</f>
        <v/>
      </c>
      <c r="D335" s="36" t="str">
        <f>IF(Data!B325="","",IF(ISNUMBER(Data!D325),IF(AND(Data!D325&gt;999999999,Data!D325&lt;=9999999999),IF(COUNTIFS(Data!D$1:'Data'!D325,Data!D325)&lt;=1,0,1),1),1))</f>
        <v/>
      </c>
      <c r="E335" s="36" t="str">
        <f>IF(Data!B325="","",IF(ISNUMBER(MATCH(Data!E325,Data_Val!$A$2:$A$3,0)),0,1))</f>
        <v/>
      </c>
      <c r="F335" s="36" t="str">
        <f ca="1">IF(Data!B325="","",IF(ISNUMBER(Data!F325),IF(AND(Data!F325&gt;(TODAY()-(Data_Val!$H$3*365.25)),Data!F325&lt;=(TODAY()-(Data_Val!$H$2*365.25))),0,1),1))</f>
        <v/>
      </c>
      <c r="G335" s="12" t="str">
        <f>IF(Data!B325="","",IF(AND(Data!G325="",Data!H325&lt;&gt;""),1,IF(ISNUMBER(MATCH(Data!G325,Data_Val!$C$2:$C$5,0)),0,1)))</f>
        <v/>
      </c>
      <c r="H335" s="12" t="str">
        <f>IF(Data!B325="","",IF(AND(Data!G325&lt;&gt;"",Data!H325=""),1,IF(Data!G325="",1,IF(ISNUMBER(MATCH(Data!H325,Data_Val!$D$2:$D$35,0)),0,1))))</f>
        <v/>
      </c>
      <c r="I335" s="38" t="str">
        <f>IF(Data!G325="","",IF(Data!G325=Data_Val!$C$2,IF(Data!I325="",0,1),0))</f>
        <v/>
      </c>
      <c r="J335" s="38" t="str">
        <f>IF(Data!I325="","",IF(ISNUMBER(MATCH(Data!J325,Data_Val!$A$2:$A$3,0)),0,1))</f>
        <v/>
      </c>
      <c r="K335" s="38" t="str">
        <f ca="1">IF(Data!I325="","",IF(ISNUMBER(Data!K325),IF(AND(Data!K325&gt;(TODAY()-(Data_Val!$K$3*365.25)),Data!K325&lt;=(TODAY()-(Data_Val!$K$2*365.25))),0,1),1))</f>
        <v/>
      </c>
      <c r="L335" s="16" t="str">
        <f>IF(Data!G325="","",IF(Data!G325=Data_Val!$C$2,IF(Data!L325="",0,1),0))</f>
        <v/>
      </c>
      <c r="M335" s="16" t="str">
        <f>IF(Data!L325="","",IF(ISNUMBER(MATCH(Data!M325,Data_Val!$A$2:$A$3,0)),0,1))</f>
        <v/>
      </c>
      <c r="N335" s="43" t="str">
        <f ca="1">IF(Data!L325="","",IF(ISNUMBER(Data!N325),IF(AND(Data!N325&gt;(TODAY()-(Data_Val!$L$3*365.25)),Data!N325&lt;=(TODAY()-(Data_Val!$L$2*365.25))),0,1),1))</f>
        <v/>
      </c>
      <c r="O335" s="18" t="str">
        <f>IF(Data!$G325="","",IF(Data!$G325=Data_Val!$C$2,IF(Data!O325="",0,1),0))</f>
        <v/>
      </c>
      <c r="P335" s="18" t="str">
        <f>IF(Data!O325="","",IF(ISNUMBER(MATCH(Data!P325,Data_Val!$A$2:$A$3,0)),0,1))</f>
        <v/>
      </c>
      <c r="Q335" s="44" t="str">
        <f ca="1">IF(Data!O325="","",IF(ISNUMBER(Data!Q325),IF(AND(Data!Q325&gt;(TODAY()-(Data_Val!$L$3*365.25)),Data!Q325&lt;=(TODAY()-(Data_Val!$L$2*365.25))),0,1),1))</f>
        <v/>
      </c>
    </row>
    <row r="336" spans="1:17" ht="12" customHeight="1" x14ac:dyDescent="0.25">
      <c r="A336" s="36" t="str">
        <f>IF(Data!B326="","",IF(COUNTIFS(Data!A$1:'Data'!A326,Data!A326)&lt;=1,0,1))</f>
        <v/>
      </c>
      <c r="B336" s="36"/>
      <c r="C336" s="36" t="str">
        <f>IF(Data!C326="","",(IF(ISNUMBER(MATCH("*@*.?*",Data!C326,0)),0,1)+IF(COUNTIFS(Data!C$1:'Data'!C326,Data!C326)&gt;1,1,0)))</f>
        <v/>
      </c>
      <c r="D336" s="36" t="str">
        <f>IF(Data!B326="","",IF(ISNUMBER(Data!D326),IF(AND(Data!D326&gt;999999999,Data!D326&lt;=9999999999),IF(COUNTIFS(Data!D$1:'Data'!D326,Data!D326)&lt;=1,0,1),1),1))</f>
        <v/>
      </c>
      <c r="E336" s="36" t="str">
        <f>IF(Data!B326="","",IF(ISNUMBER(MATCH(Data!E326,Data_Val!$A$2:$A$3,0)),0,1))</f>
        <v/>
      </c>
      <c r="F336" s="36" t="str">
        <f ca="1">IF(Data!B326="","",IF(ISNUMBER(Data!F326),IF(AND(Data!F326&gt;(TODAY()-(Data_Val!$H$3*365.25)),Data!F326&lt;=(TODAY()-(Data_Val!$H$2*365.25))),0,1),1))</f>
        <v/>
      </c>
      <c r="G336" s="12" t="str">
        <f>IF(Data!B326="","",IF(AND(Data!G326="",Data!H326&lt;&gt;""),1,IF(ISNUMBER(MATCH(Data!G326,Data_Val!$C$2:$C$5,0)),0,1)))</f>
        <v/>
      </c>
      <c r="H336" s="12" t="str">
        <f>IF(Data!B326="","",IF(AND(Data!G326&lt;&gt;"",Data!H326=""),1,IF(Data!G326="",1,IF(ISNUMBER(MATCH(Data!H326,Data_Val!$D$2:$D$35,0)),0,1))))</f>
        <v/>
      </c>
      <c r="I336" s="38" t="str">
        <f>IF(Data!G326="","",IF(Data!G326=Data_Val!$C$2,IF(Data!I326="",0,1),0))</f>
        <v/>
      </c>
      <c r="J336" s="38" t="str">
        <f>IF(Data!I326="","",IF(ISNUMBER(MATCH(Data!J326,Data_Val!$A$2:$A$3,0)),0,1))</f>
        <v/>
      </c>
      <c r="K336" s="38" t="str">
        <f ca="1">IF(Data!I326="","",IF(ISNUMBER(Data!K326),IF(AND(Data!K326&gt;(TODAY()-(Data_Val!$K$3*365.25)),Data!K326&lt;=(TODAY()-(Data_Val!$K$2*365.25))),0,1),1))</f>
        <v/>
      </c>
      <c r="L336" s="16" t="str">
        <f>IF(Data!G326="","",IF(Data!G326=Data_Val!$C$2,IF(Data!L326="",0,1),0))</f>
        <v/>
      </c>
      <c r="M336" s="16" t="str">
        <f>IF(Data!L326="","",IF(ISNUMBER(MATCH(Data!M326,Data_Val!$A$2:$A$3,0)),0,1))</f>
        <v/>
      </c>
      <c r="N336" s="43" t="str">
        <f ca="1">IF(Data!L326="","",IF(ISNUMBER(Data!N326),IF(AND(Data!N326&gt;(TODAY()-(Data_Val!$L$3*365.25)),Data!N326&lt;=(TODAY()-(Data_Val!$L$2*365.25))),0,1),1))</f>
        <v/>
      </c>
      <c r="O336" s="18" t="str">
        <f>IF(Data!$G326="","",IF(Data!$G326=Data_Val!$C$2,IF(Data!O326="",0,1),0))</f>
        <v/>
      </c>
      <c r="P336" s="18" t="str">
        <f>IF(Data!O326="","",IF(ISNUMBER(MATCH(Data!P326,Data_Val!$A$2:$A$3,0)),0,1))</f>
        <v/>
      </c>
      <c r="Q336" s="44" t="str">
        <f ca="1">IF(Data!O326="","",IF(ISNUMBER(Data!Q326),IF(AND(Data!Q326&gt;(TODAY()-(Data_Val!$L$3*365.25)),Data!Q326&lt;=(TODAY()-(Data_Val!$L$2*365.25))),0,1),1))</f>
        <v/>
      </c>
    </row>
    <row r="337" spans="1:17" ht="12" customHeight="1" x14ac:dyDescent="0.25">
      <c r="A337" s="36" t="str">
        <f>IF(Data!B327="","",IF(COUNTIFS(Data!A$1:'Data'!A327,Data!A327)&lt;=1,0,1))</f>
        <v/>
      </c>
      <c r="B337" s="36"/>
      <c r="C337" s="36" t="str">
        <f>IF(Data!C327="","",(IF(ISNUMBER(MATCH("*@*.?*",Data!C327,0)),0,1)+IF(COUNTIFS(Data!C$1:'Data'!C327,Data!C327)&gt;1,1,0)))</f>
        <v/>
      </c>
      <c r="D337" s="36" t="str">
        <f>IF(Data!B327="","",IF(ISNUMBER(Data!D327),IF(AND(Data!D327&gt;999999999,Data!D327&lt;=9999999999),IF(COUNTIFS(Data!D$1:'Data'!D327,Data!D327)&lt;=1,0,1),1),1))</f>
        <v/>
      </c>
      <c r="E337" s="36" t="str">
        <f>IF(Data!B327="","",IF(ISNUMBER(MATCH(Data!E327,Data_Val!$A$2:$A$3,0)),0,1))</f>
        <v/>
      </c>
      <c r="F337" s="36" t="str">
        <f ca="1">IF(Data!B327="","",IF(ISNUMBER(Data!F327),IF(AND(Data!F327&gt;(TODAY()-(Data_Val!$H$3*365.25)),Data!F327&lt;=(TODAY()-(Data_Val!$H$2*365.25))),0,1),1))</f>
        <v/>
      </c>
      <c r="G337" s="12" t="str">
        <f>IF(Data!B327="","",IF(AND(Data!G327="",Data!H327&lt;&gt;""),1,IF(ISNUMBER(MATCH(Data!G327,Data_Val!$C$2:$C$5,0)),0,1)))</f>
        <v/>
      </c>
      <c r="H337" s="12" t="str">
        <f>IF(Data!B327="","",IF(AND(Data!G327&lt;&gt;"",Data!H327=""),1,IF(Data!G327="",1,IF(ISNUMBER(MATCH(Data!H327,Data_Val!$D$2:$D$35,0)),0,1))))</f>
        <v/>
      </c>
      <c r="I337" s="38" t="str">
        <f>IF(Data!G327="","",IF(Data!G327=Data_Val!$C$2,IF(Data!I327="",0,1),0))</f>
        <v/>
      </c>
      <c r="J337" s="38" t="str">
        <f>IF(Data!I327="","",IF(ISNUMBER(MATCH(Data!J327,Data_Val!$A$2:$A$3,0)),0,1))</f>
        <v/>
      </c>
      <c r="K337" s="38" t="str">
        <f ca="1">IF(Data!I327="","",IF(ISNUMBER(Data!K327),IF(AND(Data!K327&gt;(TODAY()-(Data_Val!$K$3*365.25)),Data!K327&lt;=(TODAY()-(Data_Val!$K$2*365.25))),0,1),1))</f>
        <v/>
      </c>
      <c r="L337" s="16" t="str">
        <f>IF(Data!G327="","",IF(Data!G327=Data_Val!$C$2,IF(Data!L327="",0,1),0))</f>
        <v/>
      </c>
      <c r="M337" s="16" t="str">
        <f>IF(Data!L327="","",IF(ISNUMBER(MATCH(Data!M327,Data_Val!$A$2:$A$3,0)),0,1))</f>
        <v/>
      </c>
      <c r="N337" s="43" t="str">
        <f ca="1">IF(Data!L327="","",IF(ISNUMBER(Data!N327),IF(AND(Data!N327&gt;(TODAY()-(Data_Val!$L$3*365.25)),Data!N327&lt;=(TODAY()-(Data_Val!$L$2*365.25))),0,1),1))</f>
        <v/>
      </c>
      <c r="O337" s="18" t="str">
        <f>IF(Data!$G327="","",IF(Data!$G327=Data_Val!$C$2,IF(Data!O327="",0,1),0))</f>
        <v/>
      </c>
      <c r="P337" s="18" t="str">
        <f>IF(Data!O327="","",IF(ISNUMBER(MATCH(Data!P327,Data_Val!$A$2:$A$3,0)),0,1))</f>
        <v/>
      </c>
      <c r="Q337" s="44" t="str">
        <f ca="1">IF(Data!O327="","",IF(ISNUMBER(Data!Q327),IF(AND(Data!Q327&gt;(TODAY()-(Data_Val!$L$3*365.25)),Data!Q327&lt;=(TODAY()-(Data_Val!$L$2*365.25))),0,1),1))</f>
        <v/>
      </c>
    </row>
    <row r="338" spans="1:17" ht="12" customHeight="1" x14ac:dyDescent="0.25">
      <c r="A338" s="36" t="str">
        <f>IF(Data!B328="","",IF(COUNTIFS(Data!A$1:'Data'!A328,Data!A328)&lt;=1,0,1))</f>
        <v/>
      </c>
      <c r="B338" s="36"/>
      <c r="C338" s="36" t="str">
        <f>IF(Data!C328="","",(IF(ISNUMBER(MATCH("*@*.?*",Data!C328,0)),0,1)+IF(COUNTIFS(Data!C$1:'Data'!C328,Data!C328)&gt;1,1,0)))</f>
        <v/>
      </c>
      <c r="D338" s="36" t="str">
        <f>IF(Data!B328="","",IF(ISNUMBER(Data!D328),IF(AND(Data!D328&gt;999999999,Data!D328&lt;=9999999999),IF(COUNTIFS(Data!D$1:'Data'!D328,Data!D328)&lt;=1,0,1),1),1))</f>
        <v/>
      </c>
      <c r="E338" s="36" t="str">
        <f>IF(Data!B328="","",IF(ISNUMBER(MATCH(Data!E328,Data_Val!$A$2:$A$3,0)),0,1))</f>
        <v/>
      </c>
      <c r="F338" s="36" t="str">
        <f ca="1">IF(Data!B328="","",IF(ISNUMBER(Data!F328),IF(AND(Data!F328&gt;(TODAY()-(Data_Val!$H$3*365.25)),Data!F328&lt;=(TODAY()-(Data_Val!$H$2*365.25))),0,1),1))</f>
        <v/>
      </c>
      <c r="G338" s="12" t="str">
        <f>IF(Data!B328="","",IF(AND(Data!G328="",Data!H328&lt;&gt;""),1,IF(ISNUMBER(MATCH(Data!G328,Data_Val!$C$2:$C$5,0)),0,1)))</f>
        <v/>
      </c>
      <c r="H338" s="12" t="str">
        <f>IF(Data!B328="","",IF(AND(Data!G328&lt;&gt;"",Data!H328=""),1,IF(Data!G328="",1,IF(ISNUMBER(MATCH(Data!H328,Data_Val!$D$2:$D$35,0)),0,1))))</f>
        <v/>
      </c>
      <c r="I338" s="38" t="str">
        <f>IF(Data!G328="","",IF(Data!G328=Data_Val!$C$2,IF(Data!I328="",0,1),0))</f>
        <v/>
      </c>
      <c r="J338" s="38" t="str">
        <f>IF(Data!I328="","",IF(ISNUMBER(MATCH(Data!J328,Data_Val!$A$2:$A$3,0)),0,1))</f>
        <v/>
      </c>
      <c r="K338" s="38" t="str">
        <f ca="1">IF(Data!I328="","",IF(ISNUMBER(Data!K328),IF(AND(Data!K328&gt;(TODAY()-(Data_Val!$K$3*365.25)),Data!K328&lt;=(TODAY()-(Data_Val!$K$2*365.25))),0,1),1))</f>
        <v/>
      </c>
      <c r="L338" s="16" t="str">
        <f>IF(Data!G328="","",IF(Data!G328=Data_Val!$C$2,IF(Data!L328="",0,1),0))</f>
        <v/>
      </c>
      <c r="M338" s="16" t="str">
        <f>IF(Data!L328="","",IF(ISNUMBER(MATCH(Data!M328,Data_Val!$A$2:$A$3,0)),0,1))</f>
        <v/>
      </c>
      <c r="N338" s="43" t="str">
        <f ca="1">IF(Data!L328="","",IF(ISNUMBER(Data!N328),IF(AND(Data!N328&gt;(TODAY()-(Data_Val!$L$3*365.25)),Data!N328&lt;=(TODAY()-(Data_Val!$L$2*365.25))),0,1),1))</f>
        <v/>
      </c>
      <c r="O338" s="18" t="str">
        <f>IF(Data!$G328="","",IF(Data!$G328=Data_Val!$C$2,IF(Data!O328="",0,1),0))</f>
        <v/>
      </c>
      <c r="P338" s="18" t="str">
        <f>IF(Data!O328="","",IF(ISNUMBER(MATCH(Data!P328,Data_Val!$A$2:$A$3,0)),0,1))</f>
        <v/>
      </c>
      <c r="Q338" s="44" t="str">
        <f ca="1">IF(Data!O328="","",IF(ISNUMBER(Data!Q328),IF(AND(Data!Q328&gt;(TODAY()-(Data_Val!$L$3*365.25)),Data!Q328&lt;=(TODAY()-(Data_Val!$L$2*365.25))),0,1),1))</f>
        <v/>
      </c>
    </row>
    <row r="339" spans="1:17" ht="12" customHeight="1" x14ac:dyDescent="0.25">
      <c r="A339" s="36" t="str">
        <f>IF(Data!B329="","",IF(COUNTIFS(Data!A$1:'Data'!A329,Data!A329)&lt;=1,0,1))</f>
        <v/>
      </c>
      <c r="B339" s="36"/>
      <c r="C339" s="36" t="str">
        <f>IF(Data!C329="","",(IF(ISNUMBER(MATCH("*@*.?*",Data!C329,0)),0,1)+IF(COUNTIFS(Data!C$1:'Data'!C329,Data!C329)&gt;1,1,0)))</f>
        <v/>
      </c>
      <c r="D339" s="36" t="str">
        <f>IF(Data!B329="","",IF(ISNUMBER(Data!D329),IF(AND(Data!D329&gt;999999999,Data!D329&lt;=9999999999),IF(COUNTIFS(Data!D$1:'Data'!D329,Data!D329)&lt;=1,0,1),1),1))</f>
        <v/>
      </c>
      <c r="E339" s="36" t="str">
        <f>IF(Data!B329="","",IF(ISNUMBER(MATCH(Data!E329,Data_Val!$A$2:$A$3,0)),0,1))</f>
        <v/>
      </c>
      <c r="F339" s="36" t="str">
        <f ca="1">IF(Data!B329="","",IF(ISNUMBER(Data!F329),IF(AND(Data!F329&gt;(TODAY()-(Data_Val!$H$3*365.25)),Data!F329&lt;=(TODAY()-(Data_Val!$H$2*365.25))),0,1),1))</f>
        <v/>
      </c>
      <c r="G339" s="12" t="str">
        <f>IF(Data!B329="","",IF(AND(Data!G329="",Data!H329&lt;&gt;""),1,IF(ISNUMBER(MATCH(Data!G329,Data_Val!$C$2:$C$5,0)),0,1)))</f>
        <v/>
      </c>
      <c r="H339" s="12" t="str">
        <f>IF(Data!B329="","",IF(AND(Data!G329&lt;&gt;"",Data!H329=""),1,IF(Data!G329="",1,IF(ISNUMBER(MATCH(Data!H329,Data_Val!$D$2:$D$35,0)),0,1))))</f>
        <v/>
      </c>
      <c r="I339" s="38" t="str">
        <f>IF(Data!G329="","",IF(Data!G329=Data_Val!$C$2,IF(Data!I329="",0,1),0))</f>
        <v/>
      </c>
      <c r="J339" s="38" t="str">
        <f>IF(Data!I329="","",IF(ISNUMBER(MATCH(Data!J329,Data_Val!$A$2:$A$3,0)),0,1))</f>
        <v/>
      </c>
      <c r="K339" s="38" t="str">
        <f ca="1">IF(Data!I329="","",IF(ISNUMBER(Data!K329),IF(AND(Data!K329&gt;(TODAY()-(Data_Val!$K$3*365.25)),Data!K329&lt;=(TODAY()-(Data_Val!$K$2*365.25))),0,1),1))</f>
        <v/>
      </c>
      <c r="L339" s="16" t="str">
        <f>IF(Data!G329="","",IF(Data!G329=Data_Val!$C$2,IF(Data!L329="",0,1),0))</f>
        <v/>
      </c>
      <c r="M339" s="16" t="str">
        <f>IF(Data!L329="","",IF(ISNUMBER(MATCH(Data!M329,Data_Val!$A$2:$A$3,0)),0,1))</f>
        <v/>
      </c>
      <c r="N339" s="43" t="str">
        <f ca="1">IF(Data!L329="","",IF(ISNUMBER(Data!N329),IF(AND(Data!N329&gt;(TODAY()-(Data_Val!$L$3*365.25)),Data!N329&lt;=(TODAY()-(Data_Val!$L$2*365.25))),0,1),1))</f>
        <v/>
      </c>
      <c r="O339" s="18" t="str">
        <f>IF(Data!$G329="","",IF(Data!$G329=Data_Val!$C$2,IF(Data!O329="",0,1),0))</f>
        <v/>
      </c>
      <c r="P339" s="18" t="str">
        <f>IF(Data!O329="","",IF(ISNUMBER(MATCH(Data!P329,Data_Val!$A$2:$A$3,0)),0,1))</f>
        <v/>
      </c>
      <c r="Q339" s="44" t="str">
        <f ca="1">IF(Data!O329="","",IF(ISNUMBER(Data!Q329),IF(AND(Data!Q329&gt;(TODAY()-(Data_Val!$L$3*365.25)),Data!Q329&lt;=(TODAY()-(Data_Val!$L$2*365.25))),0,1),1))</f>
        <v/>
      </c>
    </row>
    <row r="340" spans="1:17" ht="12" customHeight="1" x14ac:dyDescent="0.25">
      <c r="A340" s="36" t="str">
        <f>IF(Data!B330="","",IF(COUNTIFS(Data!A$1:'Data'!A330,Data!A330)&lt;=1,0,1))</f>
        <v/>
      </c>
      <c r="B340" s="36"/>
      <c r="C340" s="36" t="str">
        <f>IF(Data!C330="","",(IF(ISNUMBER(MATCH("*@*.?*",Data!C330,0)),0,1)+IF(COUNTIFS(Data!C$1:'Data'!C330,Data!C330)&gt;1,1,0)))</f>
        <v/>
      </c>
      <c r="D340" s="36" t="str">
        <f>IF(Data!B330="","",IF(ISNUMBER(Data!D330),IF(AND(Data!D330&gt;999999999,Data!D330&lt;=9999999999),IF(COUNTIFS(Data!D$1:'Data'!D330,Data!D330)&lt;=1,0,1),1),1))</f>
        <v/>
      </c>
      <c r="E340" s="36" t="str">
        <f>IF(Data!B330="","",IF(ISNUMBER(MATCH(Data!E330,Data_Val!$A$2:$A$3,0)),0,1))</f>
        <v/>
      </c>
      <c r="F340" s="36" t="str">
        <f ca="1">IF(Data!B330="","",IF(ISNUMBER(Data!F330),IF(AND(Data!F330&gt;(TODAY()-(Data_Val!$H$3*365.25)),Data!F330&lt;=(TODAY()-(Data_Val!$H$2*365.25))),0,1),1))</f>
        <v/>
      </c>
      <c r="G340" s="12" t="str">
        <f>IF(Data!B330="","",IF(AND(Data!G330="",Data!H330&lt;&gt;""),1,IF(ISNUMBER(MATCH(Data!G330,Data_Val!$C$2:$C$5,0)),0,1)))</f>
        <v/>
      </c>
      <c r="H340" s="12" t="str">
        <f>IF(Data!B330="","",IF(AND(Data!G330&lt;&gt;"",Data!H330=""),1,IF(Data!G330="",1,IF(ISNUMBER(MATCH(Data!H330,Data_Val!$D$2:$D$35,0)),0,1))))</f>
        <v/>
      </c>
      <c r="I340" s="38" t="str">
        <f>IF(Data!G330="","",IF(Data!G330=Data_Val!$C$2,IF(Data!I330="",0,1),0))</f>
        <v/>
      </c>
      <c r="J340" s="38" t="str">
        <f>IF(Data!I330="","",IF(ISNUMBER(MATCH(Data!J330,Data_Val!$A$2:$A$3,0)),0,1))</f>
        <v/>
      </c>
      <c r="K340" s="38" t="str">
        <f ca="1">IF(Data!I330="","",IF(ISNUMBER(Data!K330),IF(AND(Data!K330&gt;(TODAY()-(Data_Val!$K$3*365.25)),Data!K330&lt;=(TODAY()-(Data_Val!$K$2*365.25))),0,1),1))</f>
        <v/>
      </c>
      <c r="L340" s="16" t="str">
        <f>IF(Data!G330="","",IF(Data!G330=Data_Val!$C$2,IF(Data!L330="",0,1),0))</f>
        <v/>
      </c>
      <c r="M340" s="16" t="str">
        <f>IF(Data!L330="","",IF(ISNUMBER(MATCH(Data!M330,Data_Val!$A$2:$A$3,0)),0,1))</f>
        <v/>
      </c>
      <c r="N340" s="43" t="str">
        <f ca="1">IF(Data!L330="","",IF(ISNUMBER(Data!N330),IF(AND(Data!N330&gt;(TODAY()-(Data_Val!$L$3*365.25)),Data!N330&lt;=(TODAY()-(Data_Val!$L$2*365.25))),0,1),1))</f>
        <v/>
      </c>
      <c r="O340" s="18" t="str">
        <f>IF(Data!$G330="","",IF(Data!$G330=Data_Val!$C$2,IF(Data!O330="",0,1),0))</f>
        <v/>
      </c>
      <c r="P340" s="18" t="str">
        <f>IF(Data!O330="","",IF(ISNUMBER(MATCH(Data!P330,Data_Val!$A$2:$A$3,0)),0,1))</f>
        <v/>
      </c>
      <c r="Q340" s="44" t="str">
        <f ca="1">IF(Data!O330="","",IF(ISNUMBER(Data!Q330),IF(AND(Data!Q330&gt;(TODAY()-(Data_Val!$L$3*365.25)),Data!Q330&lt;=(TODAY()-(Data_Val!$L$2*365.25))),0,1),1))</f>
        <v/>
      </c>
    </row>
    <row r="341" spans="1:17" ht="12" customHeight="1" x14ac:dyDescent="0.25">
      <c r="A341" s="36" t="str">
        <f>IF(Data!B331="","",IF(COUNTIFS(Data!A$1:'Data'!A331,Data!A331)&lt;=1,0,1))</f>
        <v/>
      </c>
      <c r="B341" s="36"/>
      <c r="C341" s="36" t="str">
        <f>IF(Data!C331="","",(IF(ISNUMBER(MATCH("*@*.?*",Data!C331,0)),0,1)+IF(COUNTIFS(Data!C$1:'Data'!C331,Data!C331)&gt;1,1,0)))</f>
        <v/>
      </c>
      <c r="D341" s="36" t="str">
        <f>IF(Data!B331="","",IF(ISNUMBER(Data!D331),IF(AND(Data!D331&gt;999999999,Data!D331&lt;=9999999999),IF(COUNTIFS(Data!D$1:'Data'!D331,Data!D331)&lt;=1,0,1),1),1))</f>
        <v/>
      </c>
      <c r="E341" s="36" t="str">
        <f>IF(Data!B331="","",IF(ISNUMBER(MATCH(Data!E331,Data_Val!$A$2:$A$3,0)),0,1))</f>
        <v/>
      </c>
      <c r="F341" s="36" t="str">
        <f ca="1">IF(Data!B331="","",IF(ISNUMBER(Data!F331),IF(AND(Data!F331&gt;(TODAY()-(Data_Val!$H$3*365.25)),Data!F331&lt;=(TODAY()-(Data_Val!$H$2*365.25))),0,1),1))</f>
        <v/>
      </c>
      <c r="G341" s="12" t="str">
        <f>IF(Data!B331="","",IF(AND(Data!G331="",Data!H331&lt;&gt;""),1,IF(ISNUMBER(MATCH(Data!G331,Data_Val!$C$2:$C$5,0)),0,1)))</f>
        <v/>
      </c>
      <c r="H341" s="12" t="str">
        <f>IF(Data!B331="","",IF(AND(Data!G331&lt;&gt;"",Data!H331=""),1,IF(Data!G331="",1,IF(ISNUMBER(MATCH(Data!H331,Data_Val!$D$2:$D$35,0)),0,1))))</f>
        <v/>
      </c>
      <c r="I341" s="38" t="str">
        <f>IF(Data!G331="","",IF(Data!G331=Data_Val!$C$2,IF(Data!I331="",0,1),0))</f>
        <v/>
      </c>
      <c r="J341" s="38" t="str">
        <f>IF(Data!I331="","",IF(ISNUMBER(MATCH(Data!J331,Data_Val!$A$2:$A$3,0)),0,1))</f>
        <v/>
      </c>
      <c r="K341" s="38" t="str">
        <f ca="1">IF(Data!I331="","",IF(ISNUMBER(Data!K331),IF(AND(Data!K331&gt;(TODAY()-(Data_Val!$K$3*365.25)),Data!K331&lt;=(TODAY()-(Data_Val!$K$2*365.25))),0,1),1))</f>
        <v/>
      </c>
      <c r="L341" s="16" t="str">
        <f>IF(Data!G331="","",IF(Data!G331=Data_Val!$C$2,IF(Data!L331="",0,1),0))</f>
        <v/>
      </c>
      <c r="M341" s="16" t="str">
        <f>IF(Data!L331="","",IF(ISNUMBER(MATCH(Data!M331,Data_Val!$A$2:$A$3,0)),0,1))</f>
        <v/>
      </c>
      <c r="N341" s="43" t="str">
        <f ca="1">IF(Data!L331="","",IF(ISNUMBER(Data!N331),IF(AND(Data!N331&gt;(TODAY()-(Data_Val!$L$3*365.25)),Data!N331&lt;=(TODAY()-(Data_Val!$L$2*365.25))),0,1),1))</f>
        <v/>
      </c>
      <c r="O341" s="18" t="str">
        <f>IF(Data!$G331="","",IF(Data!$G331=Data_Val!$C$2,IF(Data!O331="",0,1),0))</f>
        <v/>
      </c>
      <c r="P341" s="18" t="str">
        <f>IF(Data!O331="","",IF(ISNUMBER(MATCH(Data!P331,Data_Val!$A$2:$A$3,0)),0,1))</f>
        <v/>
      </c>
      <c r="Q341" s="44" t="str">
        <f ca="1">IF(Data!O331="","",IF(ISNUMBER(Data!Q331),IF(AND(Data!Q331&gt;(TODAY()-(Data_Val!$L$3*365.25)),Data!Q331&lt;=(TODAY()-(Data_Val!$L$2*365.25))),0,1),1))</f>
        <v/>
      </c>
    </row>
    <row r="342" spans="1:17" ht="12" customHeight="1" x14ac:dyDescent="0.25">
      <c r="A342" s="36" t="str">
        <f>IF(Data!B332="","",IF(COUNTIFS(Data!A$1:'Data'!A332,Data!A332)&lt;=1,0,1))</f>
        <v/>
      </c>
      <c r="B342" s="36"/>
      <c r="C342" s="36" t="str">
        <f>IF(Data!C332="","",(IF(ISNUMBER(MATCH("*@*.?*",Data!C332,0)),0,1)+IF(COUNTIFS(Data!C$1:'Data'!C332,Data!C332)&gt;1,1,0)))</f>
        <v/>
      </c>
      <c r="D342" s="36" t="str">
        <f>IF(Data!B332="","",IF(ISNUMBER(Data!D332),IF(AND(Data!D332&gt;999999999,Data!D332&lt;=9999999999),IF(COUNTIFS(Data!D$1:'Data'!D332,Data!D332)&lt;=1,0,1),1),1))</f>
        <v/>
      </c>
      <c r="E342" s="36" t="str">
        <f>IF(Data!B332="","",IF(ISNUMBER(MATCH(Data!E332,Data_Val!$A$2:$A$3,0)),0,1))</f>
        <v/>
      </c>
      <c r="F342" s="36" t="str">
        <f ca="1">IF(Data!B332="","",IF(ISNUMBER(Data!F332),IF(AND(Data!F332&gt;(TODAY()-(Data_Val!$H$3*365.25)),Data!F332&lt;=(TODAY()-(Data_Val!$H$2*365.25))),0,1),1))</f>
        <v/>
      </c>
      <c r="G342" s="12" t="str">
        <f>IF(Data!B332="","",IF(AND(Data!G332="",Data!H332&lt;&gt;""),1,IF(ISNUMBER(MATCH(Data!G332,Data_Val!$C$2:$C$5,0)),0,1)))</f>
        <v/>
      </c>
      <c r="H342" s="12" t="str">
        <f>IF(Data!B332="","",IF(AND(Data!G332&lt;&gt;"",Data!H332=""),1,IF(Data!G332="",1,IF(ISNUMBER(MATCH(Data!H332,Data_Val!$D$2:$D$35,0)),0,1))))</f>
        <v/>
      </c>
      <c r="I342" s="38" t="str">
        <f>IF(Data!G332="","",IF(Data!G332=Data_Val!$C$2,IF(Data!I332="",0,1),0))</f>
        <v/>
      </c>
      <c r="J342" s="38" t="str">
        <f>IF(Data!I332="","",IF(ISNUMBER(MATCH(Data!J332,Data_Val!$A$2:$A$3,0)),0,1))</f>
        <v/>
      </c>
      <c r="K342" s="38" t="str">
        <f ca="1">IF(Data!I332="","",IF(ISNUMBER(Data!K332),IF(AND(Data!K332&gt;(TODAY()-(Data_Val!$K$3*365.25)),Data!K332&lt;=(TODAY()-(Data_Val!$K$2*365.25))),0,1),1))</f>
        <v/>
      </c>
      <c r="L342" s="16" t="str">
        <f>IF(Data!G332="","",IF(Data!G332=Data_Val!$C$2,IF(Data!L332="",0,1),0))</f>
        <v/>
      </c>
      <c r="M342" s="16" t="str">
        <f>IF(Data!L332="","",IF(ISNUMBER(MATCH(Data!M332,Data_Val!$A$2:$A$3,0)),0,1))</f>
        <v/>
      </c>
      <c r="N342" s="43" t="str">
        <f ca="1">IF(Data!L332="","",IF(ISNUMBER(Data!N332),IF(AND(Data!N332&gt;(TODAY()-(Data_Val!$L$3*365.25)),Data!N332&lt;=(TODAY()-(Data_Val!$L$2*365.25))),0,1),1))</f>
        <v/>
      </c>
      <c r="O342" s="18" t="str">
        <f>IF(Data!$G332="","",IF(Data!$G332=Data_Val!$C$2,IF(Data!O332="",0,1),0))</f>
        <v/>
      </c>
      <c r="P342" s="18" t="str">
        <f>IF(Data!O332="","",IF(ISNUMBER(MATCH(Data!P332,Data_Val!$A$2:$A$3,0)),0,1))</f>
        <v/>
      </c>
      <c r="Q342" s="44" t="str">
        <f ca="1">IF(Data!O332="","",IF(ISNUMBER(Data!Q332),IF(AND(Data!Q332&gt;(TODAY()-(Data_Val!$L$3*365.25)),Data!Q332&lt;=(TODAY()-(Data_Val!$L$2*365.25))),0,1),1))</f>
        <v/>
      </c>
    </row>
    <row r="343" spans="1:17" ht="12" customHeight="1" x14ac:dyDescent="0.25">
      <c r="A343" s="36" t="str">
        <f>IF(Data!B333="","",IF(COUNTIFS(Data!A$1:'Data'!A333,Data!A333)&lt;=1,0,1))</f>
        <v/>
      </c>
      <c r="B343" s="36"/>
      <c r="C343" s="36" t="str">
        <f>IF(Data!C333="","",(IF(ISNUMBER(MATCH("*@*.?*",Data!C333,0)),0,1)+IF(COUNTIFS(Data!C$1:'Data'!C333,Data!C333)&gt;1,1,0)))</f>
        <v/>
      </c>
      <c r="D343" s="36" t="str">
        <f>IF(Data!B333="","",IF(ISNUMBER(Data!D333),IF(AND(Data!D333&gt;999999999,Data!D333&lt;=9999999999),IF(COUNTIFS(Data!D$1:'Data'!D333,Data!D333)&lt;=1,0,1),1),1))</f>
        <v/>
      </c>
      <c r="E343" s="36" t="str">
        <f>IF(Data!B333="","",IF(ISNUMBER(MATCH(Data!E333,Data_Val!$A$2:$A$3,0)),0,1))</f>
        <v/>
      </c>
      <c r="F343" s="36" t="str">
        <f ca="1">IF(Data!B333="","",IF(ISNUMBER(Data!F333),IF(AND(Data!F333&gt;(TODAY()-(Data_Val!$H$3*365.25)),Data!F333&lt;=(TODAY()-(Data_Val!$H$2*365.25))),0,1),1))</f>
        <v/>
      </c>
      <c r="G343" s="12" t="str">
        <f>IF(Data!B333="","",IF(AND(Data!G333="",Data!H333&lt;&gt;""),1,IF(ISNUMBER(MATCH(Data!G333,Data_Val!$C$2:$C$5,0)),0,1)))</f>
        <v/>
      </c>
      <c r="H343" s="12" t="str">
        <f>IF(Data!B333="","",IF(AND(Data!G333&lt;&gt;"",Data!H333=""),1,IF(Data!G333="",1,IF(ISNUMBER(MATCH(Data!H333,Data_Val!$D$2:$D$35,0)),0,1))))</f>
        <v/>
      </c>
      <c r="I343" s="38" t="str">
        <f>IF(Data!G333="","",IF(Data!G333=Data_Val!$C$2,IF(Data!I333="",0,1),0))</f>
        <v/>
      </c>
      <c r="J343" s="38" t="str">
        <f>IF(Data!I333="","",IF(ISNUMBER(MATCH(Data!J333,Data_Val!$A$2:$A$3,0)),0,1))</f>
        <v/>
      </c>
      <c r="K343" s="38" t="str">
        <f ca="1">IF(Data!I333="","",IF(ISNUMBER(Data!K333),IF(AND(Data!K333&gt;(TODAY()-(Data_Val!$K$3*365.25)),Data!K333&lt;=(TODAY()-(Data_Val!$K$2*365.25))),0,1),1))</f>
        <v/>
      </c>
      <c r="L343" s="16" t="str">
        <f>IF(Data!G333="","",IF(Data!G333=Data_Val!$C$2,IF(Data!L333="",0,1),0))</f>
        <v/>
      </c>
      <c r="M343" s="16" t="str">
        <f>IF(Data!L333="","",IF(ISNUMBER(MATCH(Data!M333,Data_Val!$A$2:$A$3,0)),0,1))</f>
        <v/>
      </c>
      <c r="N343" s="43" t="str">
        <f ca="1">IF(Data!L333="","",IF(ISNUMBER(Data!N333),IF(AND(Data!N333&gt;(TODAY()-(Data_Val!$L$3*365.25)),Data!N333&lt;=(TODAY()-(Data_Val!$L$2*365.25))),0,1),1))</f>
        <v/>
      </c>
      <c r="O343" s="18" t="str">
        <f>IF(Data!$G333="","",IF(Data!$G333=Data_Val!$C$2,IF(Data!O333="",0,1),0))</f>
        <v/>
      </c>
      <c r="P343" s="18" t="str">
        <f>IF(Data!O333="","",IF(ISNUMBER(MATCH(Data!P333,Data_Val!$A$2:$A$3,0)),0,1))</f>
        <v/>
      </c>
      <c r="Q343" s="44" t="str">
        <f ca="1">IF(Data!O333="","",IF(ISNUMBER(Data!Q333),IF(AND(Data!Q333&gt;(TODAY()-(Data_Val!$L$3*365.25)),Data!Q333&lt;=(TODAY()-(Data_Val!$L$2*365.25))),0,1),1))</f>
        <v/>
      </c>
    </row>
    <row r="344" spans="1:17" ht="12" customHeight="1" x14ac:dyDescent="0.25">
      <c r="A344" s="36" t="str">
        <f>IF(Data!B334="","",IF(COUNTIFS(Data!A$1:'Data'!A334,Data!A334)&lt;=1,0,1))</f>
        <v/>
      </c>
      <c r="B344" s="36"/>
      <c r="C344" s="36" t="str">
        <f>IF(Data!C334="","",(IF(ISNUMBER(MATCH("*@*.?*",Data!C334,0)),0,1)+IF(COUNTIFS(Data!C$1:'Data'!C334,Data!C334)&gt;1,1,0)))</f>
        <v/>
      </c>
      <c r="D344" s="36" t="str">
        <f>IF(Data!B334="","",IF(ISNUMBER(Data!D334),IF(AND(Data!D334&gt;999999999,Data!D334&lt;=9999999999),IF(COUNTIFS(Data!D$1:'Data'!D334,Data!D334)&lt;=1,0,1),1),1))</f>
        <v/>
      </c>
      <c r="E344" s="36" t="str">
        <f>IF(Data!B334="","",IF(ISNUMBER(MATCH(Data!E334,Data_Val!$A$2:$A$3,0)),0,1))</f>
        <v/>
      </c>
      <c r="F344" s="36" t="str">
        <f ca="1">IF(Data!B334="","",IF(ISNUMBER(Data!F334),IF(AND(Data!F334&gt;(TODAY()-(Data_Val!$H$3*365.25)),Data!F334&lt;=(TODAY()-(Data_Val!$H$2*365.25))),0,1),1))</f>
        <v/>
      </c>
      <c r="G344" s="12" t="str">
        <f>IF(Data!B334="","",IF(AND(Data!G334="",Data!H334&lt;&gt;""),1,IF(ISNUMBER(MATCH(Data!G334,Data_Val!$C$2:$C$5,0)),0,1)))</f>
        <v/>
      </c>
      <c r="H344" s="12" t="str">
        <f>IF(Data!B334="","",IF(AND(Data!G334&lt;&gt;"",Data!H334=""),1,IF(Data!G334="",1,IF(ISNUMBER(MATCH(Data!H334,Data_Val!$D$2:$D$35,0)),0,1))))</f>
        <v/>
      </c>
      <c r="I344" s="38" t="str">
        <f>IF(Data!G334="","",IF(Data!G334=Data_Val!$C$2,IF(Data!I334="",0,1),0))</f>
        <v/>
      </c>
      <c r="J344" s="38" t="str">
        <f>IF(Data!I334="","",IF(ISNUMBER(MATCH(Data!J334,Data_Val!$A$2:$A$3,0)),0,1))</f>
        <v/>
      </c>
      <c r="K344" s="38" t="str">
        <f ca="1">IF(Data!I334="","",IF(ISNUMBER(Data!K334),IF(AND(Data!K334&gt;(TODAY()-(Data_Val!$K$3*365.25)),Data!K334&lt;=(TODAY()-(Data_Val!$K$2*365.25))),0,1),1))</f>
        <v/>
      </c>
      <c r="L344" s="16" t="str">
        <f>IF(Data!G334="","",IF(Data!G334=Data_Val!$C$2,IF(Data!L334="",0,1),0))</f>
        <v/>
      </c>
      <c r="M344" s="16" t="str">
        <f>IF(Data!L334="","",IF(ISNUMBER(MATCH(Data!M334,Data_Val!$A$2:$A$3,0)),0,1))</f>
        <v/>
      </c>
      <c r="N344" s="43" t="str">
        <f ca="1">IF(Data!L334="","",IF(ISNUMBER(Data!N334),IF(AND(Data!N334&gt;(TODAY()-(Data_Val!$L$3*365.25)),Data!N334&lt;=(TODAY()-(Data_Val!$L$2*365.25))),0,1),1))</f>
        <v/>
      </c>
      <c r="O344" s="18" t="str">
        <f>IF(Data!$G334="","",IF(Data!$G334=Data_Val!$C$2,IF(Data!O334="",0,1),0))</f>
        <v/>
      </c>
      <c r="P344" s="18" t="str">
        <f>IF(Data!O334="","",IF(ISNUMBER(MATCH(Data!P334,Data_Val!$A$2:$A$3,0)),0,1))</f>
        <v/>
      </c>
      <c r="Q344" s="44" t="str">
        <f ca="1">IF(Data!O334="","",IF(ISNUMBER(Data!Q334),IF(AND(Data!Q334&gt;(TODAY()-(Data_Val!$L$3*365.25)),Data!Q334&lt;=(TODAY()-(Data_Val!$L$2*365.25))),0,1),1))</f>
        <v/>
      </c>
    </row>
    <row r="345" spans="1:17" ht="12" customHeight="1" x14ac:dyDescent="0.25">
      <c r="A345" s="36" t="str">
        <f>IF(Data!B335="","",IF(COUNTIFS(Data!A$1:'Data'!A335,Data!A335)&lt;=1,0,1))</f>
        <v/>
      </c>
      <c r="B345" s="36"/>
      <c r="C345" s="36" t="str">
        <f>IF(Data!C335="","",(IF(ISNUMBER(MATCH("*@*.?*",Data!C335,0)),0,1)+IF(COUNTIFS(Data!C$1:'Data'!C335,Data!C335)&gt;1,1,0)))</f>
        <v/>
      </c>
      <c r="D345" s="36" t="str">
        <f>IF(Data!B335="","",IF(ISNUMBER(Data!D335),IF(AND(Data!D335&gt;999999999,Data!D335&lt;=9999999999),IF(COUNTIFS(Data!D$1:'Data'!D335,Data!D335)&lt;=1,0,1),1),1))</f>
        <v/>
      </c>
      <c r="E345" s="36" t="str">
        <f>IF(Data!B335="","",IF(ISNUMBER(MATCH(Data!E335,Data_Val!$A$2:$A$3,0)),0,1))</f>
        <v/>
      </c>
      <c r="F345" s="36" t="str">
        <f ca="1">IF(Data!B335="","",IF(ISNUMBER(Data!F335),IF(AND(Data!F335&gt;(TODAY()-(Data_Val!$H$3*365.25)),Data!F335&lt;=(TODAY()-(Data_Val!$H$2*365.25))),0,1),1))</f>
        <v/>
      </c>
      <c r="G345" s="12" t="str">
        <f>IF(Data!B335="","",IF(AND(Data!G335="",Data!H335&lt;&gt;""),1,IF(ISNUMBER(MATCH(Data!G335,Data_Val!$C$2:$C$5,0)),0,1)))</f>
        <v/>
      </c>
      <c r="H345" s="12" t="str">
        <f>IF(Data!B335="","",IF(AND(Data!G335&lt;&gt;"",Data!H335=""),1,IF(Data!G335="",1,IF(ISNUMBER(MATCH(Data!H335,Data_Val!$D$2:$D$35,0)),0,1))))</f>
        <v/>
      </c>
      <c r="I345" s="38" t="str">
        <f>IF(Data!G335="","",IF(Data!G335=Data_Val!$C$2,IF(Data!I335="",0,1),0))</f>
        <v/>
      </c>
      <c r="J345" s="38" t="str">
        <f>IF(Data!I335="","",IF(ISNUMBER(MATCH(Data!J335,Data_Val!$A$2:$A$3,0)),0,1))</f>
        <v/>
      </c>
      <c r="K345" s="38" t="str">
        <f ca="1">IF(Data!I335="","",IF(ISNUMBER(Data!K335),IF(AND(Data!K335&gt;(TODAY()-(Data_Val!$K$3*365.25)),Data!K335&lt;=(TODAY()-(Data_Val!$K$2*365.25))),0,1),1))</f>
        <v/>
      </c>
      <c r="L345" s="16" t="str">
        <f>IF(Data!G335="","",IF(Data!G335=Data_Val!$C$2,IF(Data!L335="",0,1),0))</f>
        <v/>
      </c>
      <c r="M345" s="16" t="str">
        <f>IF(Data!L335="","",IF(ISNUMBER(MATCH(Data!M335,Data_Val!$A$2:$A$3,0)),0,1))</f>
        <v/>
      </c>
      <c r="N345" s="43" t="str">
        <f ca="1">IF(Data!L335="","",IF(ISNUMBER(Data!N335),IF(AND(Data!N335&gt;(TODAY()-(Data_Val!$L$3*365.25)),Data!N335&lt;=(TODAY()-(Data_Val!$L$2*365.25))),0,1),1))</f>
        <v/>
      </c>
      <c r="O345" s="18" t="str">
        <f>IF(Data!$G335="","",IF(Data!$G335=Data_Val!$C$2,IF(Data!O335="",0,1),0))</f>
        <v/>
      </c>
      <c r="P345" s="18" t="str">
        <f>IF(Data!O335="","",IF(ISNUMBER(MATCH(Data!P335,Data_Val!$A$2:$A$3,0)),0,1))</f>
        <v/>
      </c>
      <c r="Q345" s="44" t="str">
        <f ca="1">IF(Data!O335="","",IF(ISNUMBER(Data!Q335),IF(AND(Data!Q335&gt;(TODAY()-(Data_Val!$L$3*365.25)),Data!Q335&lt;=(TODAY()-(Data_Val!$L$2*365.25))),0,1),1))</f>
        <v/>
      </c>
    </row>
    <row r="346" spans="1:17" ht="12" customHeight="1" x14ac:dyDescent="0.25">
      <c r="A346" s="36" t="str">
        <f>IF(Data!B336="","",IF(COUNTIFS(Data!A$1:'Data'!A336,Data!A336)&lt;=1,0,1))</f>
        <v/>
      </c>
      <c r="B346" s="36"/>
      <c r="C346" s="36" t="str">
        <f>IF(Data!C336="","",(IF(ISNUMBER(MATCH("*@*.?*",Data!C336,0)),0,1)+IF(COUNTIFS(Data!C$1:'Data'!C336,Data!C336)&gt;1,1,0)))</f>
        <v/>
      </c>
      <c r="D346" s="36" t="str">
        <f>IF(Data!B336="","",IF(ISNUMBER(Data!D336),IF(AND(Data!D336&gt;999999999,Data!D336&lt;=9999999999),IF(COUNTIFS(Data!D$1:'Data'!D336,Data!D336)&lt;=1,0,1),1),1))</f>
        <v/>
      </c>
      <c r="E346" s="36" t="str">
        <f>IF(Data!B336="","",IF(ISNUMBER(MATCH(Data!E336,Data_Val!$A$2:$A$3,0)),0,1))</f>
        <v/>
      </c>
      <c r="F346" s="36" t="str">
        <f ca="1">IF(Data!B336="","",IF(ISNUMBER(Data!F336),IF(AND(Data!F336&gt;(TODAY()-(Data_Val!$H$3*365.25)),Data!F336&lt;=(TODAY()-(Data_Val!$H$2*365.25))),0,1),1))</f>
        <v/>
      </c>
      <c r="G346" s="12" t="str">
        <f>IF(Data!B336="","",IF(AND(Data!G336="",Data!H336&lt;&gt;""),1,IF(ISNUMBER(MATCH(Data!G336,Data_Val!$C$2:$C$5,0)),0,1)))</f>
        <v/>
      </c>
      <c r="H346" s="12" t="str">
        <f>IF(Data!B336="","",IF(AND(Data!G336&lt;&gt;"",Data!H336=""),1,IF(Data!G336="",1,IF(ISNUMBER(MATCH(Data!H336,Data_Val!$D$2:$D$35,0)),0,1))))</f>
        <v/>
      </c>
      <c r="I346" s="38" t="str">
        <f>IF(Data!G336="","",IF(Data!G336=Data_Val!$C$2,IF(Data!I336="",0,1),0))</f>
        <v/>
      </c>
      <c r="J346" s="38" t="str">
        <f>IF(Data!I336="","",IF(ISNUMBER(MATCH(Data!J336,Data_Val!$A$2:$A$3,0)),0,1))</f>
        <v/>
      </c>
      <c r="K346" s="38" t="str">
        <f ca="1">IF(Data!I336="","",IF(ISNUMBER(Data!K336),IF(AND(Data!K336&gt;(TODAY()-(Data_Val!$K$3*365.25)),Data!K336&lt;=(TODAY()-(Data_Val!$K$2*365.25))),0,1),1))</f>
        <v/>
      </c>
      <c r="L346" s="16" t="str">
        <f>IF(Data!G336="","",IF(Data!G336=Data_Val!$C$2,IF(Data!L336="",0,1),0))</f>
        <v/>
      </c>
      <c r="M346" s="16" t="str">
        <f>IF(Data!L336="","",IF(ISNUMBER(MATCH(Data!M336,Data_Val!$A$2:$A$3,0)),0,1))</f>
        <v/>
      </c>
      <c r="N346" s="43" t="str">
        <f ca="1">IF(Data!L336="","",IF(ISNUMBER(Data!N336),IF(AND(Data!N336&gt;(TODAY()-(Data_Val!$L$3*365.25)),Data!N336&lt;=(TODAY()-(Data_Val!$L$2*365.25))),0,1),1))</f>
        <v/>
      </c>
      <c r="O346" s="18" t="str">
        <f>IF(Data!$G336="","",IF(Data!$G336=Data_Val!$C$2,IF(Data!O336="",0,1),0))</f>
        <v/>
      </c>
      <c r="P346" s="18" t="str">
        <f>IF(Data!O336="","",IF(ISNUMBER(MATCH(Data!P336,Data_Val!$A$2:$A$3,0)),0,1))</f>
        <v/>
      </c>
      <c r="Q346" s="44" t="str">
        <f ca="1">IF(Data!O336="","",IF(ISNUMBER(Data!Q336),IF(AND(Data!Q336&gt;(TODAY()-(Data_Val!$L$3*365.25)),Data!Q336&lt;=(TODAY()-(Data_Val!$L$2*365.25))),0,1),1))</f>
        <v/>
      </c>
    </row>
    <row r="347" spans="1:17" ht="12" customHeight="1" x14ac:dyDescent="0.25">
      <c r="A347" s="36" t="str">
        <f>IF(Data!B337="","",IF(COUNTIFS(Data!A$1:'Data'!A337,Data!A337)&lt;=1,0,1))</f>
        <v/>
      </c>
      <c r="B347" s="36"/>
      <c r="C347" s="36" t="str">
        <f>IF(Data!C337="","",(IF(ISNUMBER(MATCH("*@*.?*",Data!C337,0)),0,1)+IF(COUNTIFS(Data!C$1:'Data'!C337,Data!C337)&gt;1,1,0)))</f>
        <v/>
      </c>
      <c r="D347" s="36" t="str">
        <f>IF(Data!B337="","",IF(ISNUMBER(Data!D337),IF(AND(Data!D337&gt;999999999,Data!D337&lt;=9999999999),IF(COUNTIFS(Data!D$1:'Data'!D337,Data!D337)&lt;=1,0,1),1),1))</f>
        <v/>
      </c>
      <c r="E347" s="36" t="str">
        <f>IF(Data!B337="","",IF(ISNUMBER(MATCH(Data!E337,Data_Val!$A$2:$A$3,0)),0,1))</f>
        <v/>
      </c>
      <c r="F347" s="36" t="str">
        <f ca="1">IF(Data!B337="","",IF(ISNUMBER(Data!F337),IF(AND(Data!F337&gt;(TODAY()-(Data_Val!$H$3*365.25)),Data!F337&lt;=(TODAY()-(Data_Val!$H$2*365.25))),0,1),1))</f>
        <v/>
      </c>
      <c r="G347" s="12" t="str">
        <f>IF(Data!B337="","",IF(AND(Data!G337="",Data!H337&lt;&gt;""),1,IF(ISNUMBER(MATCH(Data!G337,Data_Val!$C$2:$C$5,0)),0,1)))</f>
        <v/>
      </c>
      <c r="H347" s="12" t="str">
        <f>IF(Data!B337="","",IF(AND(Data!G337&lt;&gt;"",Data!H337=""),1,IF(Data!G337="",1,IF(ISNUMBER(MATCH(Data!H337,Data_Val!$D$2:$D$35,0)),0,1))))</f>
        <v/>
      </c>
      <c r="I347" s="38" t="str">
        <f>IF(Data!G337="","",IF(Data!G337=Data_Val!$C$2,IF(Data!I337="",0,1),0))</f>
        <v/>
      </c>
      <c r="J347" s="38" t="str">
        <f>IF(Data!I337="","",IF(ISNUMBER(MATCH(Data!J337,Data_Val!$A$2:$A$3,0)),0,1))</f>
        <v/>
      </c>
      <c r="K347" s="38" t="str">
        <f ca="1">IF(Data!I337="","",IF(ISNUMBER(Data!K337),IF(AND(Data!K337&gt;(TODAY()-(Data_Val!$K$3*365.25)),Data!K337&lt;=(TODAY()-(Data_Val!$K$2*365.25))),0,1),1))</f>
        <v/>
      </c>
      <c r="L347" s="16" t="str">
        <f>IF(Data!G337="","",IF(Data!G337=Data_Val!$C$2,IF(Data!L337="",0,1),0))</f>
        <v/>
      </c>
      <c r="M347" s="16" t="str">
        <f>IF(Data!L337="","",IF(ISNUMBER(MATCH(Data!M337,Data_Val!$A$2:$A$3,0)),0,1))</f>
        <v/>
      </c>
      <c r="N347" s="43" t="str">
        <f ca="1">IF(Data!L337="","",IF(ISNUMBER(Data!N337),IF(AND(Data!N337&gt;(TODAY()-(Data_Val!$L$3*365.25)),Data!N337&lt;=(TODAY()-(Data_Val!$L$2*365.25))),0,1),1))</f>
        <v/>
      </c>
      <c r="O347" s="18" t="str">
        <f>IF(Data!$G337="","",IF(Data!$G337=Data_Val!$C$2,IF(Data!O337="",0,1),0))</f>
        <v/>
      </c>
      <c r="P347" s="18" t="str">
        <f>IF(Data!O337="","",IF(ISNUMBER(MATCH(Data!P337,Data_Val!$A$2:$A$3,0)),0,1))</f>
        <v/>
      </c>
      <c r="Q347" s="44" t="str">
        <f ca="1">IF(Data!O337="","",IF(ISNUMBER(Data!Q337),IF(AND(Data!Q337&gt;(TODAY()-(Data_Val!$L$3*365.25)),Data!Q337&lt;=(TODAY()-(Data_Val!$L$2*365.25))),0,1),1))</f>
        <v/>
      </c>
    </row>
    <row r="348" spans="1:17" ht="12" customHeight="1" x14ac:dyDescent="0.25">
      <c r="A348" s="36" t="str">
        <f>IF(Data!B338="","",IF(COUNTIFS(Data!A$1:'Data'!A338,Data!A338)&lt;=1,0,1))</f>
        <v/>
      </c>
      <c r="B348" s="36"/>
      <c r="C348" s="36" t="str">
        <f>IF(Data!C338="","",(IF(ISNUMBER(MATCH("*@*.?*",Data!C338,0)),0,1)+IF(COUNTIFS(Data!C$1:'Data'!C338,Data!C338)&gt;1,1,0)))</f>
        <v/>
      </c>
      <c r="D348" s="36" t="str">
        <f>IF(Data!B338="","",IF(ISNUMBER(Data!D338),IF(AND(Data!D338&gt;999999999,Data!D338&lt;=9999999999),IF(COUNTIFS(Data!D$1:'Data'!D338,Data!D338)&lt;=1,0,1),1),1))</f>
        <v/>
      </c>
      <c r="E348" s="36" t="str">
        <f>IF(Data!B338="","",IF(ISNUMBER(MATCH(Data!E338,Data_Val!$A$2:$A$3,0)),0,1))</f>
        <v/>
      </c>
      <c r="F348" s="36" t="str">
        <f ca="1">IF(Data!B338="","",IF(ISNUMBER(Data!F338),IF(AND(Data!F338&gt;(TODAY()-(Data_Val!$H$3*365.25)),Data!F338&lt;=(TODAY()-(Data_Val!$H$2*365.25))),0,1),1))</f>
        <v/>
      </c>
      <c r="G348" s="12" t="str">
        <f>IF(Data!B338="","",IF(AND(Data!G338="",Data!H338&lt;&gt;""),1,IF(ISNUMBER(MATCH(Data!G338,Data_Val!$C$2:$C$5,0)),0,1)))</f>
        <v/>
      </c>
      <c r="H348" s="12" t="str">
        <f>IF(Data!B338="","",IF(AND(Data!G338&lt;&gt;"",Data!H338=""),1,IF(Data!G338="",1,IF(ISNUMBER(MATCH(Data!H338,Data_Val!$D$2:$D$35,0)),0,1))))</f>
        <v/>
      </c>
      <c r="I348" s="38" t="str">
        <f>IF(Data!G338="","",IF(Data!G338=Data_Val!$C$2,IF(Data!I338="",0,1),0))</f>
        <v/>
      </c>
      <c r="J348" s="38" t="str">
        <f>IF(Data!I338="","",IF(ISNUMBER(MATCH(Data!J338,Data_Val!$A$2:$A$3,0)),0,1))</f>
        <v/>
      </c>
      <c r="K348" s="38" t="str">
        <f ca="1">IF(Data!I338="","",IF(ISNUMBER(Data!K338),IF(AND(Data!K338&gt;(TODAY()-(Data_Val!$K$3*365.25)),Data!K338&lt;=(TODAY()-(Data_Val!$K$2*365.25))),0,1),1))</f>
        <v/>
      </c>
      <c r="L348" s="16" t="str">
        <f>IF(Data!G338="","",IF(Data!G338=Data_Val!$C$2,IF(Data!L338="",0,1),0))</f>
        <v/>
      </c>
      <c r="M348" s="16" t="str">
        <f>IF(Data!L338="","",IF(ISNUMBER(MATCH(Data!M338,Data_Val!$A$2:$A$3,0)),0,1))</f>
        <v/>
      </c>
      <c r="N348" s="43" t="str">
        <f ca="1">IF(Data!L338="","",IF(ISNUMBER(Data!N338),IF(AND(Data!N338&gt;(TODAY()-(Data_Val!$L$3*365.25)),Data!N338&lt;=(TODAY()-(Data_Val!$L$2*365.25))),0,1),1))</f>
        <v/>
      </c>
      <c r="O348" s="18" t="str">
        <f>IF(Data!$G338="","",IF(Data!$G338=Data_Val!$C$2,IF(Data!O338="",0,1),0))</f>
        <v/>
      </c>
      <c r="P348" s="18" t="str">
        <f>IF(Data!O338="","",IF(ISNUMBER(MATCH(Data!P338,Data_Val!$A$2:$A$3,0)),0,1))</f>
        <v/>
      </c>
      <c r="Q348" s="44" t="str">
        <f ca="1">IF(Data!O338="","",IF(ISNUMBER(Data!Q338),IF(AND(Data!Q338&gt;(TODAY()-(Data_Val!$L$3*365.25)),Data!Q338&lt;=(TODAY()-(Data_Val!$L$2*365.25))),0,1),1))</f>
        <v/>
      </c>
    </row>
    <row r="349" spans="1:17" ht="12" customHeight="1" x14ac:dyDescent="0.25">
      <c r="A349" s="36" t="str">
        <f>IF(Data!B339="","",IF(COUNTIFS(Data!A$1:'Data'!A339,Data!A339)&lt;=1,0,1))</f>
        <v/>
      </c>
      <c r="B349" s="36"/>
      <c r="C349" s="36" t="str">
        <f>IF(Data!C339="","",(IF(ISNUMBER(MATCH("*@*.?*",Data!C339,0)),0,1)+IF(COUNTIFS(Data!C$1:'Data'!C339,Data!C339)&gt;1,1,0)))</f>
        <v/>
      </c>
      <c r="D349" s="36" t="str">
        <f>IF(Data!B339="","",IF(ISNUMBER(Data!D339),IF(AND(Data!D339&gt;999999999,Data!D339&lt;=9999999999),IF(COUNTIFS(Data!D$1:'Data'!D339,Data!D339)&lt;=1,0,1),1),1))</f>
        <v/>
      </c>
      <c r="E349" s="36" t="str">
        <f>IF(Data!B339="","",IF(ISNUMBER(MATCH(Data!E339,Data_Val!$A$2:$A$3,0)),0,1))</f>
        <v/>
      </c>
      <c r="F349" s="36" t="str">
        <f ca="1">IF(Data!B339="","",IF(ISNUMBER(Data!F339),IF(AND(Data!F339&gt;(TODAY()-(Data_Val!$H$3*365.25)),Data!F339&lt;=(TODAY()-(Data_Val!$H$2*365.25))),0,1),1))</f>
        <v/>
      </c>
      <c r="G349" s="12" t="str">
        <f>IF(Data!B339="","",IF(AND(Data!G339="",Data!H339&lt;&gt;""),1,IF(ISNUMBER(MATCH(Data!G339,Data_Val!$C$2:$C$5,0)),0,1)))</f>
        <v/>
      </c>
      <c r="H349" s="12" t="str">
        <f>IF(Data!B339="","",IF(AND(Data!G339&lt;&gt;"",Data!H339=""),1,IF(Data!G339="",1,IF(ISNUMBER(MATCH(Data!H339,Data_Val!$D$2:$D$35,0)),0,1))))</f>
        <v/>
      </c>
      <c r="I349" s="38" t="str">
        <f>IF(Data!G339="","",IF(Data!G339=Data_Val!$C$2,IF(Data!I339="",0,1),0))</f>
        <v/>
      </c>
      <c r="J349" s="38" t="str">
        <f>IF(Data!I339="","",IF(ISNUMBER(MATCH(Data!J339,Data_Val!$A$2:$A$3,0)),0,1))</f>
        <v/>
      </c>
      <c r="K349" s="38" t="str">
        <f ca="1">IF(Data!I339="","",IF(ISNUMBER(Data!K339),IF(AND(Data!K339&gt;(TODAY()-(Data_Val!$K$3*365.25)),Data!K339&lt;=(TODAY()-(Data_Val!$K$2*365.25))),0,1),1))</f>
        <v/>
      </c>
      <c r="L349" s="16" t="str">
        <f>IF(Data!G339="","",IF(Data!G339=Data_Val!$C$2,IF(Data!L339="",0,1),0))</f>
        <v/>
      </c>
      <c r="M349" s="16" t="str">
        <f>IF(Data!L339="","",IF(ISNUMBER(MATCH(Data!M339,Data_Val!$A$2:$A$3,0)),0,1))</f>
        <v/>
      </c>
      <c r="N349" s="43" t="str">
        <f ca="1">IF(Data!L339="","",IF(ISNUMBER(Data!N339),IF(AND(Data!N339&gt;(TODAY()-(Data_Val!$L$3*365.25)),Data!N339&lt;=(TODAY()-(Data_Val!$L$2*365.25))),0,1),1))</f>
        <v/>
      </c>
      <c r="O349" s="18" t="str">
        <f>IF(Data!$G339="","",IF(Data!$G339=Data_Val!$C$2,IF(Data!O339="",0,1),0))</f>
        <v/>
      </c>
      <c r="P349" s="18" t="str">
        <f>IF(Data!O339="","",IF(ISNUMBER(MATCH(Data!P339,Data_Val!$A$2:$A$3,0)),0,1))</f>
        <v/>
      </c>
      <c r="Q349" s="44" t="str">
        <f ca="1">IF(Data!O339="","",IF(ISNUMBER(Data!Q339),IF(AND(Data!Q339&gt;(TODAY()-(Data_Val!$L$3*365.25)),Data!Q339&lt;=(TODAY()-(Data_Val!$L$2*365.25))),0,1),1))</f>
        <v/>
      </c>
    </row>
    <row r="350" spans="1:17" ht="12" customHeight="1" x14ac:dyDescent="0.25">
      <c r="A350" s="36" t="str">
        <f>IF(Data!B340="","",IF(COUNTIFS(Data!A$1:'Data'!A340,Data!A340)&lt;=1,0,1))</f>
        <v/>
      </c>
      <c r="B350" s="36"/>
      <c r="C350" s="36" t="str">
        <f>IF(Data!C340="","",(IF(ISNUMBER(MATCH("*@*.?*",Data!C340,0)),0,1)+IF(COUNTIFS(Data!C$1:'Data'!C340,Data!C340)&gt;1,1,0)))</f>
        <v/>
      </c>
      <c r="D350" s="36" t="str">
        <f>IF(Data!B340="","",IF(ISNUMBER(Data!D340),IF(AND(Data!D340&gt;999999999,Data!D340&lt;=9999999999),IF(COUNTIFS(Data!D$1:'Data'!D340,Data!D340)&lt;=1,0,1),1),1))</f>
        <v/>
      </c>
      <c r="E350" s="36" t="str">
        <f>IF(Data!B340="","",IF(ISNUMBER(MATCH(Data!E340,Data_Val!$A$2:$A$3,0)),0,1))</f>
        <v/>
      </c>
      <c r="F350" s="36" t="str">
        <f ca="1">IF(Data!B340="","",IF(ISNUMBER(Data!F340),IF(AND(Data!F340&gt;(TODAY()-(Data_Val!$H$3*365.25)),Data!F340&lt;=(TODAY()-(Data_Val!$H$2*365.25))),0,1),1))</f>
        <v/>
      </c>
      <c r="G350" s="12" t="str">
        <f>IF(Data!B340="","",IF(AND(Data!G340="",Data!H340&lt;&gt;""),1,IF(ISNUMBER(MATCH(Data!G340,Data_Val!$C$2:$C$5,0)),0,1)))</f>
        <v/>
      </c>
      <c r="H350" s="12" t="str">
        <f>IF(Data!B340="","",IF(AND(Data!G340&lt;&gt;"",Data!H340=""),1,IF(Data!G340="",1,IF(ISNUMBER(MATCH(Data!H340,Data_Val!$D$2:$D$35,0)),0,1))))</f>
        <v/>
      </c>
      <c r="I350" s="38" t="str">
        <f>IF(Data!G340="","",IF(Data!G340=Data_Val!$C$2,IF(Data!I340="",0,1),0))</f>
        <v/>
      </c>
      <c r="J350" s="38" t="str">
        <f>IF(Data!I340="","",IF(ISNUMBER(MATCH(Data!J340,Data_Val!$A$2:$A$3,0)),0,1))</f>
        <v/>
      </c>
      <c r="K350" s="38" t="str">
        <f ca="1">IF(Data!I340="","",IF(ISNUMBER(Data!K340),IF(AND(Data!K340&gt;(TODAY()-(Data_Val!$K$3*365.25)),Data!K340&lt;=(TODAY()-(Data_Val!$K$2*365.25))),0,1),1))</f>
        <v/>
      </c>
      <c r="L350" s="16" t="str">
        <f>IF(Data!G340="","",IF(Data!G340=Data_Val!$C$2,IF(Data!L340="",0,1),0))</f>
        <v/>
      </c>
      <c r="M350" s="16" t="str">
        <f>IF(Data!L340="","",IF(ISNUMBER(MATCH(Data!M340,Data_Val!$A$2:$A$3,0)),0,1))</f>
        <v/>
      </c>
      <c r="N350" s="43" t="str">
        <f ca="1">IF(Data!L340="","",IF(ISNUMBER(Data!N340),IF(AND(Data!N340&gt;(TODAY()-(Data_Val!$L$3*365.25)),Data!N340&lt;=(TODAY()-(Data_Val!$L$2*365.25))),0,1),1))</f>
        <v/>
      </c>
      <c r="O350" s="18" t="str">
        <f>IF(Data!$G340="","",IF(Data!$G340=Data_Val!$C$2,IF(Data!O340="",0,1),0))</f>
        <v/>
      </c>
      <c r="P350" s="18" t="str">
        <f>IF(Data!O340="","",IF(ISNUMBER(MATCH(Data!P340,Data_Val!$A$2:$A$3,0)),0,1))</f>
        <v/>
      </c>
      <c r="Q350" s="44" t="str">
        <f ca="1">IF(Data!O340="","",IF(ISNUMBER(Data!Q340),IF(AND(Data!Q340&gt;(TODAY()-(Data_Val!$L$3*365.25)),Data!Q340&lt;=(TODAY()-(Data_Val!$L$2*365.25))),0,1),1))</f>
        <v/>
      </c>
    </row>
    <row r="351" spans="1:17" ht="12" customHeight="1" x14ac:dyDescent="0.25">
      <c r="A351" s="36" t="str">
        <f>IF(Data!B341="","",IF(COUNTIFS(Data!A$1:'Data'!A341,Data!A341)&lt;=1,0,1))</f>
        <v/>
      </c>
      <c r="B351" s="36"/>
      <c r="C351" s="36" t="str">
        <f>IF(Data!C341="","",(IF(ISNUMBER(MATCH("*@*.?*",Data!C341,0)),0,1)+IF(COUNTIFS(Data!C$1:'Data'!C341,Data!C341)&gt;1,1,0)))</f>
        <v/>
      </c>
      <c r="D351" s="36" t="str">
        <f>IF(Data!B341="","",IF(ISNUMBER(Data!D341),IF(AND(Data!D341&gt;999999999,Data!D341&lt;=9999999999),IF(COUNTIFS(Data!D$1:'Data'!D341,Data!D341)&lt;=1,0,1),1),1))</f>
        <v/>
      </c>
      <c r="E351" s="36" t="str">
        <f>IF(Data!B341="","",IF(ISNUMBER(MATCH(Data!E341,Data_Val!$A$2:$A$3,0)),0,1))</f>
        <v/>
      </c>
      <c r="F351" s="36" t="str">
        <f ca="1">IF(Data!B341="","",IF(ISNUMBER(Data!F341),IF(AND(Data!F341&gt;(TODAY()-(Data_Val!$H$3*365.25)),Data!F341&lt;=(TODAY()-(Data_Val!$H$2*365.25))),0,1),1))</f>
        <v/>
      </c>
      <c r="G351" s="12" t="str">
        <f>IF(Data!B341="","",IF(AND(Data!G341="",Data!H341&lt;&gt;""),1,IF(ISNUMBER(MATCH(Data!G341,Data_Val!$C$2:$C$5,0)),0,1)))</f>
        <v/>
      </c>
      <c r="H351" s="12" t="str">
        <f>IF(Data!B341="","",IF(AND(Data!G341&lt;&gt;"",Data!H341=""),1,IF(Data!G341="",1,IF(ISNUMBER(MATCH(Data!H341,Data_Val!$D$2:$D$35,0)),0,1))))</f>
        <v/>
      </c>
      <c r="I351" s="38" t="str">
        <f>IF(Data!G341="","",IF(Data!G341=Data_Val!$C$2,IF(Data!I341="",0,1),0))</f>
        <v/>
      </c>
      <c r="J351" s="38" t="str">
        <f>IF(Data!I341="","",IF(ISNUMBER(MATCH(Data!J341,Data_Val!$A$2:$A$3,0)),0,1))</f>
        <v/>
      </c>
      <c r="K351" s="38" t="str">
        <f ca="1">IF(Data!I341="","",IF(ISNUMBER(Data!K341),IF(AND(Data!K341&gt;(TODAY()-(Data_Val!$K$3*365.25)),Data!K341&lt;=(TODAY()-(Data_Val!$K$2*365.25))),0,1),1))</f>
        <v/>
      </c>
      <c r="L351" s="16" t="str">
        <f>IF(Data!G341="","",IF(Data!G341=Data_Val!$C$2,IF(Data!L341="",0,1),0))</f>
        <v/>
      </c>
      <c r="M351" s="16" t="str">
        <f>IF(Data!L341="","",IF(ISNUMBER(MATCH(Data!M341,Data_Val!$A$2:$A$3,0)),0,1))</f>
        <v/>
      </c>
      <c r="N351" s="43" t="str">
        <f ca="1">IF(Data!L341="","",IF(ISNUMBER(Data!N341),IF(AND(Data!N341&gt;(TODAY()-(Data_Val!$L$3*365.25)),Data!N341&lt;=(TODAY()-(Data_Val!$L$2*365.25))),0,1),1))</f>
        <v/>
      </c>
      <c r="O351" s="18" t="str">
        <f>IF(Data!$G341="","",IF(Data!$G341=Data_Val!$C$2,IF(Data!O341="",0,1),0))</f>
        <v/>
      </c>
      <c r="P351" s="18" t="str">
        <f>IF(Data!O341="","",IF(ISNUMBER(MATCH(Data!P341,Data_Val!$A$2:$A$3,0)),0,1))</f>
        <v/>
      </c>
      <c r="Q351" s="44" t="str">
        <f ca="1">IF(Data!O341="","",IF(ISNUMBER(Data!Q341),IF(AND(Data!Q341&gt;(TODAY()-(Data_Val!$L$3*365.25)),Data!Q341&lt;=(TODAY()-(Data_Val!$L$2*365.25))),0,1),1))</f>
        <v/>
      </c>
    </row>
    <row r="352" spans="1:17" ht="12" customHeight="1" x14ac:dyDescent="0.25">
      <c r="A352" s="36" t="str">
        <f>IF(Data!B342="","",IF(COUNTIFS(Data!A$1:'Data'!A342,Data!A342)&lt;=1,0,1))</f>
        <v/>
      </c>
      <c r="B352" s="36"/>
      <c r="C352" s="36" t="str">
        <f>IF(Data!C342="","",(IF(ISNUMBER(MATCH("*@*.?*",Data!C342,0)),0,1)+IF(COUNTIFS(Data!C$1:'Data'!C342,Data!C342)&gt;1,1,0)))</f>
        <v/>
      </c>
      <c r="D352" s="36" t="str">
        <f>IF(Data!B342="","",IF(ISNUMBER(Data!D342),IF(AND(Data!D342&gt;999999999,Data!D342&lt;=9999999999),IF(COUNTIFS(Data!D$1:'Data'!D342,Data!D342)&lt;=1,0,1),1),1))</f>
        <v/>
      </c>
      <c r="E352" s="36" t="str">
        <f>IF(Data!B342="","",IF(ISNUMBER(MATCH(Data!E342,Data_Val!$A$2:$A$3,0)),0,1))</f>
        <v/>
      </c>
      <c r="F352" s="36" t="str">
        <f ca="1">IF(Data!B342="","",IF(ISNUMBER(Data!F342),IF(AND(Data!F342&gt;(TODAY()-(Data_Val!$H$3*365.25)),Data!F342&lt;=(TODAY()-(Data_Val!$H$2*365.25))),0,1),1))</f>
        <v/>
      </c>
      <c r="G352" s="12" t="str">
        <f>IF(Data!B342="","",IF(AND(Data!G342="",Data!H342&lt;&gt;""),1,IF(ISNUMBER(MATCH(Data!G342,Data_Val!$C$2:$C$5,0)),0,1)))</f>
        <v/>
      </c>
      <c r="H352" s="12" t="str">
        <f>IF(Data!B342="","",IF(AND(Data!G342&lt;&gt;"",Data!H342=""),1,IF(Data!G342="",1,IF(ISNUMBER(MATCH(Data!H342,Data_Val!$D$2:$D$35,0)),0,1))))</f>
        <v/>
      </c>
      <c r="I352" s="38" t="str">
        <f>IF(Data!G342="","",IF(Data!G342=Data_Val!$C$2,IF(Data!I342="",0,1),0))</f>
        <v/>
      </c>
      <c r="J352" s="38" t="str">
        <f>IF(Data!I342="","",IF(ISNUMBER(MATCH(Data!J342,Data_Val!$A$2:$A$3,0)),0,1))</f>
        <v/>
      </c>
      <c r="K352" s="38" t="str">
        <f ca="1">IF(Data!I342="","",IF(ISNUMBER(Data!K342),IF(AND(Data!K342&gt;(TODAY()-(Data_Val!$K$3*365.25)),Data!K342&lt;=(TODAY()-(Data_Val!$K$2*365.25))),0,1),1))</f>
        <v/>
      </c>
      <c r="L352" s="16" t="str">
        <f>IF(Data!G342="","",IF(Data!G342=Data_Val!$C$2,IF(Data!L342="",0,1),0))</f>
        <v/>
      </c>
      <c r="M352" s="16" t="str">
        <f>IF(Data!L342="","",IF(ISNUMBER(MATCH(Data!M342,Data_Val!$A$2:$A$3,0)),0,1))</f>
        <v/>
      </c>
      <c r="N352" s="43" t="str">
        <f ca="1">IF(Data!L342="","",IF(ISNUMBER(Data!N342),IF(AND(Data!N342&gt;(TODAY()-(Data_Val!$L$3*365.25)),Data!N342&lt;=(TODAY()-(Data_Val!$L$2*365.25))),0,1),1))</f>
        <v/>
      </c>
      <c r="O352" s="18" t="str">
        <f>IF(Data!$G342="","",IF(Data!$G342=Data_Val!$C$2,IF(Data!O342="",0,1),0))</f>
        <v/>
      </c>
      <c r="P352" s="18" t="str">
        <f>IF(Data!O342="","",IF(ISNUMBER(MATCH(Data!P342,Data_Val!$A$2:$A$3,0)),0,1))</f>
        <v/>
      </c>
      <c r="Q352" s="44" t="str">
        <f ca="1">IF(Data!O342="","",IF(ISNUMBER(Data!Q342),IF(AND(Data!Q342&gt;(TODAY()-(Data_Val!$L$3*365.25)),Data!Q342&lt;=(TODAY()-(Data_Val!$L$2*365.25))),0,1),1))</f>
        <v/>
      </c>
    </row>
    <row r="353" spans="1:17" ht="12" customHeight="1" x14ac:dyDescent="0.25">
      <c r="A353" s="36" t="str">
        <f>IF(Data!B343="","",IF(COUNTIFS(Data!A$1:'Data'!A343,Data!A343)&lt;=1,0,1))</f>
        <v/>
      </c>
      <c r="B353" s="36"/>
      <c r="C353" s="36" t="str">
        <f>IF(Data!C343="","",(IF(ISNUMBER(MATCH("*@*.?*",Data!C343,0)),0,1)+IF(COUNTIFS(Data!C$1:'Data'!C343,Data!C343)&gt;1,1,0)))</f>
        <v/>
      </c>
      <c r="D353" s="36" t="str">
        <f>IF(Data!B343="","",IF(ISNUMBER(Data!D343),IF(AND(Data!D343&gt;999999999,Data!D343&lt;=9999999999),IF(COUNTIFS(Data!D$1:'Data'!D343,Data!D343)&lt;=1,0,1),1),1))</f>
        <v/>
      </c>
      <c r="E353" s="36" t="str">
        <f>IF(Data!B343="","",IF(ISNUMBER(MATCH(Data!E343,Data_Val!$A$2:$A$3,0)),0,1))</f>
        <v/>
      </c>
      <c r="F353" s="36" t="str">
        <f ca="1">IF(Data!B343="","",IF(ISNUMBER(Data!F343),IF(AND(Data!F343&gt;(TODAY()-(Data_Val!$H$3*365.25)),Data!F343&lt;=(TODAY()-(Data_Val!$H$2*365.25))),0,1),1))</f>
        <v/>
      </c>
      <c r="G353" s="12" t="str">
        <f>IF(Data!B343="","",IF(AND(Data!G343="",Data!H343&lt;&gt;""),1,IF(ISNUMBER(MATCH(Data!G343,Data_Val!$C$2:$C$5,0)),0,1)))</f>
        <v/>
      </c>
      <c r="H353" s="12" t="str">
        <f>IF(Data!B343="","",IF(AND(Data!G343&lt;&gt;"",Data!H343=""),1,IF(Data!G343="",1,IF(ISNUMBER(MATCH(Data!H343,Data_Val!$D$2:$D$35,0)),0,1))))</f>
        <v/>
      </c>
      <c r="I353" s="38" t="str">
        <f>IF(Data!G343="","",IF(Data!G343=Data_Val!$C$2,IF(Data!I343="",0,1),0))</f>
        <v/>
      </c>
      <c r="J353" s="38" t="str">
        <f>IF(Data!I343="","",IF(ISNUMBER(MATCH(Data!J343,Data_Val!$A$2:$A$3,0)),0,1))</f>
        <v/>
      </c>
      <c r="K353" s="38" t="str">
        <f ca="1">IF(Data!I343="","",IF(ISNUMBER(Data!K343),IF(AND(Data!K343&gt;(TODAY()-(Data_Val!$K$3*365.25)),Data!K343&lt;=(TODAY()-(Data_Val!$K$2*365.25))),0,1),1))</f>
        <v/>
      </c>
      <c r="L353" s="16" t="str">
        <f>IF(Data!G343="","",IF(Data!G343=Data_Val!$C$2,IF(Data!L343="",0,1),0))</f>
        <v/>
      </c>
      <c r="M353" s="16" t="str">
        <f>IF(Data!L343="","",IF(ISNUMBER(MATCH(Data!M343,Data_Val!$A$2:$A$3,0)),0,1))</f>
        <v/>
      </c>
      <c r="N353" s="43" t="str">
        <f ca="1">IF(Data!L343="","",IF(ISNUMBER(Data!N343),IF(AND(Data!N343&gt;(TODAY()-(Data_Val!$L$3*365.25)),Data!N343&lt;=(TODAY()-(Data_Val!$L$2*365.25))),0,1),1))</f>
        <v/>
      </c>
      <c r="O353" s="18" t="str">
        <f>IF(Data!$G343="","",IF(Data!$G343=Data_Val!$C$2,IF(Data!O343="",0,1),0))</f>
        <v/>
      </c>
      <c r="P353" s="18" t="str">
        <f>IF(Data!O343="","",IF(ISNUMBER(MATCH(Data!P343,Data_Val!$A$2:$A$3,0)),0,1))</f>
        <v/>
      </c>
      <c r="Q353" s="44" t="str">
        <f ca="1">IF(Data!O343="","",IF(ISNUMBER(Data!Q343),IF(AND(Data!Q343&gt;(TODAY()-(Data_Val!$L$3*365.25)),Data!Q343&lt;=(TODAY()-(Data_Val!$L$2*365.25))),0,1),1))</f>
        <v/>
      </c>
    </row>
    <row r="354" spans="1:17" ht="12" customHeight="1" x14ac:dyDescent="0.25">
      <c r="A354" s="36" t="str">
        <f>IF(Data!B344="","",IF(COUNTIFS(Data!A$1:'Data'!A344,Data!A344)&lt;=1,0,1))</f>
        <v/>
      </c>
      <c r="B354" s="36"/>
      <c r="C354" s="36" t="str">
        <f>IF(Data!C344="","",(IF(ISNUMBER(MATCH("*@*.?*",Data!C344,0)),0,1)+IF(COUNTIFS(Data!C$1:'Data'!C344,Data!C344)&gt;1,1,0)))</f>
        <v/>
      </c>
      <c r="D354" s="36" t="str">
        <f>IF(Data!B344="","",IF(ISNUMBER(Data!D344),IF(AND(Data!D344&gt;999999999,Data!D344&lt;=9999999999),IF(COUNTIFS(Data!D$1:'Data'!D344,Data!D344)&lt;=1,0,1),1),1))</f>
        <v/>
      </c>
      <c r="E354" s="36" t="str">
        <f>IF(Data!B344="","",IF(ISNUMBER(MATCH(Data!E344,Data_Val!$A$2:$A$3,0)),0,1))</f>
        <v/>
      </c>
      <c r="F354" s="36" t="str">
        <f ca="1">IF(Data!B344="","",IF(ISNUMBER(Data!F344),IF(AND(Data!F344&gt;(TODAY()-(Data_Val!$H$3*365.25)),Data!F344&lt;=(TODAY()-(Data_Val!$H$2*365.25))),0,1),1))</f>
        <v/>
      </c>
      <c r="G354" s="12" t="str">
        <f>IF(Data!B344="","",IF(AND(Data!G344="",Data!H344&lt;&gt;""),1,IF(ISNUMBER(MATCH(Data!G344,Data_Val!$C$2:$C$5,0)),0,1)))</f>
        <v/>
      </c>
      <c r="H354" s="12" t="str">
        <f>IF(Data!B344="","",IF(AND(Data!G344&lt;&gt;"",Data!H344=""),1,IF(Data!G344="",1,IF(ISNUMBER(MATCH(Data!H344,Data_Val!$D$2:$D$35,0)),0,1))))</f>
        <v/>
      </c>
      <c r="I354" s="38" t="str">
        <f>IF(Data!G344="","",IF(Data!G344=Data_Val!$C$2,IF(Data!I344="",0,1),0))</f>
        <v/>
      </c>
      <c r="J354" s="38" t="str">
        <f>IF(Data!I344="","",IF(ISNUMBER(MATCH(Data!J344,Data_Val!$A$2:$A$3,0)),0,1))</f>
        <v/>
      </c>
      <c r="K354" s="38" t="str">
        <f ca="1">IF(Data!I344="","",IF(ISNUMBER(Data!K344),IF(AND(Data!K344&gt;(TODAY()-(Data_Val!$K$3*365.25)),Data!K344&lt;=(TODAY()-(Data_Val!$K$2*365.25))),0,1),1))</f>
        <v/>
      </c>
      <c r="L354" s="16" t="str">
        <f>IF(Data!G344="","",IF(Data!G344=Data_Val!$C$2,IF(Data!L344="",0,1),0))</f>
        <v/>
      </c>
      <c r="M354" s="16" t="str">
        <f>IF(Data!L344="","",IF(ISNUMBER(MATCH(Data!M344,Data_Val!$A$2:$A$3,0)),0,1))</f>
        <v/>
      </c>
      <c r="N354" s="43" t="str">
        <f ca="1">IF(Data!L344="","",IF(ISNUMBER(Data!N344),IF(AND(Data!N344&gt;(TODAY()-(Data_Val!$L$3*365.25)),Data!N344&lt;=(TODAY()-(Data_Val!$L$2*365.25))),0,1),1))</f>
        <v/>
      </c>
      <c r="O354" s="18" t="str">
        <f>IF(Data!$G344="","",IF(Data!$G344=Data_Val!$C$2,IF(Data!O344="",0,1),0))</f>
        <v/>
      </c>
      <c r="P354" s="18" t="str">
        <f>IF(Data!O344="","",IF(ISNUMBER(MATCH(Data!P344,Data_Val!$A$2:$A$3,0)),0,1))</f>
        <v/>
      </c>
      <c r="Q354" s="44" t="str">
        <f ca="1">IF(Data!O344="","",IF(ISNUMBER(Data!Q344),IF(AND(Data!Q344&gt;(TODAY()-(Data_Val!$L$3*365.25)),Data!Q344&lt;=(TODAY()-(Data_Val!$L$2*365.25))),0,1),1))</f>
        <v/>
      </c>
    </row>
    <row r="355" spans="1:17" ht="12" customHeight="1" x14ac:dyDescent="0.25">
      <c r="A355" s="36" t="str">
        <f>IF(Data!B345="","",IF(COUNTIFS(Data!A$1:'Data'!A345,Data!A345)&lt;=1,0,1))</f>
        <v/>
      </c>
      <c r="B355" s="36"/>
      <c r="C355" s="36" t="str">
        <f>IF(Data!C345="","",(IF(ISNUMBER(MATCH("*@*.?*",Data!C345,0)),0,1)+IF(COUNTIFS(Data!C$1:'Data'!C345,Data!C345)&gt;1,1,0)))</f>
        <v/>
      </c>
      <c r="D355" s="36" t="str">
        <f>IF(Data!B345="","",IF(ISNUMBER(Data!D345),IF(AND(Data!D345&gt;999999999,Data!D345&lt;=9999999999),IF(COUNTIFS(Data!D$1:'Data'!D345,Data!D345)&lt;=1,0,1),1),1))</f>
        <v/>
      </c>
      <c r="E355" s="36" t="str">
        <f>IF(Data!B345="","",IF(ISNUMBER(MATCH(Data!E345,Data_Val!$A$2:$A$3,0)),0,1))</f>
        <v/>
      </c>
      <c r="F355" s="36" t="str">
        <f ca="1">IF(Data!B345="","",IF(ISNUMBER(Data!F345),IF(AND(Data!F345&gt;(TODAY()-(Data_Val!$H$3*365.25)),Data!F345&lt;=(TODAY()-(Data_Val!$H$2*365.25))),0,1),1))</f>
        <v/>
      </c>
      <c r="G355" s="12" t="str">
        <f>IF(Data!B345="","",IF(AND(Data!G345="",Data!H345&lt;&gt;""),1,IF(ISNUMBER(MATCH(Data!G345,Data_Val!$C$2:$C$5,0)),0,1)))</f>
        <v/>
      </c>
      <c r="H355" s="12" t="str">
        <f>IF(Data!B345="","",IF(AND(Data!G345&lt;&gt;"",Data!H345=""),1,IF(Data!G345="",1,IF(ISNUMBER(MATCH(Data!H345,Data_Val!$D$2:$D$35,0)),0,1))))</f>
        <v/>
      </c>
      <c r="I355" s="38" t="str">
        <f>IF(Data!G345="","",IF(Data!G345=Data_Val!$C$2,IF(Data!I345="",0,1),0))</f>
        <v/>
      </c>
      <c r="J355" s="38" t="str">
        <f>IF(Data!I345="","",IF(ISNUMBER(MATCH(Data!J345,Data_Val!$A$2:$A$3,0)),0,1))</f>
        <v/>
      </c>
      <c r="K355" s="38" t="str">
        <f ca="1">IF(Data!I345="","",IF(ISNUMBER(Data!K345),IF(AND(Data!K345&gt;(TODAY()-(Data_Val!$K$3*365.25)),Data!K345&lt;=(TODAY()-(Data_Val!$K$2*365.25))),0,1),1))</f>
        <v/>
      </c>
      <c r="L355" s="16" t="str">
        <f>IF(Data!G345="","",IF(Data!G345=Data_Val!$C$2,IF(Data!L345="",0,1),0))</f>
        <v/>
      </c>
      <c r="M355" s="16" t="str">
        <f>IF(Data!L345="","",IF(ISNUMBER(MATCH(Data!M345,Data_Val!$A$2:$A$3,0)),0,1))</f>
        <v/>
      </c>
      <c r="N355" s="43" t="str">
        <f ca="1">IF(Data!L345="","",IF(ISNUMBER(Data!N345),IF(AND(Data!N345&gt;(TODAY()-(Data_Val!$L$3*365.25)),Data!N345&lt;=(TODAY()-(Data_Val!$L$2*365.25))),0,1),1))</f>
        <v/>
      </c>
      <c r="O355" s="18" t="str">
        <f>IF(Data!$G345="","",IF(Data!$G345=Data_Val!$C$2,IF(Data!O345="",0,1),0))</f>
        <v/>
      </c>
      <c r="P355" s="18" t="str">
        <f>IF(Data!O345="","",IF(ISNUMBER(MATCH(Data!P345,Data_Val!$A$2:$A$3,0)),0,1))</f>
        <v/>
      </c>
      <c r="Q355" s="44" t="str">
        <f ca="1">IF(Data!O345="","",IF(ISNUMBER(Data!Q345),IF(AND(Data!Q345&gt;(TODAY()-(Data_Val!$L$3*365.25)),Data!Q345&lt;=(TODAY()-(Data_Val!$L$2*365.25))),0,1),1))</f>
        <v/>
      </c>
    </row>
    <row r="356" spans="1:17" ht="12" customHeight="1" x14ac:dyDescent="0.25">
      <c r="A356" s="36" t="str">
        <f>IF(Data!B346="","",IF(COUNTIFS(Data!A$1:'Data'!A346,Data!A346)&lt;=1,0,1))</f>
        <v/>
      </c>
      <c r="B356" s="36"/>
      <c r="C356" s="36" t="str">
        <f>IF(Data!C346="","",(IF(ISNUMBER(MATCH("*@*.?*",Data!C346,0)),0,1)+IF(COUNTIFS(Data!C$1:'Data'!C346,Data!C346)&gt;1,1,0)))</f>
        <v/>
      </c>
      <c r="D356" s="36" t="str">
        <f>IF(Data!B346="","",IF(ISNUMBER(Data!D346),IF(AND(Data!D346&gt;999999999,Data!D346&lt;=9999999999),IF(COUNTIFS(Data!D$1:'Data'!D346,Data!D346)&lt;=1,0,1),1),1))</f>
        <v/>
      </c>
      <c r="E356" s="36" t="str">
        <f>IF(Data!B346="","",IF(ISNUMBER(MATCH(Data!E346,Data_Val!$A$2:$A$3,0)),0,1))</f>
        <v/>
      </c>
      <c r="F356" s="36" t="str">
        <f ca="1">IF(Data!B346="","",IF(ISNUMBER(Data!F346),IF(AND(Data!F346&gt;(TODAY()-(Data_Val!$H$3*365.25)),Data!F346&lt;=(TODAY()-(Data_Val!$H$2*365.25))),0,1),1))</f>
        <v/>
      </c>
      <c r="G356" s="12" t="str">
        <f>IF(Data!B346="","",IF(AND(Data!G346="",Data!H346&lt;&gt;""),1,IF(ISNUMBER(MATCH(Data!G346,Data_Val!$C$2:$C$5,0)),0,1)))</f>
        <v/>
      </c>
      <c r="H356" s="12" t="str">
        <f>IF(Data!B346="","",IF(AND(Data!G346&lt;&gt;"",Data!H346=""),1,IF(Data!G346="",1,IF(ISNUMBER(MATCH(Data!H346,Data_Val!$D$2:$D$35,0)),0,1))))</f>
        <v/>
      </c>
      <c r="I356" s="38" t="str">
        <f>IF(Data!G346="","",IF(Data!G346=Data_Val!$C$2,IF(Data!I346="",0,1),0))</f>
        <v/>
      </c>
      <c r="J356" s="38" t="str">
        <f>IF(Data!I346="","",IF(ISNUMBER(MATCH(Data!J346,Data_Val!$A$2:$A$3,0)),0,1))</f>
        <v/>
      </c>
      <c r="K356" s="38" t="str">
        <f ca="1">IF(Data!I346="","",IF(ISNUMBER(Data!K346),IF(AND(Data!K346&gt;(TODAY()-(Data_Val!$K$3*365.25)),Data!K346&lt;=(TODAY()-(Data_Val!$K$2*365.25))),0,1),1))</f>
        <v/>
      </c>
      <c r="L356" s="16" t="str">
        <f>IF(Data!G346="","",IF(Data!G346=Data_Val!$C$2,IF(Data!L346="",0,1),0))</f>
        <v/>
      </c>
      <c r="M356" s="16" t="str">
        <f>IF(Data!L346="","",IF(ISNUMBER(MATCH(Data!M346,Data_Val!$A$2:$A$3,0)),0,1))</f>
        <v/>
      </c>
      <c r="N356" s="43" t="str">
        <f ca="1">IF(Data!L346="","",IF(ISNUMBER(Data!N346),IF(AND(Data!N346&gt;(TODAY()-(Data_Val!$L$3*365.25)),Data!N346&lt;=(TODAY()-(Data_Val!$L$2*365.25))),0,1),1))</f>
        <v/>
      </c>
      <c r="O356" s="18" t="str">
        <f>IF(Data!$G346="","",IF(Data!$G346=Data_Val!$C$2,IF(Data!O346="",0,1),0))</f>
        <v/>
      </c>
      <c r="P356" s="18" t="str">
        <f>IF(Data!O346="","",IF(ISNUMBER(MATCH(Data!P346,Data_Val!$A$2:$A$3,0)),0,1))</f>
        <v/>
      </c>
      <c r="Q356" s="44" t="str">
        <f ca="1">IF(Data!O346="","",IF(ISNUMBER(Data!Q346),IF(AND(Data!Q346&gt;(TODAY()-(Data_Val!$L$3*365.25)),Data!Q346&lt;=(TODAY()-(Data_Val!$L$2*365.25))),0,1),1))</f>
        <v/>
      </c>
    </row>
    <row r="357" spans="1:17" ht="12" customHeight="1" x14ac:dyDescent="0.25">
      <c r="A357" s="36" t="str">
        <f>IF(Data!B347="","",IF(COUNTIFS(Data!A$1:'Data'!A347,Data!A347)&lt;=1,0,1))</f>
        <v/>
      </c>
      <c r="B357" s="36"/>
      <c r="C357" s="36" t="str">
        <f>IF(Data!C347="","",(IF(ISNUMBER(MATCH("*@*.?*",Data!C347,0)),0,1)+IF(COUNTIFS(Data!C$1:'Data'!C347,Data!C347)&gt;1,1,0)))</f>
        <v/>
      </c>
      <c r="D357" s="36" t="str">
        <f>IF(Data!B347="","",IF(ISNUMBER(Data!D347),IF(AND(Data!D347&gt;999999999,Data!D347&lt;=9999999999),IF(COUNTIFS(Data!D$1:'Data'!D347,Data!D347)&lt;=1,0,1),1),1))</f>
        <v/>
      </c>
      <c r="E357" s="36" t="str">
        <f>IF(Data!B347="","",IF(ISNUMBER(MATCH(Data!E347,Data_Val!$A$2:$A$3,0)),0,1))</f>
        <v/>
      </c>
      <c r="F357" s="36" t="str">
        <f ca="1">IF(Data!B347="","",IF(ISNUMBER(Data!F347),IF(AND(Data!F347&gt;(TODAY()-(Data_Val!$H$3*365.25)),Data!F347&lt;=(TODAY()-(Data_Val!$H$2*365.25))),0,1),1))</f>
        <v/>
      </c>
      <c r="G357" s="12" t="str">
        <f>IF(Data!B347="","",IF(AND(Data!G347="",Data!H347&lt;&gt;""),1,IF(ISNUMBER(MATCH(Data!G347,Data_Val!$C$2:$C$5,0)),0,1)))</f>
        <v/>
      </c>
      <c r="H357" s="12" t="str">
        <f>IF(Data!B347="","",IF(AND(Data!G347&lt;&gt;"",Data!H347=""),1,IF(Data!G347="",1,IF(ISNUMBER(MATCH(Data!H347,Data_Val!$D$2:$D$35,0)),0,1))))</f>
        <v/>
      </c>
      <c r="I357" s="38" t="str">
        <f>IF(Data!G347="","",IF(Data!G347=Data_Val!$C$2,IF(Data!I347="",0,1),0))</f>
        <v/>
      </c>
      <c r="J357" s="38" t="str">
        <f>IF(Data!I347="","",IF(ISNUMBER(MATCH(Data!J347,Data_Val!$A$2:$A$3,0)),0,1))</f>
        <v/>
      </c>
      <c r="K357" s="38" t="str">
        <f ca="1">IF(Data!I347="","",IF(ISNUMBER(Data!K347),IF(AND(Data!K347&gt;(TODAY()-(Data_Val!$K$3*365.25)),Data!K347&lt;=(TODAY()-(Data_Val!$K$2*365.25))),0,1),1))</f>
        <v/>
      </c>
      <c r="L357" s="16" t="str">
        <f>IF(Data!G347="","",IF(Data!G347=Data_Val!$C$2,IF(Data!L347="",0,1),0))</f>
        <v/>
      </c>
      <c r="M357" s="16" t="str">
        <f>IF(Data!L347="","",IF(ISNUMBER(MATCH(Data!M347,Data_Val!$A$2:$A$3,0)),0,1))</f>
        <v/>
      </c>
      <c r="N357" s="43" t="str">
        <f ca="1">IF(Data!L347="","",IF(ISNUMBER(Data!N347),IF(AND(Data!N347&gt;(TODAY()-(Data_Val!$L$3*365.25)),Data!N347&lt;=(TODAY()-(Data_Val!$L$2*365.25))),0,1),1))</f>
        <v/>
      </c>
      <c r="O357" s="18" t="str">
        <f>IF(Data!$G347="","",IF(Data!$G347=Data_Val!$C$2,IF(Data!O347="",0,1),0))</f>
        <v/>
      </c>
      <c r="P357" s="18" t="str">
        <f>IF(Data!O347="","",IF(ISNUMBER(MATCH(Data!P347,Data_Val!$A$2:$A$3,0)),0,1))</f>
        <v/>
      </c>
      <c r="Q357" s="44" t="str">
        <f ca="1">IF(Data!O347="","",IF(ISNUMBER(Data!Q347),IF(AND(Data!Q347&gt;(TODAY()-(Data_Val!$L$3*365.25)),Data!Q347&lt;=(TODAY()-(Data_Val!$L$2*365.25))),0,1),1))</f>
        <v/>
      </c>
    </row>
    <row r="358" spans="1:17" ht="12" customHeight="1" x14ac:dyDescent="0.25">
      <c r="A358" s="36" t="str">
        <f>IF(Data!B348="","",IF(COUNTIFS(Data!A$1:'Data'!A348,Data!A348)&lt;=1,0,1))</f>
        <v/>
      </c>
      <c r="B358" s="36"/>
      <c r="C358" s="36" t="str">
        <f>IF(Data!C348="","",(IF(ISNUMBER(MATCH("*@*.?*",Data!C348,0)),0,1)+IF(COUNTIFS(Data!C$1:'Data'!C348,Data!C348)&gt;1,1,0)))</f>
        <v/>
      </c>
      <c r="D358" s="36" t="str">
        <f>IF(Data!B348="","",IF(ISNUMBER(Data!D348),IF(AND(Data!D348&gt;999999999,Data!D348&lt;=9999999999),IF(COUNTIFS(Data!D$1:'Data'!D348,Data!D348)&lt;=1,0,1),1),1))</f>
        <v/>
      </c>
      <c r="E358" s="36" t="str">
        <f>IF(Data!B348="","",IF(ISNUMBER(MATCH(Data!E348,Data_Val!$A$2:$A$3,0)),0,1))</f>
        <v/>
      </c>
      <c r="F358" s="36" t="str">
        <f ca="1">IF(Data!B348="","",IF(ISNUMBER(Data!F348),IF(AND(Data!F348&gt;(TODAY()-(Data_Val!$H$3*365.25)),Data!F348&lt;=(TODAY()-(Data_Val!$H$2*365.25))),0,1),1))</f>
        <v/>
      </c>
      <c r="G358" s="12" t="str">
        <f>IF(Data!B348="","",IF(AND(Data!G348="",Data!H348&lt;&gt;""),1,IF(ISNUMBER(MATCH(Data!G348,Data_Val!$C$2:$C$5,0)),0,1)))</f>
        <v/>
      </c>
      <c r="H358" s="12" t="str">
        <f>IF(Data!B348="","",IF(AND(Data!G348&lt;&gt;"",Data!H348=""),1,IF(Data!G348="",1,IF(ISNUMBER(MATCH(Data!H348,Data_Val!$D$2:$D$35,0)),0,1))))</f>
        <v/>
      </c>
      <c r="I358" s="38" t="str">
        <f>IF(Data!G348="","",IF(Data!G348=Data_Val!$C$2,IF(Data!I348="",0,1),0))</f>
        <v/>
      </c>
      <c r="J358" s="38" t="str">
        <f>IF(Data!I348="","",IF(ISNUMBER(MATCH(Data!J348,Data_Val!$A$2:$A$3,0)),0,1))</f>
        <v/>
      </c>
      <c r="K358" s="38" t="str">
        <f ca="1">IF(Data!I348="","",IF(ISNUMBER(Data!K348),IF(AND(Data!K348&gt;(TODAY()-(Data_Val!$K$3*365.25)),Data!K348&lt;=(TODAY()-(Data_Val!$K$2*365.25))),0,1),1))</f>
        <v/>
      </c>
      <c r="L358" s="16" t="str">
        <f>IF(Data!G348="","",IF(Data!G348=Data_Val!$C$2,IF(Data!L348="",0,1),0))</f>
        <v/>
      </c>
      <c r="M358" s="16" t="str">
        <f>IF(Data!L348="","",IF(ISNUMBER(MATCH(Data!M348,Data_Val!$A$2:$A$3,0)),0,1))</f>
        <v/>
      </c>
      <c r="N358" s="43" t="str">
        <f ca="1">IF(Data!L348="","",IF(ISNUMBER(Data!N348),IF(AND(Data!N348&gt;(TODAY()-(Data_Val!$L$3*365.25)),Data!N348&lt;=(TODAY()-(Data_Val!$L$2*365.25))),0,1),1))</f>
        <v/>
      </c>
      <c r="O358" s="18" t="str">
        <f>IF(Data!$G348="","",IF(Data!$G348=Data_Val!$C$2,IF(Data!O348="",0,1),0))</f>
        <v/>
      </c>
      <c r="P358" s="18" t="str">
        <f>IF(Data!O348="","",IF(ISNUMBER(MATCH(Data!P348,Data_Val!$A$2:$A$3,0)),0,1))</f>
        <v/>
      </c>
      <c r="Q358" s="44" t="str">
        <f ca="1">IF(Data!O348="","",IF(ISNUMBER(Data!Q348),IF(AND(Data!Q348&gt;(TODAY()-(Data_Val!$L$3*365.25)),Data!Q348&lt;=(TODAY()-(Data_Val!$L$2*365.25))),0,1),1))</f>
        <v/>
      </c>
    </row>
    <row r="359" spans="1:17" ht="12" customHeight="1" x14ac:dyDescent="0.25">
      <c r="A359" s="36" t="str">
        <f>IF(Data!B349="","",IF(COUNTIFS(Data!A$1:'Data'!A349,Data!A349)&lt;=1,0,1))</f>
        <v/>
      </c>
      <c r="B359" s="36"/>
      <c r="C359" s="36" t="str">
        <f>IF(Data!C349="","",(IF(ISNUMBER(MATCH("*@*.?*",Data!C349,0)),0,1)+IF(COUNTIFS(Data!C$1:'Data'!C349,Data!C349)&gt;1,1,0)))</f>
        <v/>
      </c>
      <c r="D359" s="36" t="str">
        <f>IF(Data!B349="","",IF(ISNUMBER(Data!D349),IF(AND(Data!D349&gt;999999999,Data!D349&lt;=9999999999),IF(COUNTIFS(Data!D$1:'Data'!D349,Data!D349)&lt;=1,0,1),1),1))</f>
        <v/>
      </c>
      <c r="E359" s="36" t="str">
        <f>IF(Data!B349="","",IF(ISNUMBER(MATCH(Data!E349,Data_Val!$A$2:$A$3,0)),0,1))</f>
        <v/>
      </c>
      <c r="F359" s="36" t="str">
        <f ca="1">IF(Data!B349="","",IF(ISNUMBER(Data!F349),IF(AND(Data!F349&gt;(TODAY()-(Data_Val!$H$3*365.25)),Data!F349&lt;=(TODAY()-(Data_Val!$H$2*365.25))),0,1),1))</f>
        <v/>
      </c>
      <c r="G359" s="12" t="str">
        <f>IF(Data!B349="","",IF(AND(Data!G349="",Data!H349&lt;&gt;""),1,IF(ISNUMBER(MATCH(Data!G349,Data_Val!$C$2:$C$5,0)),0,1)))</f>
        <v/>
      </c>
      <c r="H359" s="12" t="str">
        <f>IF(Data!B349="","",IF(AND(Data!G349&lt;&gt;"",Data!H349=""),1,IF(Data!G349="",1,IF(ISNUMBER(MATCH(Data!H349,Data_Val!$D$2:$D$35,0)),0,1))))</f>
        <v/>
      </c>
      <c r="I359" s="38" t="str">
        <f>IF(Data!G349="","",IF(Data!G349=Data_Val!$C$2,IF(Data!I349="",0,1),0))</f>
        <v/>
      </c>
      <c r="J359" s="38" t="str">
        <f>IF(Data!I349="","",IF(ISNUMBER(MATCH(Data!J349,Data_Val!$A$2:$A$3,0)),0,1))</f>
        <v/>
      </c>
      <c r="K359" s="38" t="str">
        <f ca="1">IF(Data!I349="","",IF(ISNUMBER(Data!K349),IF(AND(Data!K349&gt;(TODAY()-(Data_Val!$K$3*365.25)),Data!K349&lt;=(TODAY()-(Data_Val!$K$2*365.25))),0,1),1))</f>
        <v/>
      </c>
      <c r="L359" s="16" t="str">
        <f>IF(Data!G349="","",IF(Data!G349=Data_Val!$C$2,IF(Data!L349="",0,1),0))</f>
        <v/>
      </c>
      <c r="M359" s="16" t="str">
        <f>IF(Data!L349="","",IF(ISNUMBER(MATCH(Data!M349,Data_Val!$A$2:$A$3,0)),0,1))</f>
        <v/>
      </c>
      <c r="N359" s="43" t="str">
        <f ca="1">IF(Data!L349="","",IF(ISNUMBER(Data!N349),IF(AND(Data!N349&gt;(TODAY()-(Data_Val!$L$3*365.25)),Data!N349&lt;=(TODAY()-(Data_Val!$L$2*365.25))),0,1),1))</f>
        <v/>
      </c>
      <c r="O359" s="18" t="str">
        <f>IF(Data!$G349="","",IF(Data!$G349=Data_Val!$C$2,IF(Data!O349="",0,1),0))</f>
        <v/>
      </c>
      <c r="P359" s="18" t="str">
        <f>IF(Data!O349="","",IF(ISNUMBER(MATCH(Data!P349,Data_Val!$A$2:$A$3,0)),0,1))</f>
        <v/>
      </c>
      <c r="Q359" s="44" t="str">
        <f ca="1">IF(Data!O349="","",IF(ISNUMBER(Data!Q349),IF(AND(Data!Q349&gt;(TODAY()-(Data_Val!$L$3*365.25)),Data!Q349&lt;=(TODAY()-(Data_Val!$L$2*365.25))),0,1),1))</f>
        <v/>
      </c>
    </row>
    <row r="360" spans="1:17" ht="12" customHeight="1" x14ac:dyDescent="0.25">
      <c r="A360" s="36" t="str">
        <f>IF(Data!B350="","",IF(COUNTIFS(Data!A$1:'Data'!A350,Data!A350)&lt;=1,0,1))</f>
        <v/>
      </c>
      <c r="B360" s="36"/>
      <c r="C360" s="36" t="str">
        <f>IF(Data!C350="","",(IF(ISNUMBER(MATCH("*@*.?*",Data!C350,0)),0,1)+IF(COUNTIFS(Data!C$1:'Data'!C350,Data!C350)&gt;1,1,0)))</f>
        <v/>
      </c>
      <c r="D360" s="36" t="str">
        <f>IF(Data!B350="","",IF(ISNUMBER(Data!D350),IF(AND(Data!D350&gt;999999999,Data!D350&lt;=9999999999),IF(COUNTIFS(Data!D$1:'Data'!D350,Data!D350)&lt;=1,0,1),1),1))</f>
        <v/>
      </c>
      <c r="E360" s="36" t="str">
        <f>IF(Data!B350="","",IF(ISNUMBER(MATCH(Data!E350,Data_Val!$A$2:$A$3,0)),0,1))</f>
        <v/>
      </c>
      <c r="F360" s="36" t="str">
        <f ca="1">IF(Data!B350="","",IF(ISNUMBER(Data!F350),IF(AND(Data!F350&gt;(TODAY()-(Data_Val!$H$3*365.25)),Data!F350&lt;=(TODAY()-(Data_Val!$H$2*365.25))),0,1),1))</f>
        <v/>
      </c>
      <c r="G360" s="12" t="str">
        <f>IF(Data!B350="","",IF(AND(Data!G350="",Data!H350&lt;&gt;""),1,IF(ISNUMBER(MATCH(Data!G350,Data_Val!$C$2:$C$5,0)),0,1)))</f>
        <v/>
      </c>
      <c r="H360" s="12" t="str">
        <f>IF(Data!B350="","",IF(AND(Data!G350&lt;&gt;"",Data!H350=""),1,IF(Data!G350="",1,IF(ISNUMBER(MATCH(Data!H350,Data_Val!$D$2:$D$35,0)),0,1))))</f>
        <v/>
      </c>
      <c r="I360" s="38" t="str">
        <f>IF(Data!G350="","",IF(Data!G350=Data_Val!$C$2,IF(Data!I350="",0,1),0))</f>
        <v/>
      </c>
      <c r="J360" s="38" t="str">
        <f>IF(Data!I350="","",IF(ISNUMBER(MATCH(Data!J350,Data_Val!$A$2:$A$3,0)),0,1))</f>
        <v/>
      </c>
      <c r="K360" s="38" t="str">
        <f ca="1">IF(Data!I350="","",IF(ISNUMBER(Data!K350),IF(AND(Data!K350&gt;(TODAY()-(Data_Val!$K$3*365.25)),Data!K350&lt;=(TODAY()-(Data_Val!$K$2*365.25))),0,1),1))</f>
        <v/>
      </c>
      <c r="L360" s="16" t="str">
        <f>IF(Data!G350="","",IF(Data!G350=Data_Val!$C$2,IF(Data!L350="",0,1),0))</f>
        <v/>
      </c>
      <c r="M360" s="16" t="str">
        <f>IF(Data!L350="","",IF(ISNUMBER(MATCH(Data!M350,Data_Val!$A$2:$A$3,0)),0,1))</f>
        <v/>
      </c>
      <c r="N360" s="43" t="str">
        <f ca="1">IF(Data!L350="","",IF(ISNUMBER(Data!N350),IF(AND(Data!N350&gt;(TODAY()-(Data_Val!$L$3*365.25)),Data!N350&lt;=(TODAY()-(Data_Val!$L$2*365.25))),0,1),1))</f>
        <v/>
      </c>
      <c r="O360" s="18" t="str">
        <f>IF(Data!$G350="","",IF(Data!$G350=Data_Val!$C$2,IF(Data!O350="",0,1),0))</f>
        <v/>
      </c>
      <c r="P360" s="18" t="str">
        <f>IF(Data!O350="","",IF(ISNUMBER(MATCH(Data!P350,Data_Val!$A$2:$A$3,0)),0,1))</f>
        <v/>
      </c>
      <c r="Q360" s="44" t="str">
        <f ca="1">IF(Data!O350="","",IF(ISNUMBER(Data!Q350),IF(AND(Data!Q350&gt;(TODAY()-(Data_Val!$L$3*365.25)),Data!Q350&lt;=(TODAY()-(Data_Val!$L$2*365.25))),0,1),1))</f>
        <v/>
      </c>
    </row>
    <row r="361" spans="1:17" ht="12" customHeight="1" x14ac:dyDescent="0.25">
      <c r="A361" s="36" t="str">
        <f>IF(Data!B351="","",IF(COUNTIFS(Data!A$1:'Data'!A351,Data!A351)&lt;=1,0,1))</f>
        <v/>
      </c>
      <c r="B361" s="36"/>
      <c r="C361" s="36" t="str">
        <f>IF(Data!C351="","",(IF(ISNUMBER(MATCH("*@*.?*",Data!C351,0)),0,1)+IF(COUNTIFS(Data!C$1:'Data'!C351,Data!C351)&gt;1,1,0)))</f>
        <v/>
      </c>
      <c r="D361" s="36" t="str">
        <f>IF(Data!B351="","",IF(ISNUMBER(Data!D351),IF(AND(Data!D351&gt;999999999,Data!D351&lt;=9999999999),IF(COUNTIFS(Data!D$1:'Data'!D351,Data!D351)&lt;=1,0,1),1),1))</f>
        <v/>
      </c>
      <c r="E361" s="36" t="str">
        <f>IF(Data!B351="","",IF(ISNUMBER(MATCH(Data!E351,Data_Val!$A$2:$A$3,0)),0,1))</f>
        <v/>
      </c>
      <c r="F361" s="36" t="str">
        <f ca="1">IF(Data!B351="","",IF(ISNUMBER(Data!F351),IF(AND(Data!F351&gt;(TODAY()-(Data_Val!$H$3*365.25)),Data!F351&lt;=(TODAY()-(Data_Val!$H$2*365.25))),0,1),1))</f>
        <v/>
      </c>
      <c r="G361" s="12" t="str">
        <f>IF(Data!B351="","",IF(AND(Data!G351="",Data!H351&lt;&gt;""),1,IF(ISNUMBER(MATCH(Data!G351,Data_Val!$C$2:$C$5,0)),0,1)))</f>
        <v/>
      </c>
      <c r="H361" s="12" t="str">
        <f>IF(Data!B351="","",IF(AND(Data!G351&lt;&gt;"",Data!H351=""),1,IF(Data!G351="",1,IF(ISNUMBER(MATCH(Data!H351,Data_Val!$D$2:$D$35,0)),0,1))))</f>
        <v/>
      </c>
      <c r="I361" s="38" t="str">
        <f>IF(Data!G351="","",IF(Data!G351=Data_Val!$C$2,IF(Data!I351="",0,1),0))</f>
        <v/>
      </c>
      <c r="J361" s="38" t="str">
        <f>IF(Data!I351="","",IF(ISNUMBER(MATCH(Data!J351,Data_Val!$A$2:$A$3,0)),0,1))</f>
        <v/>
      </c>
      <c r="K361" s="38" t="str">
        <f ca="1">IF(Data!I351="","",IF(ISNUMBER(Data!K351),IF(AND(Data!K351&gt;(TODAY()-(Data_Val!$K$3*365.25)),Data!K351&lt;=(TODAY()-(Data_Val!$K$2*365.25))),0,1),1))</f>
        <v/>
      </c>
      <c r="L361" s="16" t="str">
        <f>IF(Data!G351="","",IF(Data!G351=Data_Val!$C$2,IF(Data!L351="",0,1),0))</f>
        <v/>
      </c>
      <c r="M361" s="16" t="str">
        <f>IF(Data!L351="","",IF(ISNUMBER(MATCH(Data!M351,Data_Val!$A$2:$A$3,0)),0,1))</f>
        <v/>
      </c>
      <c r="N361" s="43" t="str">
        <f ca="1">IF(Data!L351="","",IF(ISNUMBER(Data!N351),IF(AND(Data!N351&gt;(TODAY()-(Data_Val!$L$3*365.25)),Data!N351&lt;=(TODAY()-(Data_Val!$L$2*365.25))),0,1),1))</f>
        <v/>
      </c>
      <c r="O361" s="18" t="str">
        <f>IF(Data!$G351="","",IF(Data!$G351=Data_Val!$C$2,IF(Data!O351="",0,1),0))</f>
        <v/>
      </c>
      <c r="P361" s="18" t="str">
        <f>IF(Data!O351="","",IF(ISNUMBER(MATCH(Data!P351,Data_Val!$A$2:$A$3,0)),0,1))</f>
        <v/>
      </c>
      <c r="Q361" s="44" t="str">
        <f ca="1">IF(Data!O351="","",IF(ISNUMBER(Data!Q351),IF(AND(Data!Q351&gt;(TODAY()-(Data_Val!$L$3*365.25)),Data!Q351&lt;=(TODAY()-(Data_Val!$L$2*365.25))),0,1),1))</f>
        <v/>
      </c>
    </row>
    <row r="362" spans="1:17" ht="12" customHeight="1" x14ac:dyDescent="0.25">
      <c r="A362" s="36" t="str">
        <f>IF(Data!B352="","",IF(COUNTIFS(Data!A$1:'Data'!A352,Data!A352)&lt;=1,0,1))</f>
        <v/>
      </c>
      <c r="B362" s="36"/>
      <c r="C362" s="36" t="str">
        <f>IF(Data!C352="","",(IF(ISNUMBER(MATCH("*@*.?*",Data!C352,0)),0,1)+IF(COUNTIFS(Data!C$1:'Data'!C352,Data!C352)&gt;1,1,0)))</f>
        <v/>
      </c>
      <c r="D362" s="36" t="str">
        <f>IF(Data!B352="","",IF(ISNUMBER(Data!D352),IF(AND(Data!D352&gt;999999999,Data!D352&lt;=9999999999),IF(COUNTIFS(Data!D$1:'Data'!D352,Data!D352)&lt;=1,0,1),1),1))</f>
        <v/>
      </c>
      <c r="E362" s="36" t="str">
        <f>IF(Data!B352="","",IF(ISNUMBER(MATCH(Data!E352,Data_Val!$A$2:$A$3,0)),0,1))</f>
        <v/>
      </c>
      <c r="F362" s="36" t="str">
        <f ca="1">IF(Data!B352="","",IF(ISNUMBER(Data!F352),IF(AND(Data!F352&gt;(TODAY()-(Data_Val!$H$3*365.25)),Data!F352&lt;=(TODAY()-(Data_Val!$H$2*365.25))),0,1),1))</f>
        <v/>
      </c>
      <c r="G362" s="12" t="str">
        <f>IF(Data!B352="","",IF(AND(Data!G352="",Data!H352&lt;&gt;""),1,IF(ISNUMBER(MATCH(Data!G352,Data_Val!$C$2:$C$5,0)),0,1)))</f>
        <v/>
      </c>
      <c r="H362" s="12" t="str">
        <f>IF(Data!B352="","",IF(AND(Data!G352&lt;&gt;"",Data!H352=""),1,IF(Data!G352="",1,IF(ISNUMBER(MATCH(Data!H352,Data_Val!$D$2:$D$35,0)),0,1))))</f>
        <v/>
      </c>
      <c r="I362" s="38" t="str">
        <f>IF(Data!G352="","",IF(Data!G352=Data_Val!$C$2,IF(Data!I352="",0,1),0))</f>
        <v/>
      </c>
      <c r="J362" s="38" t="str">
        <f>IF(Data!I352="","",IF(ISNUMBER(MATCH(Data!J352,Data_Val!$A$2:$A$3,0)),0,1))</f>
        <v/>
      </c>
      <c r="K362" s="38" t="str">
        <f ca="1">IF(Data!I352="","",IF(ISNUMBER(Data!K352),IF(AND(Data!K352&gt;(TODAY()-(Data_Val!$K$3*365.25)),Data!K352&lt;=(TODAY()-(Data_Val!$K$2*365.25))),0,1),1))</f>
        <v/>
      </c>
      <c r="L362" s="16" t="str">
        <f>IF(Data!G352="","",IF(Data!G352=Data_Val!$C$2,IF(Data!L352="",0,1),0))</f>
        <v/>
      </c>
      <c r="M362" s="16" t="str">
        <f>IF(Data!L352="","",IF(ISNUMBER(MATCH(Data!M352,Data_Val!$A$2:$A$3,0)),0,1))</f>
        <v/>
      </c>
      <c r="N362" s="43" t="str">
        <f ca="1">IF(Data!L352="","",IF(ISNUMBER(Data!N352),IF(AND(Data!N352&gt;(TODAY()-(Data_Val!$L$3*365.25)),Data!N352&lt;=(TODAY()-(Data_Val!$L$2*365.25))),0,1),1))</f>
        <v/>
      </c>
      <c r="O362" s="18" t="str">
        <f>IF(Data!$G352="","",IF(Data!$G352=Data_Val!$C$2,IF(Data!O352="",0,1),0))</f>
        <v/>
      </c>
      <c r="P362" s="18" t="str">
        <f>IF(Data!O352="","",IF(ISNUMBER(MATCH(Data!P352,Data_Val!$A$2:$A$3,0)),0,1))</f>
        <v/>
      </c>
      <c r="Q362" s="44" t="str">
        <f ca="1">IF(Data!O352="","",IF(ISNUMBER(Data!Q352),IF(AND(Data!Q352&gt;(TODAY()-(Data_Val!$L$3*365.25)),Data!Q352&lt;=(TODAY()-(Data_Val!$L$2*365.25))),0,1),1))</f>
        <v/>
      </c>
    </row>
    <row r="363" spans="1:17" ht="12" customHeight="1" x14ac:dyDescent="0.25">
      <c r="A363" s="36" t="str">
        <f>IF(Data!B353="","",IF(COUNTIFS(Data!A$1:'Data'!A353,Data!A353)&lt;=1,0,1))</f>
        <v/>
      </c>
      <c r="B363" s="36"/>
      <c r="C363" s="36" t="str">
        <f>IF(Data!C353="","",(IF(ISNUMBER(MATCH("*@*.?*",Data!C353,0)),0,1)+IF(COUNTIFS(Data!C$1:'Data'!C353,Data!C353)&gt;1,1,0)))</f>
        <v/>
      </c>
      <c r="D363" s="36" t="str">
        <f>IF(Data!B353="","",IF(ISNUMBER(Data!D353),IF(AND(Data!D353&gt;999999999,Data!D353&lt;=9999999999),IF(COUNTIFS(Data!D$1:'Data'!D353,Data!D353)&lt;=1,0,1),1),1))</f>
        <v/>
      </c>
      <c r="E363" s="36" t="str">
        <f>IF(Data!B353="","",IF(ISNUMBER(MATCH(Data!E353,Data_Val!$A$2:$A$3,0)),0,1))</f>
        <v/>
      </c>
      <c r="F363" s="36" t="str">
        <f ca="1">IF(Data!B353="","",IF(ISNUMBER(Data!F353),IF(AND(Data!F353&gt;(TODAY()-(Data_Val!$H$3*365.25)),Data!F353&lt;=(TODAY()-(Data_Val!$H$2*365.25))),0,1),1))</f>
        <v/>
      </c>
      <c r="G363" s="12" t="str">
        <f>IF(Data!B353="","",IF(AND(Data!G353="",Data!H353&lt;&gt;""),1,IF(ISNUMBER(MATCH(Data!G353,Data_Val!$C$2:$C$5,0)),0,1)))</f>
        <v/>
      </c>
      <c r="H363" s="12" t="str">
        <f>IF(Data!B353="","",IF(AND(Data!G353&lt;&gt;"",Data!H353=""),1,IF(Data!G353="",1,IF(ISNUMBER(MATCH(Data!H353,Data_Val!$D$2:$D$35,0)),0,1))))</f>
        <v/>
      </c>
      <c r="I363" s="38" t="str">
        <f>IF(Data!G353="","",IF(Data!G353=Data_Val!$C$2,IF(Data!I353="",0,1),0))</f>
        <v/>
      </c>
      <c r="J363" s="38" t="str">
        <f>IF(Data!I353="","",IF(ISNUMBER(MATCH(Data!J353,Data_Val!$A$2:$A$3,0)),0,1))</f>
        <v/>
      </c>
      <c r="K363" s="38" t="str">
        <f ca="1">IF(Data!I353="","",IF(ISNUMBER(Data!K353),IF(AND(Data!K353&gt;(TODAY()-(Data_Val!$K$3*365.25)),Data!K353&lt;=(TODAY()-(Data_Val!$K$2*365.25))),0,1),1))</f>
        <v/>
      </c>
      <c r="L363" s="16" t="str">
        <f>IF(Data!G353="","",IF(Data!G353=Data_Val!$C$2,IF(Data!L353="",0,1),0))</f>
        <v/>
      </c>
      <c r="M363" s="16" t="str">
        <f>IF(Data!L353="","",IF(ISNUMBER(MATCH(Data!M353,Data_Val!$A$2:$A$3,0)),0,1))</f>
        <v/>
      </c>
      <c r="N363" s="43" t="str">
        <f ca="1">IF(Data!L353="","",IF(ISNUMBER(Data!N353),IF(AND(Data!N353&gt;(TODAY()-(Data_Val!$L$3*365.25)),Data!N353&lt;=(TODAY()-(Data_Val!$L$2*365.25))),0,1),1))</f>
        <v/>
      </c>
      <c r="O363" s="18" t="str">
        <f>IF(Data!$G353="","",IF(Data!$G353=Data_Val!$C$2,IF(Data!O353="",0,1),0))</f>
        <v/>
      </c>
      <c r="P363" s="18" t="str">
        <f>IF(Data!O353="","",IF(ISNUMBER(MATCH(Data!P353,Data_Val!$A$2:$A$3,0)),0,1))</f>
        <v/>
      </c>
      <c r="Q363" s="44" t="str">
        <f ca="1">IF(Data!O353="","",IF(ISNUMBER(Data!Q353),IF(AND(Data!Q353&gt;(TODAY()-(Data_Val!$L$3*365.25)),Data!Q353&lt;=(TODAY()-(Data_Val!$L$2*365.25))),0,1),1))</f>
        <v/>
      </c>
    </row>
    <row r="364" spans="1:17" ht="12" customHeight="1" x14ac:dyDescent="0.25">
      <c r="A364" s="36" t="str">
        <f>IF(Data!B354="","",IF(COUNTIFS(Data!A$1:'Data'!A354,Data!A354)&lt;=1,0,1))</f>
        <v/>
      </c>
      <c r="B364" s="36"/>
      <c r="C364" s="36" t="str">
        <f>IF(Data!C354="","",(IF(ISNUMBER(MATCH("*@*.?*",Data!C354,0)),0,1)+IF(COUNTIFS(Data!C$1:'Data'!C354,Data!C354)&gt;1,1,0)))</f>
        <v/>
      </c>
      <c r="D364" s="36" t="str">
        <f>IF(Data!B354="","",IF(ISNUMBER(Data!D354),IF(AND(Data!D354&gt;999999999,Data!D354&lt;=9999999999),IF(COUNTIFS(Data!D$1:'Data'!D354,Data!D354)&lt;=1,0,1),1),1))</f>
        <v/>
      </c>
      <c r="E364" s="36" t="str">
        <f>IF(Data!B354="","",IF(ISNUMBER(MATCH(Data!E354,Data_Val!$A$2:$A$3,0)),0,1))</f>
        <v/>
      </c>
      <c r="F364" s="36" t="str">
        <f ca="1">IF(Data!B354="","",IF(ISNUMBER(Data!F354),IF(AND(Data!F354&gt;(TODAY()-(Data_Val!$H$3*365.25)),Data!F354&lt;=(TODAY()-(Data_Val!$H$2*365.25))),0,1),1))</f>
        <v/>
      </c>
      <c r="G364" s="12" t="str">
        <f>IF(Data!B354="","",IF(AND(Data!G354="",Data!H354&lt;&gt;""),1,IF(ISNUMBER(MATCH(Data!G354,Data_Val!$C$2:$C$5,0)),0,1)))</f>
        <v/>
      </c>
      <c r="H364" s="12" t="str">
        <f>IF(Data!B354="","",IF(AND(Data!G354&lt;&gt;"",Data!H354=""),1,IF(Data!G354="",1,IF(ISNUMBER(MATCH(Data!H354,Data_Val!$D$2:$D$35,0)),0,1))))</f>
        <v/>
      </c>
      <c r="I364" s="38" t="str">
        <f>IF(Data!G354="","",IF(Data!G354=Data_Val!$C$2,IF(Data!I354="",0,1),0))</f>
        <v/>
      </c>
      <c r="J364" s="38" t="str">
        <f>IF(Data!I354="","",IF(ISNUMBER(MATCH(Data!J354,Data_Val!$A$2:$A$3,0)),0,1))</f>
        <v/>
      </c>
      <c r="K364" s="38" t="str">
        <f ca="1">IF(Data!I354="","",IF(ISNUMBER(Data!K354),IF(AND(Data!K354&gt;(TODAY()-(Data_Val!$K$3*365.25)),Data!K354&lt;=(TODAY()-(Data_Val!$K$2*365.25))),0,1),1))</f>
        <v/>
      </c>
      <c r="L364" s="16" t="str">
        <f>IF(Data!G354="","",IF(Data!G354=Data_Val!$C$2,IF(Data!L354="",0,1),0))</f>
        <v/>
      </c>
      <c r="M364" s="16" t="str">
        <f>IF(Data!L354="","",IF(ISNUMBER(MATCH(Data!M354,Data_Val!$A$2:$A$3,0)),0,1))</f>
        <v/>
      </c>
      <c r="N364" s="43" t="str">
        <f ca="1">IF(Data!L354="","",IF(ISNUMBER(Data!N354),IF(AND(Data!N354&gt;(TODAY()-(Data_Val!$L$3*365.25)),Data!N354&lt;=(TODAY()-(Data_Val!$L$2*365.25))),0,1),1))</f>
        <v/>
      </c>
      <c r="O364" s="18" t="str">
        <f>IF(Data!$G354="","",IF(Data!$G354=Data_Val!$C$2,IF(Data!O354="",0,1),0))</f>
        <v/>
      </c>
      <c r="P364" s="18" t="str">
        <f>IF(Data!O354="","",IF(ISNUMBER(MATCH(Data!P354,Data_Val!$A$2:$A$3,0)),0,1))</f>
        <v/>
      </c>
      <c r="Q364" s="44" t="str">
        <f ca="1">IF(Data!O354="","",IF(ISNUMBER(Data!Q354),IF(AND(Data!Q354&gt;(TODAY()-(Data_Val!$L$3*365.25)),Data!Q354&lt;=(TODAY()-(Data_Val!$L$2*365.25))),0,1),1))</f>
        <v/>
      </c>
    </row>
    <row r="365" spans="1:17" ht="12" customHeight="1" x14ac:dyDescent="0.25">
      <c r="A365" s="36" t="str">
        <f>IF(Data!B355="","",IF(COUNTIFS(Data!A$1:'Data'!A355,Data!A355)&lt;=1,0,1))</f>
        <v/>
      </c>
      <c r="B365" s="36"/>
      <c r="C365" s="36" t="str">
        <f>IF(Data!C355="","",(IF(ISNUMBER(MATCH("*@*.?*",Data!C355,0)),0,1)+IF(COUNTIFS(Data!C$1:'Data'!C355,Data!C355)&gt;1,1,0)))</f>
        <v/>
      </c>
      <c r="D365" s="36" t="str">
        <f>IF(Data!B355="","",IF(ISNUMBER(Data!D355),IF(AND(Data!D355&gt;999999999,Data!D355&lt;=9999999999),IF(COUNTIFS(Data!D$1:'Data'!D355,Data!D355)&lt;=1,0,1),1),1))</f>
        <v/>
      </c>
      <c r="E365" s="36" t="str">
        <f>IF(Data!B355="","",IF(ISNUMBER(MATCH(Data!E355,Data_Val!$A$2:$A$3,0)),0,1))</f>
        <v/>
      </c>
      <c r="F365" s="36" t="str">
        <f ca="1">IF(Data!B355="","",IF(ISNUMBER(Data!F355),IF(AND(Data!F355&gt;(TODAY()-(Data_Val!$H$3*365.25)),Data!F355&lt;=(TODAY()-(Data_Val!$H$2*365.25))),0,1),1))</f>
        <v/>
      </c>
      <c r="G365" s="12" t="str">
        <f>IF(Data!B355="","",IF(AND(Data!G355="",Data!H355&lt;&gt;""),1,IF(ISNUMBER(MATCH(Data!G355,Data_Val!$C$2:$C$5,0)),0,1)))</f>
        <v/>
      </c>
      <c r="H365" s="12" t="str">
        <f>IF(Data!B355="","",IF(AND(Data!G355&lt;&gt;"",Data!H355=""),1,IF(Data!G355="",1,IF(ISNUMBER(MATCH(Data!H355,Data_Val!$D$2:$D$35,0)),0,1))))</f>
        <v/>
      </c>
      <c r="I365" s="38" t="str">
        <f>IF(Data!G355="","",IF(Data!G355=Data_Val!$C$2,IF(Data!I355="",0,1),0))</f>
        <v/>
      </c>
      <c r="J365" s="38" t="str">
        <f>IF(Data!I355="","",IF(ISNUMBER(MATCH(Data!J355,Data_Val!$A$2:$A$3,0)),0,1))</f>
        <v/>
      </c>
      <c r="K365" s="38" t="str">
        <f ca="1">IF(Data!I355="","",IF(ISNUMBER(Data!K355),IF(AND(Data!K355&gt;(TODAY()-(Data_Val!$K$3*365.25)),Data!K355&lt;=(TODAY()-(Data_Val!$K$2*365.25))),0,1),1))</f>
        <v/>
      </c>
      <c r="L365" s="16" t="str">
        <f>IF(Data!G355="","",IF(Data!G355=Data_Val!$C$2,IF(Data!L355="",0,1),0))</f>
        <v/>
      </c>
      <c r="M365" s="16" t="str">
        <f>IF(Data!L355="","",IF(ISNUMBER(MATCH(Data!M355,Data_Val!$A$2:$A$3,0)),0,1))</f>
        <v/>
      </c>
      <c r="N365" s="43" t="str">
        <f ca="1">IF(Data!L355="","",IF(ISNUMBER(Data!N355),IF(AND(Data!N355&gt;(TODAY()-(Data_Val!$L$3*365.25)),Data!N355&lt;=(TODAY()-(Data_Val!$L$2*365.25))),0,1),1))</f>
        <v/>
      </c>
      <c r="O365" s="18" t="str">
        <f>IF(Data!$G355="","",IF(Data!$G355=Data_Val!$C$2,IF(Data!O355="",0,1),0))</f>
        <v/>
      </c>
      <c r="P365" s="18" t="str">
        <f>IF(Data!O355="","",IF(ISNUMBER(MATCH(Data!P355,Data_Val!$A$2:$A$3,0)),0,1))</f>
        <v/>
      </c>
      <c r="Q365" s="44" t="str">
        <f ca="1">IF(Data!O355="","",IF(ISNUMBER(Data!Q355),IF(AND(Data!Q355&gt;(TODAY()-(Data_Val!$L$3*365.25)),Data!Q355&lt;=(TODAY()-(Data_Val!$L$2*365.25))),0,1),1))</f>
        <v/>
      </c>
    </row>
    <row r="366" spans="1:17" ht="12" customHeight="1" x14ac:dyDescent="0.25">
      <c r="A366" s="36" t="str">
        <f>IF(Data!B356="","",IF(COUNTIFS(Data!A$1:'Data'!A356,Data!A356)&lt;=1,0,1))</f>
        <v/>
      </c>
      <c r="B366" s="36"/>
      <c r="C366" s="36" t="str">
        <f>IF(Data!C356="","",(IF(ISNUMBER(MATCH("*@*.?*",Data!C356,0)),0,1)+IF(COUNTIFS(Data!C$1:'Data'!C356,Data!C356)&gt;1,1,0)))</f>
        <v/>
      </c>
      <c r="D366" s="36" t="str">
        <f>IF(Data!B356="","",IF(ISNUMBER(Data!D356),IF(AND(Data!D356&gt;999999999,Data!D356&lt;=9999999999),IF(COUNTIFS(Data!D$1:'Data'!D356,Data!D356)&lt;=1,0,1),1),1))</f>
        <v/>
      </c>
      <c r="E366" s="36" t="str">
        <f>IF(Data!B356="","",IF(ISNUMBER(MATCH(Data!E356,Data_Val!$A$2:$A$3,0)),0,1))</f>
        <v/>
      </c>
      <c r="F366" s="36" t="str">
        <f ca="1">IF(Data!B356="","",IF(ISNUMBER(Data!F356),IF(AND(Data!F356&gt;(TODAY()-(Data_Val!$H$3*365.25)),Data!F356&lt;=(TODAY()-(Data_Val!$H$2*365.25))),0,1),1))</f>
        <v/>
      </c>
      <c r="G366" s="12" t="str">
        <f>IF(Data!B356="","",IF(AND(Data!G356="",Data!H356&lt;&gt;""),1,IF(ISNUMBER(MATCH(Data!G356,Data_Val!$C$2:$C$5,0)),0,1)))</f>
        <v/>
      </c>
      <c r="H366" s="12" t="str">
        <f>IF(Data!B356="","",IF(AND(Data!G356&lt;&gt;"",Data!H356=""),1,IF(Data!G356="",1,IF(ISNUMBER(MATCH(Data!H356,Data_Val!$D$2:$D$35,0)),0,1))))</f>
        <v/>
      </c>
      <c r="I366" s="38" t="str">
        <f>IF(Data!G356="","",IF(Data!G356=Data_Val!$C$2,IF(Data!I356="",0,1),0))</f>
        <v/>
      </c>
      <c r="J366" s="38" t="str">
        <f>IF(Data!I356="","",IF(ISNUMBER(MATCH(Data!J356,Data_Val!$A$2:$A$3,0)),0,1))</f>
        <v/>
      </c>
      <c r="K366" s="38" t="str">
        <f ca="1">IF(Data!I356="","",IF(ISNUMBER(Data!K356),IF(AND(Data!K356&gt;(TODAY()-(Data_Val!$K$3*365.25)),Data!K356&lt;=(TODAY()-(Data_Val!$K$2*365.25))),0,1),1))</f>
        <v/>
      </c>
      <c r="L366" s="16" t="str">
        <f>IF(Data!G356="","",IF(Data!G356=Data_Val!$C$2,IF(Data!L356="",0,1),0))</f>
        <v/>
      </c>
      <c r="M366" s="16" t="str">
        <f>IF(Data!L356="","",IF(ISNUMBER(MATCH(Data!M356,Data_Val!$A$2:$A$3,0)),0,1))</f>
        <v/>
      </c>
      <c r="N366" s="43" t="str">
        <f ca="1">IF(Data!L356="","",IF(ISNUMBER(Data!N356),IF(AND(Data!N356&gt;(TODAY()-(Data_Val!$L$3*365.25)),Data!N356&lt;=(TODAY()-(Data_Val!$L$2*365.25))),0,1),1))</f>
        <v/>
      </c>
      <c r="O366" s="18" t="str">
        <f>IF(Data!$G356="","",IF(Data!$G356=Data_Val!$C$2,IF(Data!O356="",0,1),0))</f>
        <v/>
      </c>
      <c r="P366" s="18" t="str">
        <f>IF(Data!O356="","",IF(ISNUMBER(MATCH(Data!P356,Data_Val!$A$2:$A$3,0)),0,1))</f>
        <v/>
      </c>
      <c r="Q366" s="44" t="str">
        <f ca="1">IF(Data!O356="","",IF(ISNUMBER(Data!Q356),IF(AND(Data!Q356&gt;(TODAY()-(Data_Val!$L$3*365.25)),Data!Q356&lt;=(TODAY()-(Data_Val!$L$2*365.25))),0,1),1))</f>
        <v/>
      </c>
    </row>
    <row r="367" spans="1:17" ht="12" customHeight="1" x14ac:dyDescent="0.25">
      <c r="A367" s="36" t="str">
        <f>IF(Data!B357="","",IF(COUNTIFS(Data!A$1:'Data'!A357,Data!A357)&lt;=1,0,1))</f>
        <v/>
      </c>
      <c r="B367" s="36"/>
      <c r="C367" s="36" t="str">
        <f>IF(Data!C357="","",(IF(ISNUMBER(MATCH("*@*.?*",Data!C357,0)),0,1)+IF(COUNTIFS(Data!C$1:'Data'!C357,Data!C357)&gt;1,1,0)))</f>
        <v/>
      </c>
      <c r="D367" s="36" t="str">
        <f>IF(Data!B357="","",IF(ISNUMBER(Data!D357),IF(AND(Data!D357&gt;999999999,Data!D357&lt;=9999999999),IF(COUNTIFS(Data!D$1:'Data'!D357,Data!D357)&lt;=1,0,1),1),1))</f>
        <v/>
      </c>
      <c r="E367" s="36" t="str">
        <f>IF(Data!B357="","",IF(ISNUMBER(MATCH(Data!E357,Data_Val!$A$2:$A$3,0)),0,1))</f>
        <v/>
      </c>
      <c r="F367" s="36" t="str">
        <f ca="1">IF(Data!B357="","",IF(ISNUMBER(Data!F357),IF(AND(Data!F357&gt;(TODAY()-(Data_Val!$H$3*365.25)),Data!F357&lt;=(TODAY()-(Data_Val!$H$2*365.25))),0,1),1))</f>
        <v/>
      </c>
      <c r="G367" s="12" t="str">
        <f>IF(Data!B357="","",IF(AND(Data!G357="",Data!H357&lt;&gt;""),1,IF(ISNUMBER(MATCH(Data!G357,Data_Val!$C$2:$C$5,0)),0,1)))</f>
        <v/>
      </c>
      <c r="H367" s="12" t="str">
        <f>IF(Data!B357="","",IF(AND(Data!G357&lt;&gt;"",Data!H357=""),1,IF(Data!G357="",1,IF(ISNUMBER(MATCH(Data!H357,Data_Val!$D$2:$D$35,0)),0,1))))</f>
        <v/>
      </c>
      <c r="I367" s="38" t="str">
        <f>IF(Data!G357="","",IF(Data!G357=Data_Val!$C$2,IF(Data!I357="",0,1),0))</f>
        <v/>
      </c>
      <c r="J367" s="38" t="str">
        <f>IF(Data!I357="","",IF(ISNUMBER(MATCH(Data!J357,Data_Val!$A$2:$A$3,0)),0,1))</f>
        <v/>
      </c>
      <c r="K367" s="38" t="str">
        <f ca="1">IF(Data!I357="","",IF(ISNUMBER(Data!K357),IF(AND(Data!K357&gt;(TODAY()-(Data_Val!$K$3*365.25)),Data!K357&lt;=(TODAY()-(Data_Val!$K$2*365.25))),0,1),1))</f>
        <v/>
      </c>
      <c r="L367" s="16" t="str">
        <f>IF(Data!G357="","",IF(Data!G357=Data_Val!$C$2,IF(Data!L357="",0,1),0))</f>
        <v/>
      </c>
      <c r="M367" s="16" t="str">
        <f>IF(Data!L357="","",IF(ISNUMBER(MATCH(Data!M357,Data_Val!$A$2:$A$3,0)),0,1))</f>
        <v/>
      </c>
      <c r="N367" s="43" t="str">
        <f ca="1">IF(Data!L357="","",IF(ISNUMBER(Data!N357),IF(AND(Data!N357&gt;(TODAY()-(Data_Val!$L$3*365.25)),Data!N357&lt;=(TODAY()-(Data_Val!$L$2*365.25))),0,1),1))</f>
        <v/>
      </c>
      <c r="O367" s="18" t="str">
        <f>IF(Data!$G357="","",IF(Data!$G357=Data_Val!$C$2,IF(Data!O357="",0,1),0))</f>
        <v/>
      </c>
      <c r="P367" s="18" t="str">
        <f>IF(Data!O357="","",IF(ISNUMBER(MATCH(Data!P357,Data_Val!$A$2:$A$3,0)),0,1))</f>
        <v/>
      </c>
      <c r="Q367" s="44" t="str">
        <f ca="1">IF(Data!O357="","",IF(ISNUMBER(Data!Q357),IF(AND(Data!Q357&gt;(TODAY()-(Data_Val!$L$3*365.25)),Data!Q357&lt;=(TODAY()-(Data_Val!$L$2*365.25))),0,1),1))</f>
        <v/>
      </c>
    </row>
    <row r="368" spans="1:17" ht="12" customHeight="1" x14ac:dyDescent="0.25">
      <c r="A368" s="36" t="str">
        <f>IF(Data!B358="","",IF(COUNTIFS(Data!A$1:'Data'!A358,Data!A358)&lt;=1,0,1))</f>
        <v/>
      </c>
      <c r="B368" s="36"/>
      <c r="C368" s="36" t="str">
        <f>IF(Data!C358="","",(IF(ISNUMBER(MATCH("*@*.?*",Data!C358,0)),0,1)+IF(COUNTIFS(Data!C$1:'Data'!C358,Data!C358)&gt;1,1,0)))</f>
        <v/>
      </c>
      <c r="D368" s="36" t="str">
        <f>IF(Data!B358="","",IF(ISNUMBER(Data!D358),IF(AND(Data!D358&gt;999999999,Data!D358&lt;=9999999999),IF(COUNTIFS(Data!D$1:'Data'!D358,Data!D358)&lt;=1,0,1),1),1))</f>
        <v/>
      </c>
      <c r="E368" s="36" t="str">
        <f>IF(Data!B358="","",IF(ISNUMBER(MATCH(Data!E358,Data_Val!$A$2:$A$3,0)),0,1))</f>
        <v/>
      </c>
      <c r="F368" s="36" t="str">
        <f ca="1">IF(Data!B358="","",IF(ISNUMBER(Data!F358),IF(AND(Data!F358&gt;(TODAY()-(Data_Val!$H$3*365.25)),Data!F358&lt;=(TODAY()-(Data_Val!$H$2*365.25))),0,1),1))</f>
        <v/>
      </c>
      <c r="G368" s="12" t="str">
        <f>IF(Data!B358="","",IF(AND(Data!G358="",Data!H358&lt;&gt;""),1,IF(ISNUMBER(MATCH(Data!G358,Data_Val!$C$2:$C$5,0)),0,1)))</f>
        <v/>
      </c>
      <c r="H368" s="12" t="str">
        <f>IF(Data!B358="","",IF(AND(Data!G358&lt;&gt;"",Data!H358=""),1,IF(Data!G358="",1,IF(ISNUMBER(MATCH(Data!H358,Data_Val!$D$2:$D$35,0)),0,1))))</f>
        <v/>
      </c>
      <c r="I368" s="38" t="str">
        <f>IF(Data!G358="","",IF(Data!G358=Data_Val!$C$2,IF(Data!I358="",0,1),0))</f>
        <v/>
      </c>
      <c r="J368" s="38" t="str">
        <f>IF(Data!I358="","",IF(ISNUMBER(MATCH(Data!J358,Data_Val!$A$2:$A$3,0)),0,1))</f>
        <v/>
      </c>
      <c r="K368" s="38" t="str">
        <f ca="1">IF(Data!I358="","",IF(ISNUMBER(Data!K358),IF(AND(Data!K358&gt;(TODAY()-(Data_Val!$K$3*365.25)),Data!K358&lt;=(TODAY()-(Data_Val!$K$2*365.25))),0,1),1))</f>
        <v/>
      </c>
      <c r="L368" s="16" t="str">
        <f>IF(Data!G358="","",IF(Data!G358=Data_Val!$C$2,IF(Data!L358="",0,1),0))</f>
        <v/>
      </c>
      <c r="M368" s="16" t="str">
        <f>IF(Data!L358="","",IF(ISNUMBER(MATCH(Data!M358,Data_Val!$A$2:$A$3,0)),0,1))</f>
        <v/>
      </c>
      <c r="N368" s="43" t="str">
        <f ca="1">IF(Data!L358="","",IF(ISNUMBER(Data!N358),IF(AND(Data!N358&gt;(TODAY()-(Data_Val!$L$3*365.25)),Data!N358&lt;=(TODAY()-(Data_Val!$L$2*365.25))),0,1),1))</f>
        <v/>
      </c>
      <c r="O368" s="18" t="str">
        <f>IF(Data!$G358="","",IF(Data!$G358=Data_Val!$C$2,IF(Data!O358="",0,1),0))</f>
        <v/>
      </c>
      <c r="P368" s="18" t="str">
        <f>IF(Data!O358="","",IF(ISNUMBER(MATCH(Data!P358,Data_Val!$A$2:$A$3,0)),0,1))</f>
        <v/>
      </c>
      <c r="Q368" s="44" t="str">
        <f ca="1">IF(Data!O358="","",IF(ISNUMBER(Data!Q358),IF(AND(Data!Q358&gt;(TODAY()-(Data_Val!$L$3*365.25)),Data!Q358&lt;=(TODAY()-(Data_Val!$L$2*365.25))),0,1),1))</f>
        <v/>
      </c>
    </row>
    <row r="369" spans="1:17" ht="12" customHeight="1" x14ac:dyDescent="0.25">
      <c r="A369" s="36" t="str">
        <f>IF(Data!B359="","",IF(COUNTIFS(Data!A$1:'Data'!A359,Data!A359)&lt;=1,0,1))</f>
        <v/>
      </c>
      <c r="B369" s="36"/>
      <c r="C369" s="36" t="str">
        <f>IF(Data!C359="","",(IF(ISNUMBER(MATCH("*@*.?*",Data!C359,0)),0,1)+IF(COUNTIFS(Data!C$1:'Data'!C359,Data!C359)&gt;1,1,0)))</f>
        <v/>
      </c>
      <c r="D369" s="36" t="str">
        <f>IF(Data!B359="","",IF(ISNUMBER(Data!D359),IF(AND(Data!D359&gt;999999999,Data!D359&lt;=9999999999),IF(COUNTIFS(Data!D$1:'Data'!D359,Data!D359)&lt;=1,0,1),1),1))</f>
        <v/>
      </c>
      <c r="E369" s="36" t="str">
        <f>IF(Data!B359="","",IF(ISNUMBER(MATCH(Data!E359,Data_Val!$A$2:$A$3,0)),0,1))</f>
        <v/>
      </c>
      <c r="F369" s="36" t="str">
        <f ca="1">IF(Data!B359="","",IF(ISNUMBER(Data!F359),IF(AND(Data!F359&gt;(TODAY()-(Data_Val!$H$3*365.25)),Data!F359&lt;=(TODAY()-(Data_Val!$H$2*365.25))),0,1),1))</f>
        <v/>
      </c>
      <c r="G369" s="12" t="str">
        <f>IF(Data!B359="","",IF(AND(Data!G359="",Data!H359&lt;&gt;""),1,IF(ISNUMBER(MATCH(Data!G359,Data_Val!$C$2:$C$5,0)),0,1)))</f>
        <v/>
      </c>
      <c r="H369" s="12" t="str">
        <f>IF(Data!B359="","",IF(AND(Data!G359&lt;&gt;"",Data!H359=""),1,IF(Data!G359="",1,IF(ISNUMBER(MATCH(Data!H359,Data_Val!$D$2:$D$35,0)),0,1))))</f>
        <v/>
      </c>
      <c r="I369" s="38" t="str">
        <f>IF(Data!G359="","",IF(Data!G359=Data_Val!$C$2,IF(Data!I359="",0,1),0))</f>
        <v/>
      </c>
      <c r="J369" s="38" t="str">
        <f>IF(Data!I359="","",IF(ISNUMBER(MATCH(Data!J359,Data_Val!$A$2:$A$3,0)),0,1))</f>
        <v/>
      </c>
      <c r="K369" s="38" t="str">
        <f ca="1">IF(Data!I359="","",IF(ISNUMBER(Data!K359),IF(AND(Data!K359&gt;(TODAY()-(Data_Val!$K$3*365.25)),Data!K359&lt;=(TODAY()-(Data_Val!$K$2*365.25))),0,1),1))</f>
        <v/>
      </c>
      <c r="L369" s="16" t="str">
        <f>IF(Data!G359="","",IF(Data!G359=Data_Val!$C$2,IF(Data!L359="",0,1),0))</f>
        <v/>
      </c>
      <c r="M369" s="16" t="str">
        <f>IF(Data!L359="","",IF(ISNUMBER(MATCH(Data!M359,Data_Val!$A$2:$A$3,0)),0,1))</f>
        <v/>
      </c>
      <c r="N369" s="43" t="str">
        <f ca="1">IF(Data!L359="","",IF(ISNUMBER(Data!N359),IF(AND(Data!N359&gt;(TODAY()-(Data_Val!$L$3*365.25)),Data!N359&lt;=(TODAY()-(Data_Val!$L$2*365.25))),0,1),1))</f>
        <v/>
      </c>
      <c r="O369" s="18" t="str">
        <f>IF(Data!$G359="","",IF(Data!$G359=Data_Val!$C$2,IF(Data!O359="",0,1),0))</f>
        <v/>
      </c>
      <c r="P369" s="18" t="str">
        <f>IF(Data!O359="","",IF(ISNUMBER(MATCH(Data!P359,Data_Val!$A$2:$A$3,0)),0,1))</f>
        <v/>
      </c>
      <c r="Q369" s="44" t="str">
        <f ca="1">IF(Data!O359="","",IF(ISNUMBER(Data!Q359),IF(AND(Data!Q359&gt;(TODAY()-(Data_Val!$L$3*365.25)),Data!Q359&lt;=(TODAY()-(Data_Val!$L$2*365.25))),0,1),1))</f>
        <v/>
      </c>
    </row>
    <row r="370" spans="1:17" ht="12" customHeight="1" x14ac:dyDescent="0.25">
      <c r="A370" s="36" t="str">
        <f>IF(Data!B360="","",IF(COUNTIFS(Data!A$1:'Data'!A360,Data!A360)&lt;=1,0,1))</f>
        <v/>
      </c>
      <c r="B370" s="36"/>
      <c r="C370" s="36" t="str">
        <f>IF(Data!C360="","",(IF(ISNUMBER(MATCH("*@*.?*",Data!C360,0)),0,1)+IF(COUNTIFS(Data!C$1:'Data'!C360,Data!C360)&gt;1,1,0)))</f>
        <v/>
      </c>
      <c r="D370" s="36" t="str">
        <f>IF(Data!B360="","",IF(ISNUMBER(Data!D360),IF(AND(Data!D360&gt;999999999,Data!D360&lt;=9999999999),IF(COUNTIFS(Data!D$1:'Data'!D360,Data!D360)&lt;=1,0,1),1),1))</f>
        <v/>
      </c>
      <c r="E370" s="36" t="str">
        <f>IF(Data!B360="","",IF(ISNUMBER(MATCH(Data!E360,Data_Val!$A$2:$A$3,0)),0,1))</f>
        <v/>
      </c>
      <c r="F370" s="36" t="str">
        <f ca="1">IF(Data!B360="","",IF(ISNUMBER(Data!F360),IF(AND(Data!F360&gt;(TODAY()-(Data_Val!$H$3*365.25)),Data!F360&lt;=(TODAY()-(Data_Val!$H$2*365.25))),0,1),1))</f>
        <v/>
      </c>
      <c r="G370" s="12" t="str">
        <f>IF(Data!B360="","",IF(AND(Data!G360="",Data!H360&lt;&gt;""),1,IF(ISNUMBER(MATCH(Data!G360,Data_Val!$C$2:$C$5,0)),0,1)))</f>
        <v/>
      </c>
      <c r="H370" s="12" t="str">
        <f>IF(Data!B360="","",IF(AND(Data!G360&lt;&gt;"",Data!H360=""),1,IF(Data!G360="",1,IF(ISNUMBER(MATCH(Data!H360,Data_Val!$D$2:$D$35,0)),0,1))))</f>
        <v/>
      </c>
      <c r="I370" s="38" t="str">
        <f>IF(Data!G360="","",IF(Data!G360=Data_Val!$C$2,IF(Data!I360="",0,1),0))</f>
        <v/>
      </c>
      <c r="J370" s="38" t="str">
        <f>IF(Data!I360="","",IF(ISNUMBER(MATCH(Data!J360,Data_Val!$A$2:$A$3,0)),0,1))</f>
        <v/>
      </c>
      <c r="K370" s="38" t="str">
        <f ca="1">IF(Data!I360="","",IF(ISNUMBER(Data!K360),IF(AND(Data!K360&gt;(TODAY()-(Data_Val!$K$3*365.25)),Data!K360&lt;=(TODAY()-(Data_Val!$K$2*365.25))),0,1),1))</f>
        <v/>
      </c>
      <c r="L370" s="16" t="str">
        <f>IF(Data!G360="","",IF(Data!G360=Data_Val!$C$2,IF(Data!L360="",0,1),0))</f>
        <v/>
      </c>
      <c r="M370" s="16" t="str">
        <f>IF(Data!L360="","",IF(ISNUMBER(MATCH(Data!M360,Data_Val!$A$2:$A$3,0)),0,1))</f>
        <v/>
      </c>
      <c r="N370" s="43" t="str">
        <f ca="1">IF(Data!L360="","",IF(ISNUMBER(Data!N360),IF(AND(Data!N360&gt;(TODAY()-(Data_Val!$L$3*365.25)),Data!N360&lt;=(TODAY()-(Data_Val!$L$2*365.25))),0,1),1))</f>
        <v/>
      </c>
      <c r="O370" s="18" t="str">
        <f>IF(Data!$G360="","",IF(Data!$G360=Data_Val!$C$2,IF(Data!O360="",0,1),0))</f>
        <v/>
      </c>
      <c r="P370" s="18" t="str">
        <f>IF(Data!O360="","",IF(ISNUMBER(MATCH(Data!P360,Data_Val!$A$2:$A$3,0)),0,1))</f>
        <v/>
      </c>
      <c r="Q370" s="44" t="str">
        <f ca="1">IF(Data!O360="","",IF(ISNUMBER(Data!Q360),IF(AND(Data!Q360&gt;(TODAY()-(Data_Val!$L$3*365.25)),Data!Q360&lt;=(TODAY()-(Data_Val!$L$2*365.25))),0,1),1))</f>
        <v/>
      </c>
    </row>
    <row r="371" spans="1:17" ht="12" customHeight="1" x14ac:dyDescent="0.25">
      <c r="A371" s="36" t="str">
        <f>IF(Data!B361="","",IF(COUNTIFS(Data!A$1:'Data'!A361,Data!A361)&lt;=1,0,1))</f>
        <v/>
      </c>
      <c r="B371" s="36"/>
      <c r="C371" s="36" t="str">
        <f>IF(Data!C361="","",(IF(ISNUMBER(MATCH("*@*.?*",Data!C361,0)),0,1)+IF(COUNTIFS(Data!C$1:'Data'!C361,Data!C361)&gt;1,1,0)))</f>
        <v/>
      </c>
      <c r="D371" s="36" t="str">
        <f>IF(Data!B361="","",IF(ISNUMBER(Data!D361),IF(AND(Data!D361&gt;999999999,Data!D361&lt;=9999999999),IF(COUNTIFS(Data!D$1:'Data'!D361,Data!D361)&lt;=1,0,1),1),1))</f>
        <v/>
      </c>
      <c r="E371" s="36" t="str">
        <f>IF(Data!B361="","",IF(ISNUMBER(MATCH(Data!E361,Data_Val!$A$2:$A$3,0)),0,1))</f>
        <v/>
      </c>
      <c r="F371" s="36" t="str">
        <f ca="1">IF(Data!B361="","",IF(ISNUMBER(Data!F361),IF(AND(Data!F361&gt;(TODAY()-(Data_Val!$H$3*365.25)),Data!F361&lt;=(TODAY()-(Data_Val!$H$2*365.25))),0,1),1))</f>
        <v/>
      </c>
      <c r="G371" s="12" t="str">
        <f>IF(Data!B361="","",IF(AND(Data!G361="",Data!H361&lt;&gt;""),1,IF(ISNUMBER(MATCH(Data!G361,Data_Val!$C$2:$C$5,0)),0,1)))</f>
        <v/>
      </c>
      <c r="H371" s="12" t="str">
        <f>IF(Data!B361="","",IF(AND(Data!G361&lt;&gt;"",Data!H361=""),1,IF(Data!G361="",1,IF(ISNUMBER(MATCH(Data!H361,Data_Val!$D$2:$D$35,0)),0,1))))</f>
        <v/>
      </c>
      <c r="I371" s="38" t="str">
        <f>IF(Data!G361="","",IF(Data!G361=Data_Val!$C$2,IF(Data!I361="",0,1),0))</f>
        <v/>
      </c>
      <c r="J371" s="38" t="str">
        <f>IF(Data!I361="","",IF(ISNUMBER(MATCH(Data!J361,Data_Val!$A$2:$A$3,0)),0,1))</f>
        <v/>
      </c>
      <c r="K371" s="38" t="str">
        <f ca="1">IF(Data!I361="","",IF(ISNUMBER(Data!K361),IF(AND(Data!K361&gt;(TODAY()-(Data_Val!$K$3*365.25)),Data!K361&lt;=(TODAY()-(Data_Val!$K$2*365.25))),0,1),1))</f>
        <v/>
      </c>
      <c r="L371" s="16" t="str">
        <f>IF(Data!G361="","",IF(Data!G361=Data_Val!$C$2,IF(Data!L361="",0,1),0))</f>
        <v/>
      </c>
      <c r="M371" s="16" t="str">
        <f>IF(Data!L361="","",IF(ISNUMBER(MATCH(Data!M361,Data_Val!$A$2:$A$3,0)),0,1))</f>
        <v/>
      </c>
      <c r="N371" s="43" t="str">
        <f ca="1">IF(Data!L361="","",IF(ISNUMBER(Data!N361),IF(AND(Data!N361&gt;(TODAY()-(Data_Val!$L$3*365.25)),Data!N361&lt;=(TODAY()-(Data_Val!$L$2*365.25))),0,1),1))</f>
        <v/>
      </c>
      <c r="O371" s="18" t="str">
        <f>IF(Data!$G361="","",IF(Data!$G361=Data_Val!$C$2,IF(Data!O361="",0,1),0))</f>
        <v/>
      </c>
      <c r="P371" s="18" t="str">
        <f>IF(Data!O361="","",IF(ISNUMBER(MATCH(Data!P361,Data_Val!$A$2:$A$3,0)),0,1))</f>
        <v/>
      </c>
      <c r="Q371" s="44" t="str">
        <f ca="1">IF(Data!O361="","",IF(ISNUMBER(Data!Q361),IF(AND(Data!Q361&gt;(TODAY()-(Data_Val!$L$3*365.25)),Data!Q361&lt;=(TODAY()-(Data_Val!$L$2*365.25))),0,1),1))</f>
        <v/>
      </c>
    </row>
    <row r="372" spans="1:17" ht="12" customHeight="1" x14ac:dyDescent="0.25">
      <c r="A372" s="36" t="str">
        <f>IF(Data!B362="","",IF(COUNTIFS(Data!A$1:'Data'!A362,Data!A362)&lt;=1,0,1))</f>
        <v/>
      </c>
      <c r="B372" s="36"/>
      <c r="C372" s="36" t="str">
        <f>IF(Data!C362="","",(IF(ISNUMBER(MATCH("*@*.?*",Data!C362,0)),0,1)+IF(COUNTIFS(Data!C$1:'Data'!C362,Data!C362)&gt;1,1,0)))</f>
        <v/>
      </c>
      <c r="D372" s="36" t="str">
        <f>IF(Data!B362="","",IF(ISNUMBER(Data!D362),IF(AND(Data!D362&gt;999999999,Data!D362&lt;=9999999999),IF(COUNTIFS(Data!D$1:'Data'!D362,Data!D362)&lt;=1,0,1),1),1))</f>
        <v/>
      </c>
      <c r="E372" s="36" t="str">
        <f>IF(Data!B362="","",IF(ISNUMBER(MATCH(Data!E362,Data_Val!$A$2:$A$3,0)),0,1))</f>
        <v/>
      </c>
      <c r="F372" s="36" t="str">
        <f ca="1">IF(Data!B362="","",IF(ISNUMBER(Data!F362),IF(AND(Data!F362&gt;(TODAY()-(Data_Val!$H$3*365.25)),Data!F362&lt;=(TODAY()-(Data_Val!$H$2*365.25))),0,1),1))</f>
        <v/>
      </c>
      <c r="G372" s="12" t="str">
        <f>IF(Data!B362="","",IF(AND(Data!G362="",Data!H362&lt;&gt;""),1,IF(ISNUMBER(MATCH(Data!G362,Data_Val!$C$2:$C$5,0)),0,1)))</f>
        <v/>
      </c>
      <c r="H372" s="12" t="str">
        <f>IF(Data!B362="","",IF(AND(Data!G362&lt;&gt;"",Data!H362=""),1,IF(Data!G362="",1,IF(ISNUMBER(MATCH(Data!H362,Data_Val!$D$2:$D$35,0)),0,1))))</f>
        <v/>
      </c>
      <c r="I372" s="38" t="str">
        <f>IF(Data!G362="","",IF(Data!G362=Data_Val!$C$2,IF(Data!I362="",0,1),0))</f>
        <v/>
      </c>
      <c r="J372" s="38" t="str">
        <f>IF(Data!I362="","",IF(ISNUMBER(MATCH(Data!J362,Data_Val!$A$2:$A$3,0)),0,1))</f>
        <v/>
      </c>
      <c r="K372" s="38" t="str">
        <f ca="1">IF(Data!I362="","",IF(ISNUMBER(Data!K362),IF(AND(Data!K362&gt;(TODAY()-(Data_Val!$K$3*365.25)),Data!K362&lt;=(TODAY()-(Data_Val!$K$2*365.25))),0,1),1))</f>
        <v/>
      </c>
      <c r="L372" s="16" t="str">
        <f>IF(Data!G362="","",IF(Data!G362=Data_Val!$C$2,IF(Data!L362="",0,1),0))</f>
        <v/>
      </c>
      <c r="M372" s="16" t="str">
        <f>IF(Data!L362="","",IF(ISNUMBER(MATCH(Data!M362,Data_Val!$A$2:$A$3,0)),0,1))</f>
        <v/>
      </c>
      <c r="N372" s="43" t="str">
        <f ca="1">IF(Data!L362="","",IF(ISNUMBER(Data!N362),IF(AND(Data!N362&gt;(TODAY()-(Data_Val!$L$3*365.25)),Data!N362&lt;=(TODAY()-(Data_Val!$L$2*365.25))),0,1),1))</f>
        <v/>
      </c>
      <c r="O372" s="18" t="str">
        <f>IF(Data!$G362="","",IF(Data!$G362=Data_Val!$C$2,IF(Data!O362="",0,1),0))</f>
        <v/>
      </c>
      <c r="P372" s="18" t="str">
        <f>IF(Data!O362="","",IF(ISNUMBER(MATCH(Data!P362,Data_Val!$A$2:$A$3,0)),0,1))</f>
        <v/>
      </c>
      <c r="Q372" s="44" t="str">
        <f ca="1">IF(Data!O362="","",IF(ISNUMBER(Data!Q362),IF(AND(Data!Q362&gt;(TODAY()-(Data_Val!$L$3*365.25)),Data!Q362&lt;=(TODAY()-(Data_Val!$L$2*365.25))),0,1),1))</f>
        <v/>
      </c>
    </row>
    <row r="373" spans="1:17" ht="12" customHeight="1" x14ac:dyDescent="0.25">
      <c r="A373" s="36" t="str">
        <f>IF(Data!B363="","",IF(COUNTIFS(Data!A$1:'Data'!A363,Data!A363)&lt;=1,0,1))</f>
        <v/>
      </c>
      <c r="B373" s="36"/>
      <c r="C373" s="36" t="str">
        <f>IF(Data!C363="","",(IF(ISNUMBER(MATCH("*@*.?*",Data!C363,0)),0,1)+IF(COUNTIFS(Data!C$1:'Data'!C363,Data!C363)&gt;1,1,0)))</f>
        <v/>
      </c>
      <c r="D373" s="36" t="str">
        <f>IF(Data!B363="","",IF(ISNUMBER(Data!D363),IF(AND(Data!D363&gt;999999999,Data!D363&lt;=9999999999),IF(COUNTIFS(Data!D$1:'Data'!D363,Data!D363)&lt;=1,0,1),1),1))</f>
        <v/>
      </c>
      <c r="E373" s="36" t="str">
        <f>IF(Data!B363="","",IF(ISNUMBER(MATCH(Data!E363,Data_Val!$A$2:$A$3,0)),0,1))</f>
        <v/>
      </c>
      <c r="F373" s="36" t="str">
        <f ca="1">IF(Data!B363="","",IF(ISNUMBER(Data!F363),IF(AND(Data!F363&gt;(TODAY()-(Data_Val!$H$3*365.25)),Data!F363&lt;=(TODAY()-(Data_Val!$H$2*365.25))),0,1),1))</f>
        <v/>
      </c>
      <c r="G373" s="12" t="str">
        <f>IF(Data!B363="","",IF(AND(Data!G363="",Data!H363&lt;&gt;""),1,IF(ISNUMBER(MATCH(Data!G363,Data_Val!$C$2:$C$5,0)),0,1)))</f>
        <v/>
      </c>
      <c r="H373" s="12" t="str">
        <f>IF(Data!B363="","",IF(AND(Data!G363&lt;&gt;"",Data!H363=""),1,IF(Data!G363="",1,IF(ISNUMBER(MATCH(Data!H363,Data_Val!$D$2:$D$35,0)),0,1))))</f>
        <v/>
      </c>
      <c r="I373" s="38" t="str">
        <f>IF(Data!G363="","",IF(Data!G363=Data_Val!$C$2,IF(Data!I363="",0,1),0))</f>
        <v/>
      </c>
      <c r="J373" s="38" t="str">
        <f>IF(Data!I363="","",IF(ISNUMBER(MATCH(Data!J363,Data_Val!$A$2:$A$3,0)),0,1))</f>
        <v/>
      </c>
      <c r="K373" s="38" t="str">
        <f ca="1">IF(Data!I363="","",IF(ISNUMBER(Data!K363),IF(AND(Data!K363&gt;(TODAY()-(Data_Val!$K$3*365.25)),Data!K363&lt;=(TODAY()-(Data_Val!$K$2*365.25))),0,1),1))</f>
        <v/>
      </c>
      <c r="L373" s="16" t="str">
        <f>IF(Data!G363="","",IF(Data!G363=Data_Val!$C$2,IF(Data!L363="",0,1),0))</f>
        <v/>
      </c>
      <c r="M373" s="16" t="str">
        <f>IF(Data!L363="","",IF(ISNUMBER(MATCH(Data!M363,Data_Val!$A$2:$A$3,0)),0,1))</f>
        <v/>
      </c>
      <c r="N373" s="43" t="str">
        <f ca="1">IF(Data!L363="","",IF(ISNUMBER(Data!N363),IF(AND(Data!N363&gt;(TODAY()-(Data_Val!$L$3*365.25)),Data!N363&lt;=(TODAY()-(Data_Val!$L$2*365.25))),0,1),1))</f>
        <v/>
      </c>
      <c r="O373" s="18" t="str">
        <f>IF(Data!$G363="","",IF(Data!$G363=Data_Val!$C$2,IF(Data!O363="",0,1),0))</f>
        <v/>
      </c>
      <c r="P373" s="18" t="str">
        <f>IF(Data!O363="","",IF(ISNUMBER(MATCH(Data!P363,Data_Val!$A$2:$A$3,0)),0,1))</f>
        <v/>
      </c>
      <c r="Q373" s="44" t="str">
        <f ca="1">IF(Data!O363="","",IF(ISNUMBER(Data!Q363),IF(AND(Data!Q363&gt;(TODAY()-(Data_Val!$L$3*365.25)),Data!Q363&lt;=(TODAY()-(Data_Val!$L$2*365.25))),0,1),1))</f>
        <v/>
      </c>
    </row>
    <row r="374" spans="1:17" ht="12" customHeight="1" x14ac:dyDescent="0.25">
      <c r="A374" s="36" t="str">
        <f>IF(Data!B364="","",IF(COUNTIFS(Data!A$1:'Data'!A364,Data!A364)&lt;=1,0,1))</f>
        <v/>
      </c>
      <c r="B374" s="36"/>
      <c r="C374" s="36" t="str">
        <f>IF(Data!C364="","",(IF(ISNUMBER(MATCH("*@*.?*",Data!C364,0)),0,1)+IF(COUNTIFS(Data!C$1:'Data'!C364,Data!C364)&gt;1,1,0)))</f>
        <v/>
      </c>
      <c r="D374" s="36" t="str">
        <f>IF(Data!B364="","",IF(ISNUMBER(Data!D364),IF(AND(Data!D364&gt;999999999,Data!D364&lt;=9999999999),IF(COUNTIFS(Data!D$1:'Data'!D364,Data!D364)&lt;=1,0,1),1),1))</f>
        <v/>
      </c>
      <c r="E374" s="36" t="str">
        <f>IF(Data!B364="","",IF(ISNUMBER(MATCH(Data!E364,Data_Val!$A$2:$A$3,0)),0,1))</f>
        <v/>
      </c>
      <c r="F374" s="36" t="str">
        <f ca="1">IF(Data!B364="","",IF(ISNUMBER(Data!F364),IF(AND(Data!F364&gt;(TODAY()-(Data_Val!$H$3*365.25)),Data!F364&lt;=(TODAY()-(Data_Val!$H$2*365.25))),0,1),1))</f>
        <v/>
      </c>
      <c r="G374" s="12" t="str">
        <f>IF(Data!B364="","",IF(AND(Data!G364="",Data!H364&lt;&gt;""),1,IF(ISNUMBER(MATCH(Data!G364,Data_Val!$C$2:$C$5,0)),0,1)))</f>
        <v/>
      </c>
      <c r="H374" s="12" t="str">
        <f>IF(Data!B364="","",IF(AND(Data!G364&lt;&gt;"",Data!H364=""),1,IF(Data!G364="",1,IF(ISNUMBER(MATCH(Data!H364,Data_Val!$D$2:$D$35,0)),0,1))))</f>
        <v/>
      </c>
      <c r="I374" s="38" t="str">
        <f>IF(Data!G364="","",IF(Data!G364=Data_Val!$C$2,IF(Data!I364="",0,1),0))</f>
        <v/>
      </c>
      <c r="J374" s="38" t="str">
        <f>IF(Data!I364="","",IF(ISNUMBER(MATCH(Data!J364,Data_Val!$A$2:$A$3,0)),0,1))</f>
        <v/>
      </c>
      <c r="K374" s="38" t="str">
        <f ca="1">IF(Data!I364="","",IF(ISNUMBER(Data!K364),IF(AND(Data!K364&gt;(TODAY()-(Data_Val!$K$3*365.25)),Data!K364&lt;=(TODAY()-(Data_Val!$K$2*365.25))),0,1),1))</f>
        <v/>
      </c>
      <c r="L374" s="16" t="str">
        <f>IF(Data!G364="","",IF(Data!G364=Data_Val!$C$2,IF(Data!L364="",0,1),0))</f>
        <v/>
      </c>
      <c r="M374" s="16" t="str">
        <f>IF(Data!L364="","",IF(ISNUMBER(MATCH(Data!M364,Data_Val!$A$2:$A$3,0)),0,1))</f>
        <v/>
      </c>
      <c r="N374" s="43" t="str">
        <f ca="1">IF(Data!L364="","",IF(ISNUMBER(Data!N364),IF(AND(Data!N364&gt;(TODAY()-(Data_Val!$L$3*365.25)),Data!N364&lt;=(TODAY()-(Data_Val!$L$2*365.25))),0,1),1))</f>
        <v/>
      </c>
      <c r="O374" s="18" t="str">
        <f>IF(Data!$G364="","",IF(Data!$G364=Data_Val!$C$2,IF(Data!O364="",0,1),0))</f>
        <v/>
      </c>
      <c r="P374" s="18" t="str">
        <f>IF(Data!O364="","",IF(ISNUMBER(MATCH(Data!P364,Data_Val!$A$2:$A$3,0)),0,1))</f>
        <v/>
      </c>
      <c r="Q374" s="44" t="str">
        <f ca="1">IF(Data!O364="","",IF(ISNUMBER(Data!Q364),IF(AND(Data!Q364&gt;(TODAY()-(Data_Val!$L$3*365.25)),Data!Q364&lt;=(TODAY()-(Data_Val!$L$2*365.25))),0,1),1))</f>
        <v/>
      </c>
    </row>
    <row r="375" spans="1:17" ht="12" customHeight="1" x14ac:dyDescent="0.25">
      <c r="A375" s="36" t="str">
        <f>IF(Data!B365="","",IF(COUNTIFS(Data!A$1:'Data'!A365,Data!A365)&lt;=1,0,1))</f>
        <v/>
      </c>
      <c r="B375" s="36"/>
      <c r="C375" s="36" t="str">
        <f>IF(Data!C365="","",(IF(ISNUMBER(MATCH("*@*.?*",Data!C365,0)),0,1)+IF(COUNTIFS(Data!C$1:'Data'!C365,Data!C365)&gt;1,1,0)))</f>
        <v/>
      </c>
      <c r="D375" s="36" t="str">
        <f>IF(Data!B365="","",IF(ISNUMBER(Data!D365),IF(AND(Data!D365&gt;999999999,Data!D365&lt;=9999999999),IF(COUNTIFS(Data!D$1:'Data'!D365,Data!D365)&lt;=1,0,1),1),1))</f>
        <v/>
      </c>
      <c r="E375" s="36" t="str">
        <f>IF(Data!B365="","",IF(ISNUMBER(MATCH(Data!E365,Data_Val!$A$2:$A$3,0)),0,1))</f>
        <v/>
      </c>
      <c r="F375" s="36" t="str">
        <f ca="1">IF(Data!B365="","",IF(ISNUMBER(Data!F365),IF(AND(Data!F365&gt;(TODAY()-(Data_Val!$H$3*365.25)),Data!F365&lt;=(TODAY()-(Data_Val!$H$2*365.25))),0,1),1))</f>
        <v/>
      </c>
      <c r="G375" s="12" t="str">
        <f>IF(Data!B365="","",IF(AND(Data!G365="",Data!H365&lt;&gt;""),1,IF(ISNUMBER(MATCH(Data!G365,Data_Val!$C$2:$C$5,0)),0,1)))</f>
        <v/>
      </c>
      <c r="H375" s="12" t="str">
        <f>IF(Data!B365="","",IF(AND(Data!G365&lt;&gt;"",Data!H365=""),1,IF(Data!G365="",1,IF(ISNUMBER(MATCH(Data!H365,Data_Val!$D$2:$D$35,0)),0,1))))</f>
        <v/>
      </c>
      <c r="I375" s="38" t="str">
        <f>IF(Data!G365="","",IF(Data!G365=Data_Val!$C$2,IF(Data!I365="",0,1),0))</f>
        <v/>
      </c>
      <c r="J375" s="38" t="str">
        <f>IF(Data!I365="","",IF(ISNUMBER(MATCH(Data!J365,Data_Val!$A$2:$A$3,0)),0,1))</f>
        <v/>
      </c>
      <c r="K375" s="38" t="str">
        <f ca="1">IF(Data!I365="","",IF(ISNUMBER(Data!K365),IF(AND(Data!K365&gt;(TODAY()-(Data_Val!$K$3*365.25)),Data!K365&lt;=(TODAY()-(Data_Val!$K$2*365.25))),0,1),1))</f>
        <v/>
      </c>
      <c r="L375" s="16" t="str">
        <f>IF(Data!G365="","",IF(Data!G365=Data_Val!$C$2,IF(Data!L365="",0,1),0))</f>
        <v/>
      </c>
      <c r="M375" s="16" t="str">
        <f>IF(Data!L365="","",IF(ISNUMBER(MATCH(Data!M365,Data_Val!$A$2:$A$3,0)),0,1))</f>
        <v/>
      </c>
      <c r="N375" s="43" t="str">
        <f ca="1">IF(Data!L365="","",IF(ISNUMBER(Data!N365),IF(AND(Data!N365&gt;(TODAY()-(Data_Val!$L$3*365.25)),Data!N365&lt;=(TODAY()-(Data_Val!$L$2*365.25))),0,1),1))</f>
        <v/>
      </c>
      <c r="O375" s="18" t="str">
        <f>IF(Data!$G365="","",IF(Data!$G365=Data_Val!$C$2,IF(Data!O365="",0,1),0))</f>
        <v/>
      </c>
      <c r="P375" s="18" t="str">
        <f>IF(Data!O365="","",IF(ISNUMBER(MATCH(Data!P365,Data_Val!$A$2:$A$3,0)),0,1))</f>
        <v/>
      </c>
      <c r="Q375" s="44" t="str">
        <f ca="1">IF(Data!O365="","",IF(ISNUMBER(Data!Q365),IF(AND(Data!Q365&gt;(TODAY()-(Data_Val!$L$3*365.25)),Data!Q365&lt;=(TODAY()-(Data_Val!$L$2*365.25))),0,1),1))</f>
        <v/>
      </c>
    </row>
    <row r="376" spans="1:17" ht="12" customHeight="1" x14ac:dyDescent="0.25">
      <c r="A376" s="36" t="str">
        <f>IF(Data!B366="","",IF(COUNTIFS(Data!A$1:'Data'!A366,Data!A366)&lt;=1,0,1))</f>
        <v/>
      </c>
      <c r="B376" s="36"/>
      <c r="C376" s="36" t="str">
        <f>IF(Data!C366="","",(IF(ISNUMBER(MATCH("*@*.?*",Data!C366,0)),0,1)+IF(COUNTIFS(Data!C$1:'Data'!C366,Data!C366)&gt;1,1,0)))</f>
        <v/>
      </c>
      <c r="D376" s="36" t="str">
        <f>IF(Data!B366="","",IF(ISNUMBER(Data!D366),IF(AND(Data!D366&gt;999999999,Data!D366&lt;=9999999999),IF(COUNTIFS(Data!D$1:'Data'!D366,Data!D366)&lt;=1,0,1),1),1))</f>
        <v/>
      </c>
      <c r="E376" s="36" t="str">
        <f>IF(Data!B366="","",IF(ISNUMBER(MATCH(Data!E366,Data_Val!$A$2:$A$3,0)),0,1))</f>
        <v/>
      </c>
      <c r="F376" s="36" t="str">
        <f ca="1">IF(Data!B366="","",IF(ISNUMBER(Data!F366),IF(AND(Data!F366&gt;(TODAY()-(Data_Val!$H$3*365.25)),Data!F366&lt;=(TODAY()-(Data_Val!$H$2*365.25))),0,1),1))</f>
        <v/>
      </c>
      <c r="G376" s="12" t="str">
        <f>IF(Data!B366="","",IF(AND(Data!G366="",Data!H366&lt;&gt;""),1,IF(ISNUMBER(MATCH(Data!G366,Data_Val!$C$2:$C$5,0)),0,1)))</f>
        <v/>
      </c>
      <c r="H376" s="12" t="str">
        <f>IF(Data!B366="","",IF(AND(Data!G366&lt;&gt;"",Data!H366=""),1,IF(Data!G366="",1,IF(ISNUMBER(MATCH(Data!H366,Data_Val!$D$2:$D$35,0)),0,1))))</f>
        <v/>
      </c>
      <c r="I376" s="38" t="str">
        <f>IF(Data!G366="","",IF(Data!G366=Data_Val!$C$2,IF(Data!I366="",0,1),0))</f>
        <v/>
      </c>
      <c r="J376" s="38" t="str">
        <f>IF(Data!I366="","",IF(ISNUMBER(MATCH(Data!J366,Data_Val!$A$2:$A$3,0)),0,1))</f>
        <v/>
      </c>
      <c r="K376" s="38" t="str">
        <f ca="1">IF(Data!I366="","",IF(ISNUMBER(Data!K366),IF(AND(Data!K366&gt;(TODAY()-(Data_Val!$K$3*365.25)),Data!K366&lt;=(TODAY()-(Data_Val!$K$2*365.25))),0,1),1))</f>
        <v/>
      </c>
      <c r="L376" s="16" t="str">
        <f>IF(Data!G366="","",IF(Data!G366=Data_Val!$C$2,IF(Data!L366="",0,1),0))</f>
        <v/>
      </c>
      <c r="M376" s="16" t="str">
        <f>IF(Data!L366="","",IF(ISNUMBER(MATCH(Data!M366,Data_Val!$A$2:$A$3,0)),0,1))</f>
        <v/>
      </c>
      <c r="N376" s="43" t="str">
        <f ca="1">IF(Data!L366="","",IF(ISNUMBER(Data!N366),IF(AND(Data!N366&gt;(TODAY()-(Data_Val!$L$3*365.25)),Data!N366&lt;=(TODAY()-(Data_Val!$L$2*365.25))),0,1),1))</f>
        <v/>
      </c>
      <c r="O376" s="18" t="str">
        <f>IF(Data!$G366="","",IF(Data!$G366=Data_Val!$C$2,IF(Data!O366="",0,1),0))</f>
        <v/>
      </c>
      <c r="P376" s="18" t="str">
        <f>IF(Data!O366="","",IF(ISNUMBER(MATCH(Data!P366,Data_Val!$A$2:$A$3,0)),0,1))</f>
        <v/>
      </c>
      <c r="Q376" s="44" t="str">
        <f ca="1">IF(Data!O366="","",IF(ISNUMBER(Data!Q366),IF(AND(Data!Q366&gt;(TODAY()-(Data_Val!$L$3*365.25)),Data!Q366&lt;=(TODAY()-(Data_Val!$L$2*365.25))),0,1),1))</f>
        <v/>
      </c>
    </row>
    <row r="377" spans="1:17" ht="12" customHeight="1" x14ac:dyDescent="0.25">
      <c r="A377" s="36" t="str">
        <f>IF(Data!B367="","",IF(COUNTIFS(Data!A$1:'Data'!A367,Data!A367)&lt;=1,0,1))</f>
        <v/>
      </c>
      <c r="B377" s="36"/>
      <c r="C377" s="36" t="str">
        <f>IF(Data!C367="","",(IF(ISNUMBER(MATCH("*@*.?*",Data!C367,0)),0,1)+IF(COUNTIFS(Data!C$1:'Data'!C367,Data!C367)&gt;1,1,0)))</f>
        <v/>
      </c>
      <c r="D377" s="36" t="str">
        <f>IF(Data!B367="","",IF(ISNUMBER(Data!D367),IF(AND(Data!D367&gt;999999999,Data!D367&lt;=9999999999),IF(COUNTIFS(Data!D$1:'Data'!D367,Data!D367)&lt;=1,0,1),1),1))</f>
        <v/>
      </c>
      <c r="E377" s="36" t="str">
        <f>IF(Data!B367="","",IF(ISNUMBER(MATCH(Data!E367,Data_Val!$A$2:$A$3,0)),0,1))</f>
        <v/>
      </c>
      <c r="F377" s="36" t="str">
        <f ca="1">IF(Data!B367="","",IF(ISNUMBER(Data!F367),IF(AND(Data!F367&gt;(TODAY()-(Data_Val!$H$3*365.25)),Data!F367&lt;=(TODAY()-(Data_Val!$H$2*365.25))),0,1),1))</f>
        <v/>
      </c>
      <c r="G377" s="12" t="str">
        <f>IF(Data!B367="","",IF(AND(Data!G367="",Data!H367&lt;&gt;""),1,IF(ISNUMBER(MATCH(Data!G367,Data_Val!$C$2:$C$5,0)),0,1)))</f>
        <v/>
      </c>
      <c r="H377" s="12" t="str">
        <f>IF(Data!B367="","",IF(AND(Data!G367&lt;&gt;"",Data!H367=""),1,IF(Data!G367="",1,IF(ISNUMBER(MATCH(Data!H367,Data_Val!$D$2:$D$35,0)),0,1))))</f>
        <v/>
      </c>
      <c r="I377" s="38" t="str">
        <f>IF(Data!G367="","",IF(Data!G367=Data_Val!$C$2,IF(Data!I367="",0,1),0))</f>
        <v/>
      </c>
      <c r="J377" s="38" t="str">
        <f>IF(Data!I367="","",IF(ISNUMBER(MATCH(Data!J367,Data_Val!$A$2:$A$3,0)),0,1))</f>
        <v/>
      </c>
      <c r="K377" s="38" t="str">
        <f ca="1">IF(Data!I367="","",IF(ISNUMBER(Data!K367),IF(AND(Data!K367&gt;(TODAY()-(Data_Val!$K$3*365.25)),Data!K367&lt;=(TODAY()-(Data_Val!$K$2*365.25))),0,1),1))</f>
        <v/>
      </c>
      <c r="L377" s="16" t="str">
        <f>IF(Data!G367="","",IF(Data!G367=Data_Val!$C$2,IF(Data!L367="",0,1),0))</f>
        <v/>
      </c>
      <c r="M377" s="16" t="str">
        <f>IF(Data!L367="","",IF(ISNUMBER(MATCH(Data!M367,Data_Val!$A$2:$A$3,0)),0,1))</f>
        <v/>
      </c>
      <c r="N377" s="43" t="str">
        <f ca="1">IF(Data!L367="","",IF(ISNUMBER(Data!N367),IF(AND(Data!N367&gt;(TODAY()-(Data_Val!$L$3*365.25)),Data!N367&lt;=(TODAY()-(Data_Val!$L$2*365.25))),0,1),1))</f>
        <v/>
      </c>
      <c r="O377" s="18" t="str">
        <f>IF(Data!$G367="","",IF(Data!$G367=Data_Val!$C$2,IF(Data!O367="",0,1),0))</f>
        <v/>
      </c>
      <c r="P377" s="18" t="str">
        <f>IF(Data!O367="","",IF(ISNUMBER(MATCH(Data!P367,Data_Val!$A$2:$A$3,0)),0,1))</f>
        <v/>
      </c>
      <c r="Q377" s="44" t="str">
        <f ca="1">IF(Data!O367="","",IF(ISNUMBER(Data!Q367),IF(AND(Data!Q367&gt;(TODAY()-(Data_Val!$L$3*365.25)),Data!Q367&lt;=(TODAY()-(Data_Val!$L$2*365.25))),0,1),1))</f>
        <v/>
      </c>
    </row>
    <row r="378" spans="1:17" ht="12" customHeight="1" x14ac:dyDescent="0.25">
      <c r="A378" s="36" t="str">
        <f>IF(Data!B368="","",IF(COUNTIFS(Data!A$1:'Data'!A368,Data!A368)&lt;=1,0,1))</f>
        <v/>
      </c>
      <c r="B378" s="36"/>
      <c r="C378" s="36" t="str">
        <f>IF(Data!C368="","",(IF(ISNUMBER(MATCH("*@*.?*",Data!C368,0)),0,1)+IF(COUNTIFS(Data!C$1:'Data'!C368,Data!C368)&gt;1,1,0)))</f>
        <v/>
      </c>
      <c r="D378" s="36" t="str">
        <f>IF(Data!B368="","",IF(ISNUMBER(Data!D368),IF(AND(Data!D368&gt;999999999,Data!D368&lt;=9999999999),IF(COUNTIFS(Data!D$1:'Data'!D368,Data!D368)&lt;=1,0,1),1),1))</f>
        <v/>
      </c>
      <c r="E378" s="36" t="str">
        <f>IF(Data!B368="","",IF(ISNUMBER(MATCH(Data!E368,Data_Val!$A$2:$A$3,0)),0,1))</f>
        <v/>
      </c>
      <c r="F378" s="36" t="str">
        <f ca="1">IF(Data!B368="","",IF(ISNUMBER(Data!F368),IF(AND(Data!F368&gt;(TODAY()-(Data_Val!$H$3*365.25)),Data!F368&lt;=(TODAY()-(Data_Val!$H$2*365.25))),0,1),1))</f>
        <v/>
      </c>
      <c r="G378" s="12" t="str">
        <f>IF(Data!B368="","",IF(AND(Data!G368="",Data!H368&lt;&gt;""),1,IF(ISNUMBER(MATCH(Data!G368,Data_Val!$C$2:$C$5,0)),0,1)))</f>
        <v/>
      </c>
      <c r="H378" s="12" t="str">
        <f>IF(Data!B368="","",IF(AND(Data!G368&lt;&gt;"",Data!H368=""),1,IF(Data!G368="",1,IF(ISNUMBER(MATCH(Data!H368,Data_Val!$D$2:$D$35,0)),0,1))))</f>
        <v/>
      </c>
      <c r="I378" s="38" t="str">
        <f>IF(Data!G368="","",IF(Data!G368=Data_Val!$C$2,IF(Data!I368="",0,1),0))</f>
        <v/>
      </c>
      <c r="J378" s="38" t="str">
        <f>IF(Data!I368="","",IF(ISNUMBER(MATCH(Data!J368,Data_Val!$A$2:$A$3,0)),0,1))</f>
        <v/>
      </c>
      <c r="K378" s="38" t="str">
        <f ca="1">IF(Data!I368="","",IF(ISNUMBER(Data!K368),IF(AND(Data!K368&gt;(TODAY()-(Data_Val!$K$3*365.25)),Data!K368&lt;=(TODAY()-(Data_Val!$K$2*365.25))),0,1),1))</f>
        <v/>
      </c>
      <c r="L378" s="16" t="str">
        <f>IF(Data!G368="","",IF(Data!G368=Data_Val!$C$2,IF(Data!L368="",0,1),0))</f>
        <v/>
      </c>
      <c r="M378" s="16" t="str">
        <f>IF(Data!L368="","",IF(ISNUMBER(MATCH(Data!M368,Data_Val!$A$2:$A$3,0)),0,1))</f>
        <v/>
      </c>
      <c r="N378" s="43" t="str">
        <f ca="1">IF(Data!L368="","",IF(ISNUMBER(Data!N368),IF(AND(Data!N368&gt;(TODAY()-(Data_Val!$L$3*365.25)),Data!N368&lt;=(TODAY()-(Data_Val!$L$2*365.25))),0,1),1))</f>
        <v/>
      </c>
      <c r="O378" s="18" t="str">
        <f>IF(Data!$G368="","",IF(Data!$G368=Data_Val!$C$2,IF(Data!O368="",0,1),0))</f>
        <v/>
      </c>
      <c r="P378" s="18" t="str">
        <f>IF(Data!O368="","",IF(ISNUMBER(MATCH(Data!P368,Data_Val!$A$2:$A$3,0)),0,1))</f>
        <v/>
      </c>
      <c r="Q378" s="44" t="str">
        <f ca="1">IF(Data!O368="","",IF(ISNUMBER(Data!Q368),IF(AND(Data!Q368&gt;(TODAY()-(Data_Val!$L$3*365.25)),Data!Q368&lt;=(TODAY()-(Data_Val!$L$2*365.25))),0,1),1))</f>
        <v/>
      </c>
    </row>
    <row r="379" spans="1:17" ht="12" customHeight="1" x14ac:dyDescent="0.25">
      <c r="A379" s="36" t="str">
        <f>IF(Data!B369="","",IF(COUNTIFS(Data!A$1:'Data'!A369,Data!A369)&lt;=1,0,1))</f>
        <v/>
      </c>
      <c r="B379" s="36"/>
      <c r="C379" s="36" t="str">
        <f>IF(Data!C369="","",(IF(ISNUMBER(MATCH("*@*.?*",Data!C369,0)),0,1)+IF(COUNTIFS(Data!C$1:'Data'!C369,Data!C369)&gt;1,1,0)))</f>
        <v/>
      </c>
      <c r="D379" s="36" t="str">
        <f>IF(Data!B369="","",IF(ISNUMBER(Data!D369),IF(AND(Data!D369&gt;999999999,Data!D369&lt;=9999999999),IF(COUNTIFS(Data!D$1:'Data'!D369,Data!D369)&lt;=1,0,1),1),1))</f>
        <v/>
      </c>
      <c r="E379" s="36" t="str">
        <f>IF(Data!B369="","",IF(ISNUMBER(MATCH(Data!E369,Data_Val!$A$2:$A$3,0)),0,1))</f>
        <v/>
      </c>
      <c r="F379" s="36" t="str">
        <f ca="1">IF(Data!B369="","",IF(ISNUMBER(Data!F369),IF(AND(Data!F369&gt;(TODAY()-(Data_Val!$H$3*365.25)),Data!F369&lt;=(TODAY()-(Data_Val!$H$2*365.25))),0,1),1))</f>
        <v/>
      </c>
      <c r="G379" s="12" t="str">
        <f>IF(Data!B369="","",IF(AND(Data!G369="",Data!H369&lt;&gt;""),1,IF(ISNUMBER(MATCH(Data!G369,Data_Val!$C$2:$C$5,0)),0,1)))</f>
        <v/>
      </c>
      <c r="H379" s="12" t="str">
        <f>IF(Data!B369="","",IF(AND(Data!G369&lt;&gt;"",Data!H369=""),1,IF(Data!G369="",1,IF(ISNUMBER(MATCH(Data!H369,Data_Val!$D$2:$D$35,0)),0,1))))</f>
        <v/>
      </c>
      <c r="I379" s="38" t="str">
        <f>IF(Data!G369="","",IF(Data!G369=Data_Val!$C$2,IF(Data!I369="",0,1),0))</f>
        <v/>
      </c>
      <c r="J379" s="38" t="str">
        <f>IF(Data!I369="","",IF(ISNUMBER(MATCH(Data!J369,Data_Val!$A$2:$A$3,0)),0,1))</f>
        <v/>
      </c>
      <c r="K379" s="38" t="str">
        <f ca="1">IF(Data!I369="","",IF(ISNUMBER(Data!K369),IF(AND(Data!K369&gt;(TODAY()-(Data_Val!$K$3*365.25)),Data!K369&lt;=(TODAY()-(Data_Val!$K$2*365.25))),0,1),1))</f>
        <v/>
      </c>
      <c r="L379" s="16" t="str">
        <f>IF(Data!G369="","",IF(Data!G369=Data_Val!$C$2,IF(Data!L369="",0,1),0))</f>
        <v/>
      </c>
      <c r="M379" s="16" t="str">
        <f>IF(Data!L369="","",IF(ISNUMBER(MATCH(Data!M369,Data_Val!$A$2:$A$3,0)),0,1))</f>
        <v/>
      </c>
      <c r="N379" s="43" t="str">
        <f ca="1">IF(Data!L369="","",IF(ISNUMBER(Data!N369),IF(AND(Data!N369&gt;(TODAY()-(Data_Val!$L$3*365.25)),Data!N369&lt;=(TODAY()-(Data_Val!$L$2*365.25))),0,1),1))</f>
        <v/>
      </c>
      <c r="O379" s="18" t="str">
        <f>IF(Data!$G369="","",IF(Data!$G369=Data_Val!$C$2,IF(Data!O369="",0,1),0))</f>
        <v/>
      </c>
      <c r="P379" s="18" t="str">
        <f>IF(Data!O369="","",IF(ISNUMBER(MATCH(Data!P369,Data_Val!$A$2:$A$3,0)),0,1))</f>
        <v/>
      </c>
      <c r="Q379" s="44" t="str">
        <f ca="1">IF(Data!O369="","",IF(ISNUMBER(Data!Q369),IF(AND(Data!Q369&gt;(TODAY()-(Data_Val!$L$3*365.25)),Data!Q369&lt;=(TODAY()-(Data_Val!$L$2*365.25))),0,1),1))</f>
        <v/>
      </c>
    </row>
    <row r="380" spans="1:17" ht="12" customHeight="1" x14ac:dyDescent="0.25">
      <c r="A380" s="36" t="str">
        <f>IF(Data!B370="","",IF(COUNTIFS(Data!A$1:'Data'!A370,Data!A370)&lt;=1,0,1))</f>
        <v/>
      </c>
      <c r="B380" s="36"/>
      <c r="C380" s="36" t="str">
        <f>IF(Data!C370="","",(IF(ISNUMBER(MATCH("*@*.?*",Data!C370,0)),0,1)+IF(COUNTIFS(Data!C$1:'Data'!C370,Data!C370)&gt;1,1,0)))</f>
        <v/>
      </c>
      <c r="D380" s="36" t="str">
        <f>IF(Data!B370="","",IF(ISNUMBER(Data!D370),IF(AND(Data!D370&gt;999999999,Data!D370&lt;=9999999999),IF(COUNTIFS(Data!D$1:'Data'!D370,Data!D370)&lt;=1,0,1),1),1))</f>
        <v/>
      </c>
      <c r="E380" s="36" t="str">
        <f>IF(Data!B370="","",IF(ISNUMBER(MATCH(Data!E370,Data_Val!$A$2:$A$3,0)),0,1))</f>
        <v/>
      </c>
      <c r="F380" s="36" t="str">
        <f ca="1">IF(Data!B370="","",IF(ISNUMBER(Data!F370),IF(AND(Data!F370&gt;(TODAY()-(Data_Val!$H$3*365.25)),Data!F370&lt;=(TODAY()-(Data_Val!$H$2*365.25))),0,1),1))</f>
        <v/>
      </c>
      <c r="G380" s="12" t="str">
        <f>IF(Data!B370="","",IF(AND(Data!G370="",Data!H370&lt;&gt;""),1,IF(ISNUMBER(MATCH(Data!G370,Data_Val!$C$2:$C$5,0)),0,1)))</f>
        <v/>
      </c>
      <c r="H380" s="12" t="str">
        <f>IF(Data!B370="","",IF(AND(Data!G370&lt;&gt;"",Data!H370=""),1,IF(Data!G370="",1,IF(ISNUMBER(MATCH(Data!H370,Data_Val!$D$2:$D$35,0)),0,1))))</f>
        <v/>
      </c>
      <c r="I380" s="38" t="str">
        <f>IF(Data!G370="","",IF(Data!G370=Data_Val!$C$2,IF(Data!I370="",0,1),0))</f>
        <v/>
      </c>
      <c r="J380" s="38" t="str">
        <f>IF(Data!I370="","",IF(ISNUMBER(MATCH(Data!J370,Data_Val!$A$2:$A$3,0)),0,1))</f>
        <v/>
      </c>
      <c r="K380" s="38" t="str">
        <f ca="1">IF(Data!I370="","",IF(ISNUMBER(Data!K370),IF(AND(Data!K370&gt;(TODAY()-(Data_Val!$K$3*365.25)),Data!K370&lt;=(TODAY()-(Data_Val!$K$2*365.25))),0,1),1))</f>
        <v/>
      </c>
      <c r="L380" s="16" t="str">
        <f>IF(Data!G370="","",IF(Data!G370=Data_Val!$C$2,IF(Data!L370="",0,1),0))</f>
        <v/>
      </c>
      <c r="M380" s="16" t="str">
        <f>IF(Data!L370="","",IF(ISNUMBER(MATCH(Data!M370,Data_Val!$A$2:$A$3,0)),0,1))</f>
        <v/>
      </c>
      <c r="N380" s="43" t="str">
        <f ca="1">IF(Data!L370="","",IF(ISNUMBER(Data!N370),IF(AND(Data!N370&gt;(TODAY()-(Data_Val!$L$3*365.25)),Data!N370&lt;=(TODAY()-(Data_Val!$L$2*365.25))),0,1),1))</f>
        <v/>
      </c>
      <c r="O380" s="18" t="str">
        <f>IF(Data!$G370="","",IF(Data!$G370=Data_Val!$C$2,IF(Data!O370="",0,1),0))</f>
        <v/>
      </c>
      <c r="P380" s="18" t="str">
        <f>IF(Data!O370="","",IF(ISNUMBER(MATCH(Data!P370,Data_Val!$A$2:$A$3,0)),0,1))</f>
        <v/>
      </c>
      <c r="Q380" s="44" t="str">
        <f ca="1">IF(Data!O370="","",IF(ISNUMBER(Data!Q370),IF(AND(Data!Q370&gt;(TODAY()-(Data_Val!$L$3*365.25)),Data!Q370&lt;=(TODAY()-(Data_Val!$L$2*365.25))),0,1),1))</f>
        <v/>
      </c>
    </row>
    <row r="381" spans="1:17" ht="12" customHeight="1" x14ac:dyDescent="0.25">
      <c r="A381" s="36" t="str">
        <f>IF(Data!B371="","",IF(COUNTIFS(Data!A$1:'Data'!A371,Data!A371)&lt;=1,0,1))</f>
        <v/>
      </c>
      <c r="B381" s="36"/>
      <c r="C381" s="36" t="str">
        <f>IF(Data!C371="","",(IF(ISNUMBER(MATCH("*@*.?*",Data!C371,0)),0,1)+IF(COUNTIFS(Data!C$1:'Data'!C371,Data!C371)&gt;1,1,0)))</f>
        <v/>
      </c>
      <c r="D381" s="36" t="str">
        <f>IF(Data!B371="","",IF(ISNUMBER(Data!D371),IF(AND(Data!D371&gt;999999999,Data!D371&lt;=9999999999),IF(COUNTIFS(Data!D$1:'Data'!D371,Data!D371)&lt;=1,0,1),1),1))</f>
        <v/>
      </c>
      <c r="E381" s="36" t="str">
        <f>IF(Data!B371="","",IF(ISNUMBER(MATCH(Data!E371,Data_Val!$A$2:$A$3,0)),0,1))</f>
        <v/>
      </c>
      <c r="F381" s="36" t="str">
        <f ca="1">IF(Data!B371="","",IF(ISNUMBER(Data!F371),IF(AND(Data!F371&gt;(TODAY()-(Data_Val!$H$3*365.25)),Data!F371&lt;=(TODAY()-(Data_Val!$H$2*365.25))),0,1),1))</f>
        <v/>
      </c>
      <c r="G381" s="12" t="str">
        <f>IF(Data!B371="","",IF(AND(Data!G371="",Data!H371&lt;&gt;""),1,IF(ISNUMBER(MATCH(Data!G371,Data_Val!$C$2:$C$5,0)),0,1)))</f>
        <v/>
      </c>
      <c r="H381" s="12" t="str">
        <f>IF(Data!B371="","",IF(AND(Data!G371&lt;&gt;"",Data!H371=""),1,IF(Data!G371="",1,IF(ISNUMBER(MATCH(Data!H371,Data_Val!$D$2:$D$35,0)),0,1))))</f>
        <v/>
      </c>
      <c r="I381" s="38" t="str">
        <f>IF(Data!G371="","",IF(Data!G371=Data_Val!$C$2,IF(Data!I371="",0,1),0))</f>
        <v/>
      </c>
      <c r="J381" s="38" t="str">
        <f>IF(Data!I371="","",IF(ISNUMBER(MATCH(Data!J371,Data_Val!$A$2:$A$3,0)),0,1))</f>
        <v/>
      </c>
      <c r="K381" s="38" t="str">
        <f ca="1">IF(Data!I371="","",IF(ISNUMBER(Data!K371),IF(AND(Data!K371&gt;(TODAY()-(Data_Val!$K$3*365.25)),Data!K371&lt;=(TODAY()-(Data_Val!$K$2*365.25))),0,1),1))</f>
        <v/>
      </c>
      <c r="L381" s="16" t="str">
        <f>IF(Data!G371="","",IF(Data!G371=Data_Val!$C$2,IF(Data!L371="",0,1),0))</f>
        <v/>
      </c>
      <c r="M381" s="16" t="str">
        <f>IF(Data!L371="","",IF(ISNUMBER(MATCH(Data!M371,Data_Val!$A$2:$A$3,0)),0,1))</f>
        <v/>
      </c>
      <c r="N381" s="43" t="str">
        <f ca="1">IF(Data!L371="","",IF(ISNUMBER(Data!N371),IF(AND(Data!N371&gt;(TODAY()-(Data_Val!$L$3*365.25)),Data!N371&lt;=(TODAY()-(Data_Val!$L$2*365.25))),0,1),1))</f>
        <v/>
      </c>
      <c r="O381" s="18" t="str">
        <f>IF(Data!$G371="","",IF(Data!$G371=Data_Val!$C$2,IF(Data!O371="",0,1),0))</f>
        <v/>
      </c>
      <c r="P381" s="18" t="str">
        <f>IF(Data!O371="","",IF(ISNUMBER(MATCH(Data!P371,Data_Val!$A$2:$A$3,0)),0,1))</f>
        <v/>
      </c>
      <c r="Q381" s="44" t="str">
        <f ca="1">IF(Data!O371="","",IF(ISNUMBER(Data!Q371),IF(AND(Data!Q371&gt;(TODAY()-(Data_Val!$L$3*365.25)),Data!Q371&lt;=(TODAY()-(Data_Val!$L$2*365.25))),0,1),1))</f>
        <v/>
      </c>
    </row>
    <row r="382" spans="1:17" ht="12" customHeight="1" x14ac:dyDescent="0.25">
      <c r="A382" s="36" t="str">
        <f>IF(Data!B372="","",IF(COUNTIFS(Data!A$1:'Data'!A372,Data!A372)&lt;=1,0,1))</f>
        <v/>
      </c>
      <c r="B382" s="36"/>
      <c r="C382" s="36" t="str">
        <f>IF(Data!C372="","",(IF(ISNUMBER(MATCH("*@*.?*",Data!C372,0)),0,1)+IF(COUNTIFS(Data!C$1:'Data'!C372,Data!C372)&gt;1,1,0)))</f>
        <v/>
      </c>
      <c r="D382" s="36" t="str">
        <f>IF(Data!B372="","",IF(ISNUMBER(Data!D372),IF(AND(Data!D372&gt;999999999,Data!D372&lt;=9999999999),IF(COUNTIFS(Data!D$1:'Data'!D372,Data!D372)&lt;=1,0,1),1),1))</f>
        <v/>
      </c>
      <c r="E382" s="36" t="str">
        <f>IF(Data!B372="","",IF(ISNUMBER(MATCH(Data!E372,Data_Val!$A$2:$A$3,0)),0,1))</f>
        <v/>
      </c>
      <c r="F382" s="36" t="str">
        <f ca="1">IF(Data!B372="","",IF(ISNUMBER(Data!F372),IF(AND(Data!F372&gt;(TODAY()-(Data_Val!$H$3*365.25)),Data!F372&lt;=(TODAY()-(Data_Val!$H$2*365.25))),0,1),1))</f>
        <v/>
      </c>
      <c r="G382" s="12" t="str">
        <f>IF(Data!B372="","",IF(AND(Data!G372="",Data!H372&lt;&gt;""),1,IF(ISNUMBER(MATCH(Data!G372,Data_Val!$C$2:$C$5,0)),0,1)))</f>
        <v/>
      </c>
      <c r="H382" s="12" t="str">
        <f>IF(Data!B372="","",IF(AND(Data!G372&lt;&gt;"",Data!H372=""),1,IF(Data!G372="",1,IF(ISNUMBER(MATCH(Data!H372,Data_Val!$D$2:$D$35,0)),0,1))))</f>
        <v/>
      </c>
      <c r="I382" s="38" t="str">
        <f>IF(Data!G372="","",IF(Data!G372=Data_Val!$C$2,IF(Data!I372="",0,1),0))</f>
        <v/>
      </c>
      <c r="J382" s="38" t="str">
        <f>IF(Data!I372="","",IF(ISNUMBER(MATCH(Data!J372,Data_Val!$A$2:$A$3,0)),0,1))</f>
        <v/>
      </c>
      <c r="K382" s="38" t="str">
        <f ca="1">IF(Data!I372="","",IF(ISNUMBER(Data!K372),IF(AND(Data!K372&gt;(TODAY()-(Data_Val!$K$3*365.25)),Data!K372&lt;=(TODAY()-(Data_Val!$K$2*365.25))),0,1),1))</f>
        <v/>
      </c>
      <c r="L382" s="16" t="str">
        <f>IF(Data!G372="","",IF(Data!G372=Data_Val!$C$2,IF(Data!L372="",0,1),0))</f>
        <v/>
      </c>
      <c r="M382" s="16" t="str">
        <f>IF(Data!L372="","",IF(ISNUMBER(MATCH(Data!M372,Data_Val!$A$2:$A$3,0)),0,1))</f>
        <v/>
      </c>
      <c r="N382" s="43" t="str">
        <f ca="1">IF(Data!L372="","",IF(ISNUMBER(Data!N372),IF(AND(Data!N372&gt;(TODAY()-(Data_Val!$L$3*365.25)),Data!N372&lt;=(TODAY()-(Data_Val!$L$2*365.25))),0,1),1))</f>
        <v/>
      </c>
      <c r="O382" s="18" t="str">
        <f>IF(Data!$G372="","",IF(Data!$G372=Data_Val!$C$2,IF(Data!O372="",0,1),0))</f>
        <v/>
      </c>
      <c r="P382" s="18" t="str">
        <f>IF(Data!O372="","",IF(ISNUMBER(MATCH(Data!P372,Data_Val!$A$2:$A$3,0)),0,1))</f>
        <v/>
      </c>
      <c r="Q382" s="44" t="str">
        <f ca="1">IF(Data!O372="","",IF(ISNUMBER(Data!Q372),IF(AND(Data!Q372&gt;(TODAY()-(Data_Val!$L$3*365.25)),Data!Q372&lt;=(TODAY()-(Data_Val!$L$2*365.25))),0,1),1))</f>
        <v/>
      </c>
    </row>
    <row r="383" spans="1:17" ht="12" customHeight="1" x14ac:dyDescent="0.25">
      <c r="A383" s="36" t="str">
        <f>IF(Data!B373="","",IF(COUNTIFS(Data!A$1:'Data'!A373,Data!A373)&lt;=1,0,1))</f>
        <v/>
      </c>
      <c r="B383" s="36"/>
      <c r="C383" s="36" t="str">
        <f>IF(Data!C373="","",(IF(ISNUMBER(MATCH("*@*.?*",Data!C373,0)),0,1)+IF(COUNTIFS(Data!C$1:'Data'!C373,Data!C373)&gt;1,1,0)))</f>
        <v/>
      </c>
      <c r="D383" s="36" t="str">
        <f>IF(Data!B373="","",IF(ISNUMBER(Data!D373),IF(AND(Data!D373&gt;999999999,Data!D373&lt;=9999999999),IF(COUNTIFS(Data!D$1:'Data'!D373,Data!D373)&lt;=1,0,1),1),1))</f>
        <v/>
      </c>
      <c r="E383" s="36" t="str">
        <f>IF(Data!B373="","",IF(ISNUMBER(MATCH(Data!E373,Data_Val!$A$2:$A$3,0)),0,1))</f>
        <v/>
      </c>
      <c r="F383" s="36" t="str">
        <f ca="1">IF(Data!B373="","",IF(ISNUMBER(Data!F373),IF(AND(Data!F373&gt;(TODAY()-(Data_Val!$H$3*365.25)),Data!F373&lt;=(TODAY()-(Data_Val!$H$2*365.25))),0,1),1))</f>
        <v/>
      </c>
      <c r="G383" s="12" t="str">
        <f>IF(Data!B373="","",IF(AND(Data!G373="",Data!H373&lt;&gt;""),1,IF(ISNUMBER(MATCH(Data!G373,Data_Val!$C$2:$C$5,0)),0,1)))</f>
        <v/>
      </c>
      <c r="H383" s="12" t="str">
        <f>IF(Data!B373="","",IF(AND(Data!G373&lt;&gt;"",Data!H373=""),1,IF(Data!G373="",1,IF(ISNUMBER(MATCH(Data!H373,Data_Val!$D$2:$D$35,0)),0,1))))</f>
        <v/>
      </c>
      <c r="I383" s="38" t="str">
        <f>IF(Data!G373="","",IF(Data!G373=Data_Val!$C$2,IF(Data!I373="",0,1),0))</f>
        <v/>
      </c>
      <c r="J383" s="38" t="str">
        <f>IF(Data!I373="","",IF(ISNUMBER(MATCH(Data!J373,Data_Val!$A$2:$A$3,0)),0,1))</f>
        <v/>
      </c>
      <c r="K383" s="38" t="str">
        <f ca="1">IF(Data!I373="","",IF(ISNUMBER(Data!K373),IF(AND(Data!K373&gt;(TODAY()-(Data_Val!$K$3*365.25)),Data!K373&lt;=(TODAY()-(Data_Val!$K$2*365.25))),0,1),1))</f>
        <v/>
      </c>
      <c r="L383" s="16" t="str">
        <f>IF(Data!G373="","",IF(Data!G373=Data_Val!$C$2,IF(Data!L373="",0,1),0))</f>
        <v/>
      </c>
      <c r="M383" s="16" t="str">
        <f>IF(Data!L373="","",IF(ISNUMBER(MATCH(Data!M373,Data_Val!$A$2:$A$3,0)),0,1))</f>
        <v/>
      </c>
      <c r="N383" s="43" t="str">
        <f ca="1">IF(Data!L373="","",IF(ISNUMBER(Data!N373),IF(AND(Data!N373&gt;(TODAY()-(Data_Val!$L$3*365.25)),Data!N373&lt;=(TODAY()-(Data_Val!$L$2*365.25))),0,1),1))</f>
        <v/>
      </c>
      <c r="O383" s="18" t="str">
        <f>IF(Data!$G373="","",IF(Data!$G373=Data_Val!$C$2,IF(Data!O373="",0,1),0))</f>
        <v/>
      </c>
      <c r="P383" s="18" t="str">
        <f>IF(Data!O373="","",IF(ISNUMBER(MATCH(Data!P373,Data_Val!$A$2:$A$3,0)),0,1))</f>
        <v/>
      </c>
      <c r="Q383" s="44" t="str">
        <f ca="1">IF(Data!O373="","",IF(ISNUMBER(Data!Q373),IF(AND(Data!Q373&gt;(TODAY()-(Data_Val!$L$3*365.25)),Data!Q373&lt;=(TODAY()-(Data_Val!$L$2*365.25))),0,1),1))</f>
        <v/>
      </c>
    </row>
    <row r="384" spans="1:17" ht="12" customHeight="1" x14ac:dyDescent="0.25">
      <c r="A384" s="36" t="str">
        <f>IF(Data!B374="","",IF(COUNTIFS(Data!A$1:'Data'!A374,Data!A374)&lt;=1,0,1))</f>
        <v/>
      </c>
      <c r="B384" s="36"/>
      <c r="C384" s="36" t="str">
        <f>IF(Data!C374="","",(IF(ISNUMBER(MATCH("*@*.?*",Data!C374,0)),0,1)+IF(COUNTIFS(Data!C$1:'Data'!C374,Data!C374)&gt;1,1,0)))</f>
        <v/>
      </c>
      <c r="D384" s="36" t="str">
        <f>IF(Data!B374="","",IF(ISNUMBER(Data!D374),IF(AND(Data!D374&gt;999999999,Data!D374&lt;=9999999999),IF(COUNTIFS(Data!D$1:'Data'!D374,Data!D374)&lt;=1,0,1),1),1))</f>
        <v/>
      </c>
      <c r="E384" s="36" t="str">
        <f>IF(Data!B374="","",IF(ISNUMBER(MATCH(Data!E374,Data_Val!$A$2:$A$3,0)),0,1))</f>
        <v/>
      </c>
      <c r="F384" s="36" t="str">
        <f ca="1">IF(Data!B374="","",IF(ISNUMBER(Data!F374),IF(AND(Data!F374&gt;(TODAY()-(Data_Val!$H$3*365.25)),Data!F374&lt;=(TODAY()-(Data_Val!$H$2*365.25))),0,1),1))</f>
        <v/>
      </c>
      <c r="G384" s="12" t="str">
        <f>IF(Data!B374="","",IF(AND(Data!G374="",Data!H374&lt;&gt;""),1,IF(ISNUMBER(MATCH(Data!G374,Data_Val!$C$2:$C$5,0)),0,1)))</f>
        <v/>
      </c>
      <c r="H384" s="12" t="str">
        <f>IF(Data!B374="","",IF(AND(Data!G374&lt;&gt;"",Data!H374=""),1,IF(Data!G374="",1,IF(ISNUMBER(MATCH(Data!H374,Data_Val!$D$2:$D$35,0)),0,1))))</f>
        <v/>
      </c>
      <c r="I384" s="38" t="str">
        <f>IF(Data!G374="","",IF(Data!G374=Data_Val!$C$2,IF(Data!I374="",0,1),0))</f>
        <v/>
      </c>
      <c r="J384" s="38" t="str">
        <f>IF(Data!I374="","",IF(ISNUMBER(MATCH(Data!J374,Data_Val!$A$2:$A$3,0)),0,1))</f>
        <v/>
      </c>
      <c r="K384" s="38" t="str">
        <f ca="1">IF(Data!I374="","",IF(ISNUMBER(Data!K374),IF(AND(Data!K374&gt;(TODAY()-(Data_Val!$K$3*365.25)),Data!K374&lt;=(TODAY()-(Data_Val!$K$2*365.25))),0,1),1))</f>
        <v/>
      </c>
      <c r="L384" s="16" t="str">
        <f>IF(Data!G374="","",IF(Data!G374=Data_Val!$C$2,IF(Data!L374="",0,1),0))</f>
        <v/>
      </c>
      <c r="M384" s="16" t="str">
        <f>IF(Data!L374="","",IF(ISNUMBER(MATCH(Data!M374,Data_Val!$A$2:$A$3,0)),0,1))</f>
        <v/>
      </c>
      <c r="N384" s="43" t="str">
        <f ca="1">IF(Data!L374="","",IF(ISNUMBER(Data!N374),IF(AND(Data!N374&gt;(TODAY()-(Data_Val!$L$3*365.25)),Data!N374&lt;=(TODAY()-(Data_Val!$L$2*365.25))),0,1),1))</f>
        <v/>
      </c>
      <c r="O384" s="18" t="str">
        <f>IF(Data!$G374="","",IF(Data!$G374=Data_Val!$C$2,IF(Data!O374="",0,1),0))</f>
        <v/>
      </c>
      <c r="P384" s="18" t="str">
        <f>IF(Data!O374="","",IF(ISNUMBER(MATCH(Data!P374,Data_Val!$A$2:$A$3,0)),0,1))</f>
        <v/>
      </c>
      <c r="Q384" s="44" t="str">
        <f ca="1">IF(Data!O374="","",IF(ISNUMBER(Data!Q374),IF(AND(Data!Q374&gt;(TODAY()-(Data_Val!$L$3*365.25)),Data!Q374&lt;=(TODAY()-(Data_Val!$L$2*365.25))),0,1),1))</f>
        <v/>
      </c>
    </row>
    <row r="385" spans="1:17" ht="12" customHeight="1" x14ac:dyDescent="0.25">
      <c r="A385" s="36" t="str">
        <f>IF(Data!B375="","",IF(COUNTIFS(Data!A$1:'Data'!A375,Data!A375)&lt;=1,0,1))</f>
        <v/>
      </c>
      <c r="B385" s="36"/>
      <c r="C385" s="36" t="str">
        <f>IF(Data!C375="","",(IF(ISNUMBER(MATCH("*@*.?*",Data!C375,0)),0,1)+IF(COUNTIFS(Data!C$1:'Data'!C375,Data!C375)&gt;1,1,0)))</f>
        <v/>
      </c>
      <c r="D385" s="36" t="str">
        <f>IF(Data!B375="","",IF(ISNUMBER(Data!D375),IF(AND(Data!D375&gt;999999999,Data!D375&lt;=9999999999),IF(COUNTIFS(Data!D$1:'Data'!D375,Data!D375)&lt;=1,0,1),1),1))</f>
        <v/>
      </c>
      <c r="E385" s="36" t="str">
        <f>IF(Data!B375="","",IF(ISNUMBER(MATCH(Data!E375,Data_Val!$A$2:$A$3,0)),0,1))</f>
        <v/>
      </c>
      <c r="F385" s="36" t="str">
        <f ca="1">IF(Data!B375="","",IF(ISNUMBER(Data!F375),IF(AND(Data!F375&gt;(TODAY()-(Data_Val!$H$3*365.25)),Data!F375&lt;=(TODAY()-(Data_Val!$H$2*365.25))),0,1),1))</f>
        <v/>
      </c>
      <c r="G385" s="12" t="str">
        <f>IF(Data!B375="","",IF(AND(Data!G375="",Data!H375&lt;&gt;""),1,IF(ISNUMBER(MATCH(Data!G375,Data_Val!$C$2:$C$5,0)),0,1)))</f>
        <v/>
      </c>
      <c r="H385" s="12" t="str">
        <f>IF(Data!B375="","",IF(AND(Data!G375&lt;&gt;"",Data!H375=""),1,IF(Data!G375="",1,IF(ISNUMBER(MATCH(Data!H375,Data_Val!$D$2:$D$35,0)),0,1))))</f>
        <v/>
      </c>
      <c r="I385" s="38" t="str">
        <f>IF(Data!G375="","",IF(Data!G375=Data_Val!$C$2,IF(Data!I375="",0,1),0))</f>
        <v/>
      </c>
      <c r="J385" s="38" t="str">
        <f>IF(Data!I375="","",IF(ISNUMBER(MATCH(Data!J375,Data_Val!$A$2:$A$3,0)),0,1))</f>
        <v/>
      </c>
      <c r="K385" s="38" t="str">
        <f ca="1">IF(Data!I375="","",IF(ISNUMBER(Data!K375),IF(AND(Data!K375&gt;(TODAY()-(Data_Val!$K$3*365.25)),Data!K375&lt;=(TODAY()-(Data_Val!$K$2*365.25))),0,1),1))</f>
        <v/>
      </c>
      <c r="L385" s="16" t="str">
        <f>IF(Data!G375="","",IF(Data!G375=Data_Val!$C$2,IF(Data!L375="",0,1),0))</f>
        <v/>
      </c>
      <c r="M385" s="16" t="str">
        <f>IF(Data!L375="","",IF(ISNUMBER(MATCH(Data!M375,Data_Val!$A$2:$A$3,0)),0,1))</f>
        <v/>
      </c>
      <c r="N385" s="43" t="str">
        <f ca="1">IF(Data!L375="","",IF(ISNUMBER(Data!N375),IF(AND(Data!N375&gt;(TODAY()-(Data_Val!$L$3*365.25)),Data!N375&lt;=(TODAY()-(Data_Val!$L$2*365.25))),0,1),1))</f>
        <v/>
      </c>
      <c r="O385" s="18" t="str">
        <f>IF(Data!$G375="","",IF(Data!$G375=Data_Val!$C$2,IF(Data!O375="",0,1),0))</f>
        <v/>
      </c>
      <c r="P385" s="18" t="str">
        <f>IF(Data!O375="","",IF(ISNUMBER(MATCH(Data!P375,Data_Val!$A$2:$A$3,0)),0,1))</f>
        <v/>
      </c>
      <c r="Q385" s="44" t="str">
        <f ca="1">IF(Data!O375="","",IF(ISNUMBER(Data!Q375),IF(AND(Data!Q375&gt;(TODAY()-(Data_Val!$L$3*365.25)),Data!Q375&lt;=(TODAY()-(Data_Val!$L$2*365.25))),0,1),1))</f>
        <v/>
      </c>
    </row>
    <row r="386" spans="1:17" ht="12" customHeight="1" x14ac:dyDescent="0.25">
      <c r="A386" s="36" t="str">
        <f>IF(Data!B376="","",IF(COUNTIFS(Data!A$1:'Data'!A376,Data!A376)&lt;=1,0,1))</f>
        <v/>
      </c>
      <c r="B386" s="36"/>
      <c r="C386" s="36" t="str">
        <f>IF(Data!C376="","",(IF(ISNUMBER(MATCH("*@*.?*",Data!C376,0)),0,1)+IF(COUNTIFS(Data!C$1:'Data'!C376,Data!C376)&gt;1,1,0)))</f>
        <v/>
      </c>
      <c r="D386" s="36" t="str">
        <f>IF(Data!B376="","",IF(ISNUMBER(Data!D376),IF(AND(Data!D376&gt;999999999,Data!D376&lt;=9999999999),IF(COUNTIFS(Data!D$1:'Data'!D376,Data!D376)&lt;=1,0,1),1),1))</f>
        <v/>
      </c>
      <c r="E386" s="36" t="str">
        <f>IF(Data!B376="","",IF(ISNUMBER(MATCH(Data!E376,Data_Val!$A$2:$A$3,0)),0,1))</f>
        <v/>
      </c>
      <c r="F386" s="36" t="str">
        <f ca="1">IF(Data!B376="","",IF(ISNUMBER(Data!F376),IF(AND(Data!F376&gt;(TODAY()-(Data_Val!$H$3*365.25)),Data!F376&lt;=(TODAY()-(Data_Val!$H$2*365.25))),0,1),1))</f>
        <v/>
      </c>
      <c r="G386" s="12" t="str">
        <f>IF(Data!B376="","",IF(AND(Data!G376="",Data!H376&lt;&gt;""),1,IF(ISNUMBER(MATCH(Data!G376,Data_Val!$C$2:$C$5,0)),0,1)))</f>
        <v/>
      </c>
      <c r="H386" s="12" t="str">
        <f>IF(Data!B376="","",IF(AND(Data!G376&lt;&gt;"",Data!H376=""),1,IF(Data!G376="",1,IF(ISNUMBER(MATCH(Data!H376,Data_Val!$D$2:$D$35,0)),0,1))))</f>
        <v/>
      </c>
      <c r="I386" s="38" t="str">
        <f>IF(Data!G376="","",IF(Data!G376=Data_Val!$C$2,IF(Data!I376="",0,1),0))</f>
        <v/>
      </c>
      <c r="J386" s="38" t="str">
        <f>IF(Data!I376="","",IF(ISNUMBER(MATCH(Data!J376,Data_Val!$A$2:$A$3,0)),0,1))</f>
        <v/>
      </c>
      <c r="K386" s="38" t="str">
        <f ca="1">IF(Data!I376="","",IF(ISNUMBER(Data!K376),IF(AND(Data!K376&gt;(TODAY()-(Data_Val!$K$3*365.25)),Data!K376&lt;=(TODAY()-(Data_Val!$K$2*365.25))),0,1),1))</f>
        <v/>
      </c>
      <c r="L386" s="16" t="str">
        <f>IF(Data!G376="","",IF(Data!G376=Data_Val!$C$2,IF(Data!L376="",0,1),0))</f>
        <v/>
      </c>
      <c r="M386" s="16" t="str">
        <f>IF(Data!L376="","",IF(ISNUMBER(MATCH(Data!M376,Data_Val!$A$2:$A$3,0)),0,1))</f>
        <v/>
      </c>
      <c r="N386" s="43" t="str">
        <f ca="1">IF(Data!L376="","",IF(ISNUMBER(Data!N376),IF(AND(Data!N376&gt;(TODAY()-(Data_Val!$L$3*365.25)),Data!N376&lt;=(TODAY()-(Data_Val!$L$2*365.25))),0,1),1))</f>
        <v/>
      </c>
      <c r="O386" s="18" t="str">
        <f>IF(Data!$G376="","",IF(Data!$G376=Data_Val!$C$2,IF(Data!O376="",0,1),0))</f>
        <v/>
      </c>
      <c r="P386" s="18" t="str">
        <f>IF(Data!O376="","",IF(ISNUMBER(MATCH(Data!P376,Data_Val!$A$2:$A$3,0)),0,1))</f>
        <v/>
      </c>
      <c r="Q386" s="44" t="str">
        <f ca="1">IF(Data!O376="","",IF(ISNUMBER(Data!Q376),IF(AND(Data!Q376&gt;(TODAY()-(Data_Val!$L$3*365.25)),Data!Q376&lt;=(TODAY()-(Data_Val!$L$2*365.25))),0,1),1))</f>
        <v/>
      </c>
    </row>
    <row r="387" spans="1:17" ht="12" customHeight="1" x14ac:dyDescent="0.25">
      <c r="A387" s="36" t="str">
        <f>IF(Data!B377="","",IF(COUNTIFS(Data!A$1:'Data'!A377,Data!A377)&lt;=1,0,1))</f>
        <v/>
      </c>
      <c r="B387" s="36"/>
      <c r="C387" s="36" t="str">
        <f>IF(Data!C377="","",(IF(ISNUMBER(MATCH("*@*.?*",Data!C377,0)),0,1)+IF(COUNTIFS(Data!C$1:'Data'!C377,Data!C377)&gt;1,1,0)))</f>
        <v/>
      </c>
      <c r="D387" s="36" t="str">
        <f>IF(Data!B377="","",IF(ISNUMBER(Data!D377),IF(AND(Data!D377&gt;999999999,Data!D377&lt;=9999999999),IF(COUNTIFS(Data!D$1:'Data'!D377,Data!D377)&lt;=1,0,1),1),1))</f>
        <v/>
      </c>
      <c r="E387" s="36" t="str">
        <f>IF(Data!B377="","",IF(ISNUMBER(MATCH(Data!E377,Data_Val!$A$2:$A$3,0)),0,1))</f>
        <v/>
      </c>
      <c r="F387" s="36" t="str">
        <f ca="1">IF(Data!B377="","",IF(ISNUMBER(Data!F377),IF(AND(Data!F377&gt;(TODAY()-(Data_Val!$H$3*365.25)),Data!F377&lt;=(TODAY()-(Data_Val!$H$2*365.25))),0,1),1))</f>
        <v/>
      </c>
      <c r="G387" s="12" t="str">
        <f>IF(Data!B377="","",IF(AND(Data!G377="",Data!H377&lt;&gt;""),1,IF(ISNUMBER(MATCH(Data!G377,Data_Val!$C$2:$C$5,0)),0,1)))</f>
        <v/>
      </c>
      <c r="H387" s="12" t="str">
        <f>IF(Data!B377="","",IF(AND(Data!G377&lt;&gt;"",Data!H377=""),1,IF(Data!G377="",1,IF(ISNUMBER(MATCH(Data!H377,Data_Val!$D$2:$D$35,0)),0,1))))</f>
        <v/>
      </c>
      <c r="I387" s="38" t="str">
        <f>IF(Data!G377="","",IF(Data!G377=Data_Val!$C$2,IF(Data!I377="",0,1),0))</f>
        <v/>
      </c>
      <c r="J387" s="38" t="str">
        <f>IF(Data!I377="","",IF(ISNUMBER(MATCH(Data!J377,Data_Val!$A$2:$A$3,0)),0,1))</f>
        <v/>
      </c>
      <c r="K387" s="38" t="str">
        <f ca="1">IF(Data!I377="","",IF(ISNUMBER(Data!K377),IF(AND(Data!K377&gt;(TODAY()-(Data_Val!$K$3*365.25)),Data!K377&lt;=(TODAY()-(Data_Val!$K$2*365.25))),0,1),1))</f>
        <v/>
      </c>
      <c r="L387" s="16" t="str">
        <f>IF(Data!G377="","",IF(Data!G377=Data_Val!$C$2,IF(Data!L377="",0,1),0))</f>
        <v/>
      </c>
      <c r="M387" s="16" t="str">
        <f>IF(Data!L377="","",IF(ISNUMBER(MATCH(Data!M377,Data_Val!$A$2:$A$3,0)),0,1))</f>
        <v/>
      </c>
      <c r="N387" s="43" t="str">
        <f ca="1">IF(Data!L377="","",IF(ISNUMBER(Data!N377),IF(AND(Data!N377&gt;(TODAY()-(Data_Val!$L$3*365.25)),Data!N377&lt;=(TODAY()-(Data_Val!$L$2*365.25))),0,1),1))</f>
        <v/>
      </c>
      <c r="O387" s="18" t="str">
        <f>IF(Data!$G377="","",IF(Data!$G377=Data_Val!$C$2,IF(Data!O377="",0,1),0))</f>
        <v/>
      </c>
      <c r="P387" s="18" t="str">
        <f>IF(Data!O377="","",IF(ISNUMBER(MATCH(Data!P377,Data_Val!$A$2:$A$3,0)),0,1))</f>
        <v/>
      </c>
      <c r="Q387" s="44" t="str">
        <f ca="1">IF(Data!O377="","",IF(ISNUMBER(Data!Q377),IF(AND(Data!Q377&gt;(TODAY()-(Data_Val!$L$3*365.25)),Data!Q377&lt;=(TODAY()-(Data_Val!$L$2*365.25))),0,1),1))</f>
        <v/>
      </c>
    </row>
    <row r="388" spans="1:17" ht="12" customHeight="1" x14ac:dyDescent="0.25">
      <c r="A388" s="36" t="str">
        <f>IF(Data!B378="","",IF(COUNTIFS(Data!A$1:'Data'!A378,Data!A378)&lt;=1,0,1))</f>
        <v/>
      </c>
      <c r="B388" s="36"/>
      <c r="C388" s="36" t="str">
        <f>IF(Data!C378="","",(IF(ISNUMBER(MATCH("*@*.?*",Data!C378,0)),0,1)+IF(COUNTIFS(Data!C$1:'Data'!C378,Data!C378)&gt;1,1,0)))</f>
        <v/>
      </c>
      <c r="D388" s="36" t="str">
        <f>IF(Data!B378="","",IF(ISNUMBER(Data!D378),IF(AND(Data!D378&gt;999999999,Data!D378&lt;=9999999999),IF(COUNTIFS(Data!D$1:'Data'!D378,Data!D378)&lt;=1,0,1),1),1))</f>
        <v/>
      </c>
      <c r="E388" s="36" t="str">
        <f>IF(Data!B378="","",IF(ISNUMBER(MATCH(Data!E378,Data_Val!$A$2:$A$3,0)),0,1))</f>
        <v/>
      </c>
      <c r="F388" s="36" t="str">
        <f ca="1">IF(Data!B378="","",IF(ISNUMBER(Data!F378),IF(AND(Data!F378&gt;(TODAY()-(Data_Val!$H$3*365.25)),Data!F378&lt;=(TODAY()-(Data_Val!$H$2*365.25))),0,1),1))</f>
        <v/>
      </c>
      <c r="G388" s="12" t="str">
        <f>IF(Data!B378="","",IF(AND(Data!G378="",Data!H378&lt;&gt;""),1,IF(ISNUMBER(MATCH(Data!G378,Data_Val!$C$2:$C$5,0)),0,1)))</f>
        <v/>
      </c>
      <c r="H388" s="12" t="str">
        <f>IF(Data!B378="","",IF(AND(Data!G378&lt;&gt;"",Data!H378=""),1,IF(Data!G378="",1,IF(ISNUMBER(MATCH(Data!H378,Data_Val!$D$2:$D$35,0)),0,1))))</f>
        <v/>
      </c>
      <c r="I388" s="38" t="str">
        <f>IF(Data!G378="","",IF(Data!G378=Data_Val!$C$2,IF(Data!I378="",0,1),0))</f>
        <v/>
      </c>
      <c r="J388" s="38" t="str">
        <f>IF(Data!I378="","",IF(ISNUMBER(MATCH(Data!J378,Data_Val!$A$2:$A$3,0)),0,1))</f>
        <v/>
      </c>
      <c r="K388" s="38" t="str">
        <f ca="1">IF(Data!I378="","",IF(ISNUMBER(Data!K378),IF(AND(Data!K378&gt;(TODAY()-(Data_Val!$K$3*365.25)),Data!K378&lt;=(TODAY()-(Data_Val!$K$2*365.25))),0,1),1))</f>
        <v/>
      </c>
      <c r="L388" s="16" t="str">
        <f>IF(Data!G378="","",IF(Data!G378=Data_Val!$C$2,IF(Data!L378="",0,1),0))</f>
        <v/>
      </c>
      <c r="M388" s="16" t="str">
        <f>IF(Data!L378="","",IF(ISNUMBER(MATCH(Data!M378,Data_Val!$A$2:$A$3,0)),0,1))</f>
        <v/>
      </c>
      <c r="N388" s="43" t="str">
        <f ca="1">IF(Data!L378="","",IF(ISNUMBER(Data!N378),IF(AND(Data!N378&gt;(TODAY()-(Data_Val!$L$3*365.25)),Data!N378&lt;=(TODAY()-(Data_Val!$L$2*365.25))),0,1),1))</f>
        <v/>
      </c>
      <c r="O388" s="18" t="str">
        <f>IF(Data!$G378="","",IF(Data!$G378=Data_Val!$C$2,IF(Data!O378="",0,1),0))</f>
        <v/>
      </c>
      <c r="P388" s="18" t="str">
        <f>IF(Data!O378="","",IF(ISNUMBER(MATCH(Data!P378,Data_Val!$A$2:$A$3,0)),0,1))</f>
        <v/>
      </c>
      <c r="Q388" s="44" t="str">
        <f ca="1">IF(Data!O378="","",IF(ISNUMBER(Data!Q378),IF(AND(Data!Q378&gt;(TODAY()-(Data_Val!$L$3*365.25)),Data!Q378&lt;=(TODAY()-(Data_Val!$L$2*365.25))),0,1),1))</f>
        <v/>
      </c>
    </row>
    <row r="389" spans="1:17" ht="12" customHeight="1" x14ac:dyDescent="0.25">
      <c r="A389" s="36" t="str">
        <f>IF(Data!B379="","",IF(COUNTIFS(Data!A$1:'Data'!A379,Data!A379)&lt;=1,0,1))</f>
        <v/>
      </c>
      <c r="B389" s="36"/>
      <c r="C389" s="36" t="str">
        <f>IF(Data!C379="","",(IF(ISNUMBER(MATCH("*@*.?*",Data!C379,0)),0,1)+IF(COUNTIFS(Data!C$1:'Data'!C379,Data!C379)&gt;1,1,0)))</f>
        <v/>
      </c>
      <c r="D389" s="36" t="str">
        <f>IF(Data!B379="","",IF(ISNUMBER(Data!D379),IF(AND(Data!D379&gt;999999999,Data!D379&lt;=9999999999),IF(COUNTIFS(Data!D$1:'Data'!D379,Data!D379)&lt;=1,0,1),1),1))</f>
        <v/>
      </c>
      <c r="E389" s="36" t="str">
        <f>IF(Data!B379="","",IF(ISNUMBER(MATCH(Data!E379,Data_Val!$A$2:$A$3,0)),0,1))</f>
        <v/>
      </c>
      <c r="F389" s="36" t="str">
        <f ca="1">IF(Data!B379="","",IF(ISNUMBER(Data!F379),IF(AND(Data!F379&gt;(TODAY()-(Data_Val!$H$3*365.25)),Data!F379&lt;=(TODAY()-(Data_Val!$H$2*365.25))),0,1),1))</f>
        <v/>
      </c>
      <c r="G389" s="12" t="str">
        <f>IF(Data!B379="","",IF(AND(Data!G379="",Data!H379&lt;&gt;""),1,IF(ISNUMBER(MATCH(Data!G379,Data_Val!$C$2:$C$5,0)),0,1)))</f>
        <v/>
      </c>
      <c r="H389" s="12" t="str">
        <f>IF(Data!B379="","",IF(AND(Data!G379&lt;&gt;"",Data!H379=""),1,IF(Data!G379="",1,IF(ISNUMBER(MATCH(Data!H379,Data_Val!$D$2:$D$35,0)),0,1))))</f>
        <v/>
      </c>
      <c r="I389" s="38" t="str">
        <f>IF(Data!G379="","",IF(Data!G379=Data_Val!$C$2,IF(Data!I379="",0,1),0))</f>
        <v/>
      </c>
      <c r="J389" s="38" t="str">
        <f>IF(Data!I379="","",IF(ISNUMBER(MATCH(Data!J379,Data_Val!$A$2:$A$3,0)),0,1))</f>
        <v/>
      </c>
      <c r="K389" s="38" t="str">
        <f ca="1">IF(Data!I379="","",IF(ISNUMBER(Data!K379),IF(AND(Data!K379&gt;(TODAY()-(Data_Val!$K$3*365.25)),Data!K379&lt;=(TODAY()-(Data_Val!$K$2*365.25))),0,1),1))</f>
        <v/>
      </c>
      <c r="L389" s="16" t="str">
        <f>IF(Data!G379="","",IF(Data!G379=Data_Val!$C$2,IF(Data!L379="",0,1),0))</f>
        <v/>
      </c>
      <c r="M389" s="16" t="str">
        <f>IF(Data!L379="","",IF(ISNUMBER(MATCH(Data!M379,Data_Val!$A$2:$A$3,0)),0,1))</f>
        <v/>
      </c>
      <c r="N389" s="43" t="str">
        <f ca="1">IF(Data!L379="","",IF(ISNUMBER(Data!N379),IF(AND(Data!N379&gt;(TODAY()-(Data_Val!$L$3*365.25)),Data!N379&lt;=(TODAY()-(Data_Val!$L$2*365.25))),0,1),1))</f>
        <v/>
      </c>
      <c r="O389" s="18" t="str">
        <f>IF(Data!$G379="","",IF(Data!$G379=Data_Val!$C$2,IF(Data!O379="",0,1),0))</f>
        <v/>
      </c>
      <c r="P389" s="18" t="str">
        <f>IF(Data!O379="","",IF(ISNUMBER(MATCH(Data!P379,Data_Val!$A$2:$A$3,0)),0,1))</f>
        <v/>
      </c>
      <c r="Q389" s="44" t="str">
        <f ca="1">IF(Data!O379="","",IF(ISNUMBER(Data!Q379),IF(AND(Data!Q379&gt;(TODAY()-(Data_Val!$L$3*365.25)),Data!Q379&lt;=(TODAY()-(Data_Val!$L$2*365.25))),0,1),1))</f>
        <v/>
      </c>
    </row>
    <row r="390" spans="1:17" ht="12" customHeight="1" x14ac:dyDescent="0.25">
      <c r="A390" s="36" t="str">
        <f>IF(Data!B380="","",IF(COUNTIFS(Data!A$1:'Data'!A380,Data!A380)&lt;=1,0,1))</f>
        <v/>
      </c>
      <c r="B390" s="36"/>
      <c r="C390" s="36" t="str">
        <f>IF(Data!C380="","",(IF(ISNUMBER(MATCH("*@*.?*",Data!C380,0)),0,1)+IF(COUNTIFS(Data!C$1:'Data'!C380,Data!C380)&gt;1,1,0)))</f>
        <v/>
      </c>
      <c r="D390" s="36" t="str">
        <f>IF(Data!B380="","",IF(ISNUMBER(Data!D380),IF(AND(Data!D380&gt;999999999,Data!D380&lt;=9999999999),IF(COUNTIFS(Data!D$1:'Data'!D380,Data!D380)&lt;=1,0,1),1),1))</f>
        <v/>
      </c>
      <c r="E390" s="36" t="str">
        <f>IF(Data!B380="","",IF(ISNUMBER(MATCH(Data!E380,Data_Val!$A$2:$A$3,0)),0,1))</f>
        <v/>
      </c>
      <c r="F390" s="36" t="str">
        <f ca="1">IF(Data!B380="","",IF(ISNUMBER(Data!F380),IF(AND(Data!F380&gt;(TODAY()-(Data_Val!$H$3*365.25)),Data!F380&lt;=(TODAY()-(Data_Val!$H$2*365.25))),0,1),1))</f>
        <v/>
      </c>
      <c r="G390" s="12" t="str">
        <f>IF(Data!B380="","",IF(AND(Data!G380="",Data!H380&lt;&gt;""),1,IF(ISNUMBER(MATCH(Data!G380,Data_Val!$C$2:$C$5,0)),0,1)))</f>
        <v/>
      </c>
      <c r="H390" s="12" t="str">
        <f>IF(Data!B380="","",IF(AND(Data!G380&lt;&gt;"",Data!H380=""),1,IF(Data!G380="",1,IF(ISNUMBER(MATCH(Data!H380,Data_Val!$D$2:$D$35,0)),0,1))))</f>
        <v/>
      </c>
      <c r="I390" s="38" t="str">
        <f>IF(Data!G380="","",IF(Data!G380=Data_Val!$C$2,IF(Data!I380="",0,1),0))</f>
        <v/>
      </c>
      <c r="J390" s="38" t="str">
        <f>IF(Data!I380="","",IF(ISNUMBER(MATCH(Data!J380,Data_Val!$A$2:$A$3,0)),0,1))</f>
        <v/>
      </c>
      <c r="K390" s="38" t="str">
        <f ca="1">IF(Data!I380="","",IF(ISNUMBER(Data!K380),IF(AND(Data!K380&gt;(TODAY()-(Data_Val!$K$3*365.25)),Data!K380&lt;=(TODAY()-(Data_Val!$K$2*365.25))),0,1),1))</f>
        <v/>
      </c>
      <c r="L390" s="16" t="str">
        <f>IF(Data!G380="","",IF(Data!G380=Data_Val!$C$2,IF(Data!L380="",0,1),0))</f>
        <v/>
      </c>
      <c r="M390" s="16" t="str">
        <f>IF(Data!L380="","",IF(ISNUMBER(MATCH(Data!M380,Data_Val!$A$2:$A$3,0)),0,1))</f>
        <v/>
      </c>
      <c r="N390" s="43" t="str">
        <f ca="1">IF(Data!L380="","",IF(ISNUMBER(Data!N380),IF(AND(Data!N380&gt;(TODAY()-(Data_Val!$L$3*365.25)),Data!N380&lt;=(TODAY()-(Data_Val!$L$2*365.25))),0,1),1))</f>
        <v/>
      </c>
      <c r="O390" s="18" t="str">
        <f>IF(Data!$G380="","",IF(Data!$G380=Data_Val!$C$2,IF(Data!O380="",0,1),0))</f>
        <v/>
      </c>
      <c r="P390" s="18" t="str">
        <f>IF(Data!O380="","",IF(ISNUMBER(MATCH(Data!P380,Data_Val!$A$2:$A$3,0)),0,1))</f>
        <v/>
      </c>
      <c r="Q390" s="44" t="str">
        <f ca="1">IF(Data!O380="","",IF(ISNUMBER(Data!Q380),IF(AND(Data!Q380&gt;(TODAY()-(Data_Val!$L$3*365.25)),Data!Q380&lt;=(TODAY()-(Data_Val!$L$2*365.25))),0,1),1))</f>
        <v/>
      </c>
    </row>
    <row r="391" spans="1:17" ht="12" customHeight="1" x14ac:dyDescent="0.25">
      <c r="A391" s="36" t="str">
        <f>IF(Data!B381="","",IF(COUNTIFS(Data!A$1:'Data'!A381,Data!A381)&lt;=1,0,1))</f>
        <v/>
      </c>
      <c r="B391" s="36"/>
      <c r="C391" s="36" t="str">
        <f>IF(Data!C381="","",(IF(ISNUMBER(MATCH("*@*.?*",Data!C381,0)),0,1)+IF(COUNTIFS(Data!C$1:'Data'!C381,Data!C381)&gt;1,1,0)))</f>
        <v/>
      </c>
      <c r="D391" s="36" t="str">
        <f>IF(Data!B381="","",IF(ISNUMBER(Data!D381),IF(AND(Data!D381&gt;999999999,Data!D381&lt;=9999999999),IF(COUNTIFS(Data!D$1:'Data'!D381,Data!D381)&lt;=1,0,1),1),1))</f>
        <v/>
      </c>
      <c r="E391" s="36" t="str">
        <f>IF(Data!B381="","",IF(ISNUMBER(MATCH(Data!E381,Data_Val!$A$2:$A$3,0)),0,1))</f>
        <v/>
      </c>
      <c r="F391" s="36" t="str">
        <f ca="1">IF(Data!B381="","",IF(ISNUMBER(Data!F381),IF(AND(Data!F381&gt;(TODAY()-(Data_Val!$H$3*365.25)),Data!F381&lt;=(TODAY()-(Data_Val!$H$2*365.25))),0,1),1))</f>
        <v/>
      </c>
      <c r="G391" s="12" t="str">
        <f>IF(Data!B381="","",IF(AND(Data!G381="",Data!H381&lt;&gt;""),1,IF(ISNUMBER(MATCH(Data!G381,Data_Val!$C$2:$C$5,0)),0,1)))</f>
        <v/>
      </c>
      <c r="H391" s="12" t="str">
        <f>IF(Data!B381="","",IF(AND(Data!G381&lt;&gt;"",Data!H381=""),1,IF(Data!G381="",1,IF(ISNUMBER(MATCH(Data!H381,Data_Val!$D$2:$D$35,0)),0,1))))</f>
        <v/>
      </c>
      <c r="I391" s="38" t="str">
        <f>IF(Data!G381="","",IF(Data!G381=Data_Val!$C$2,IF(Data!I381="",0,1),0))</f>
        <v/>
      </c>
      <c r="J391" s="38" t="str">
        <f>IF(Data!I381="","",IF(ISNUMBER(MATCH(Data!J381,Data_Val!$A$2:$A$3,0)),0,1))</f>
        <v/>
      </c>
      <c r="K391" s="38" t="str">
        <f ca="1">IF(Data!I381="","",IF(ISNUMBER(Data!K381),IF(AND(Data!K381&gt;(TODAY()-(Data_Val!$K$3*365.25)),Data!K381&lt;=(TODAY()-(Data_Val!$K$2*365.25))),0,1),1))</f>
        <v/>
      </c>
      <c r="L391" s="16" t="str">
        <f>IF(Data!G381="","",IF(Data!G381=Data_Val!$C$2,IF(Data!L381="",0,1),0))</f>
        <v/>
      </c>
      <c r="M391" s="16" t="str">
        <f>IF(Data!L381="","",IF(ISNUMBER(MATCH(Data!M381,Data_Val!$A$2:$A$3,0)),0,1))</f>
        <v/>
      </c>
      <c r="N391" s="43" t="str">
        <f ca="1">IF(Data!L381="","",IF(ISNUMBER(Data!N381),IF(AND(Data!N381&gt;(TODAY()-(Data_Val!$L$3*365.25)),Data!N381&lt;=(TODAY()-(Data_Val!$L$2*365.25))),0,1),1))</f>
        <v/>
      </c>
      <c r="O391" s="18" t="str">
        <f>IF(Data!$G381="","",IF(Data!$G381=Data_Val!$C$2,IF(Data!O381="",0,1),0))</f>
        <v/>
      </c>
      <c r="P391" s="18" t="str">
        <f>IF(Data!O381="","",IF(ISNUMBER(MATCH(Data!P381,Data_Val!$A$2:$A$3,0)),0,1))</f>
        <v/>
      </c>
      <c r="Q391" s="44" t="str">
        <f ca="1">IF(Data!O381="","",IF(ISNUMBER(Data!Q381),IF(AND(Data!Q381&gt;(TODAY()-(Data_Val!$L$3*365.25)),Data!Q381&lt;=(TODAY()-(Data_Val!$L$2*365.25))),0,1),1))</f>
        <v/>
      </c>
    </row>
    <row r="392" spans="1:17" ht="12" customHeight="1" x14ac:dyDescent="0.25">
      <c r="A392" s="36" t="str">
        <f>IF(Data!B382="","",IF(COUNTIFS(Data!A$1:'Data'!A382,Data!A382)&lt;=1,0,1))</f>
        <v/>
      </c>
      <c r="B392" s="36"/>
      <c r="C392" s="36" t="str">
        <f>IF(Data!C382="","",(IF(ISNUMBER(MATCH("*@*.?*",Data!C382,0)),0,1)+IF(COUNTIFS(Data!C$1:'Data'!C382,Data!C382)&gt;1,1,0)))</f>
        <v/>
      </c>
      <c r="D392" s="36" t="str">
        <f>IF(Data!B382="","",IF(ISNUMBER(Data!D382),IF(AND(Data!D382&gt;999999999,Data!D382&lt;=9999999999),IF(COUNTIFS(Data!D$1:'Data'!D382,Data!D382)&lt;=1,0,1),1),1))</f>
        <v/>
      </c>
      <c r="E392" s="36" t="str">
        <f>IF(Data!B382="","",IF(ISNUMBER(MATCH(Data!E382,Data_Val!$A$2:$A$3,0)),0,1))</f>
        <v/>
      </c>
      <c r="F392" s="36" t="str">
        <f ca="1">IF(Data!B382="","",IF(ISNUMBER(Data!F382),IF(AND(Data!F382&gt;(TODAY()-(Data_Val!$H$3*365.25)),Data!F382&lt;=(TODAY()-(Data_Val!$H$2*365.25))),0,1),1))</f>
        <v/>
      </c>
      <c r="G392" s="12" t="str">
        <f>IF(Data!B382="","",IF(AND(Data!G382="",Data!H382&lt;&gt;""),1,IF(ISNUMBER(MATCH(Data!G382,Data_Val!$C$2:$C$5,0)),0,1)))</f>
        <v/>
      </c>
      <c r="H392" s="12" t="str">
        <f>IF(Data!B382="","",IF(AND(Data!G382&lt;&gt;"",Data!H382=""),1,IF(Data!G382="",1,IF(ISNUMBER(MATCH(Data!H382,Data_Val!$D$2:$D$35,0)),0,1))))</f>
        <v/>
      </c>
      <c r="I392" s="38" t="str">
        <f>IF(Data!G382="","",IF(Data!G382=Data_Val!$C$2,IF(Data!I382="",0,1),0))</f>
        <v/>
      </c>
      <c r="J392" s="38" t="str">
        <f>IF(Data!I382="","",IF(ISNUMBER(MATCH(Data!J382,Data_Val!$A$2:$A$3,0)),0,1))</f>
        <v/>
      </c>
      <c r="K392" s="38" t="str">
        <f ca="1">IF(Data!I382="","",IF(ISNUMBER(Data!K382),IF(AND(Data!K382&gt;(TODAY()-(Data_Val!$K$3*365.25)),Data!K382&lt;=(TODAY()-(Data_Val!$K$2*365.25))),0,1),1))</f>
        <v/>
      </c>
      <c r="L392" s="16" t="str">
        <f>IF(Data!G382="","",IF(Data!G382=Data_Val!$C$2,IF(Data!L382="",0,1),0))</f>
        <v/>
      </c>
      <c r="M392" s="16" t="str">
        <f>IF(Data!L382="","",IF(ISNUMBER(MATCH(Data!M382,Data_Val!$A$2:$A$3,0)),0,1))</f>
        <v/>
      </c>
      <c r="N392" s="43" t="str">
        <f ca="1">IF(Data!L382="","",IF(ISNUMBER(Data!N382),IF(AND(Data!N382&gt;(TODAY()-(Data_Val!$L$3*365.25)),Data!N382&lt;=(TODAY()-(Data_Val!$L$2*365.25))),0,1),1))</f>
        <v/>
      </c>
      <c r="O392" s="18" t="str">
        <f>IF(Data!$G382="","",IF(Data!$G382=Data_Val!$C$2,IF(Data!O382="",0,1),0))</f>
        <v/>
      </c>
      <c r="P392" s="18" t="str">
        <f>IF(Data!O382="","",IF(ISNUMBER(MATCH(Data!P382,Data_Val!$A$2:$A$3,0)),0,1))</f>
        <v/>
      </c>
      <c r="Q392" s="44" t="str">
        <f ca="1">IF(Data!O382="","",IF(ISNUMBER(Data!Q382),IF(AND(Data!Q382&gt;(TODAY()-(Data_Val!$L$3*365.25)),Data!Q382&lt;=(TODAY()-(Data_Val!$L$2*365.25))),0,1),1))</f>
        <v/>
      </c>
    </row>
    <row r="393" spans="1:17" ht="12" customHeight="1" x14ac:dyDescent="0.25">
      <c r="A393" s="36" t="str">
        <f>IF(Data!B383="","",IF(COUNTIFS(Data!A$1:'Data'!A383,Data!A383)&lt;=1,0,1))</f>
        <v/>
      </c>
      <c r="B393" s="36"/>
      <c r="C393" s="36" t="str">
        <f>IF(Data!C383="","",(IF(ISNUMBER(MATCH("*@*.?*",Data!C383,0)),0,1)+IF(COUNTIFS(Data!C$1:'Data'!C383,Data!C383)&gt;1,1,0)))</f>
        <v/>
      </c>
      <c r="D393" s="36" t="str">
        <f>IF(Data!B383="","",IF(ISNUMBER(Data!D383),IF(AND(Data!D383&gt;999999999,Data!D383&lt;=9999999999),IF(COUNTIFS(Data!D$1:'Data'!D383,Data!D383)&lt;=1,0,1),1),1))</f>
        <v/>
      </c>
      <c r="E393" s="36" t="str">
        <f>IF(Data!B383="","",IF(ISNUMBER(MATCH(Data!E383,Data_Val!$A$2:$A$3,0)),0,1))</f>
        <v/>
      </c>
      <c r="F393" s="36" t="str">
        <f ca="1">IF(Data!B383="","",IF(ISNUMBER(Data!F383),IF(AND(Data!F383&gt;(TODAY()-(Data_Val!$H$3*365.25)),Data!F383&lt;=(TODAY()-(Data_Val!$H$2*365.25))),0,1),1))</f>
        <v/>
      </c>
      <c r="G393" s="12" t="str">
        <f>IF(Data!B383="","",IF(AND(Data!G383="",Data!H383&lt;&gt;""),1,IF(ISNUMBER(MATCH(Data!G383,Data_Val!$C$2:$C$5,0)),0,1)))</f>
        <v/>
      </c>
      <c r="H393" s="12" t="str">
        <f>IF(Data!B383="","",IF(AND(Data!G383&lt;&gt;"",Data!H383=""),1,IF(Data!G383="",1,IF(ISNUMBER(MATCH(Data!H383,Data_Val!$D$2:$D$35,0)),0,1))))</f>
        <v/>
      </c>
      <c r="I393" s="38" t="str">
        <f>IF(Data!G383="","",IF(Data!G383=Data_Val!$C$2,IF(Data!I383="",0,1),0))</f>
        <v/>
      </c>
      <c r="J393" s="38" t="str">
        <f>IF(Data!I383="","",IF(ISNUMBER(MATCH(Data!J383,Data_Val!$A$2:$A$3,0)),0,1))</f>
        <v/>
      </c>
      <c r="K393" s="38" t="str">
        <f ca="1">IF(Data!I383="","",IF(ISNUMBER(Data!K383),IF(AND(Data!K383&gt;(TODAY()-(Data_Val!$K$3*365.25)),Data!K383&lt;=(TODAY()-(Data_Val!$K$2*365.25))),0,1),1))</f>
        <v/>
      </c>
      <c r="L393" s="16" t="str">
        <f>IF(Data!G383="","",IF(Data!G383=Data_Val!$C$2,IF(Data!L383="",0,1),0))</f>
        <v/>
      </c>
      <c r="M393" s="16" t="str">
        <f>IF(Data!L383="","",IF(ISNUMBER(MATCH(Data!M383,Data_Val!$A$2:$A$3,0)),0,1))</f>
        <v/>
      </c>
      <c r="N393" s="43" t="str">
        <f ca="1">IF(Data!L383="","",IF(ISNUMBER(Data!N383),IF(AND(Data!N383&gt;(TODAY()-(Data_Val!$L$3*365.25)),Data!N383&lt;=(TODAY()-(Data_Val!$L$2*365.25))),0,1),1))</f>
        <v/>
      </c>
      <c r="O393" s="18" t="str">
        <f>IF(Data!$G383="","",IF(Data!$G383=Data_Val!$C$2,IF(Data!O383="",0,1),0))</f>
        <v/>
      </c>
      <c r="P393" s="18" t="str">
        <f>IF(Data!O383="","",IF(ISNUMBER(MATCH(Data!P383,Data_Val!$A$2:$A$3,0)),0,1))</f>
        <v/>
      </c>
      <c r="Q393" s="44" t="str">
        <f ca="1">IF(Data!O383="","",IF(ISNUMBER(Data!Q383),IF(AND(Data!Q383&gt;(TODAY()-(Data_Val!$L$3*365.25)),Data!Q383&lt;=(TODAY()-(Data_Val!$L$2*365.25))),0,1),1))</f>
        <v/>
      </c>
    </row>
    <row r="394" spans="1:17" ht="12" customHeight="1" x14ac:dyDescent="0.25">
      <c r="A394" s="36" t="str">
        <f>IF(Data!B384="","",IF(COUNTIFS(Data!A$1:'Data'!A384,Data!A384)&lt;=1,0,1))</f>
        <v/>
      </c>
      <c r="B394" s="36"/>
      <c r="C394" s="36" t="str">
        <f>IF(Data!C384="","",(IF(ISNUMBER(MATCH("*@*.?*",Data!C384,0)),0,1)+IF(COUNTIFS(Data!C$1:'Data'!C384,Data!C384)&gt;1,1,0)))</f>
        <v/>
      </c>
      <c r="D394" s="36" t="str">
        <f>IF(Data!B384="","",IF(ISNUMBER(Data!D384),IF(AND(Data!D384&gt;999999999,Data!D384&lt;=9999999999),IF(COUNTIFS(Data!D$1:'Data'!D384,Data!D384)&lt;=1,0,1),1),1))</f>
        <v/>
      </c>
      <c r="E394" s="36" t="str">
        <f>IF(Data!B384="","",IF(ISNUMBER(MATCH(Data!E384,Data_Val!$A$2:$A$3,0)),0,1))</f>
        <v/>
      </c>
      <c r="F394" s="36" t="str">
        <f ca="1">IF(Data!B384="","",IF(ISNUMBER(Data!F384),IF(AND(Data!F384&gt;(TODAY()-(Data_Val!$H$3*365.25)),Data!F384&lt;=(TODAY()-(Data_Val!$H$2*365.25))),0,1),1))</f>
        <v/>
      </c>
      <c r="G394" s="12" t="str">
        <f>IF(Data!B384="","",IF(AND(Data!G384="",Data!H384&lt;&gt;""),1,IF(ISNUMBER(MATCH(Data!G384,Data_Val!$C$2:$C$5,0)),0,1)))</f>
        <v/>
      </c>
      <c r="H394" s="12" t="str">
        <f>IF(Data!B384="","",IF(AND(Data!G384&lt;&gt;"",Data!H384=""),1,IF(Data!G384="",1,IF(ISNUMBER(MATCH(Data!H384,Data_Val!$D$2:$D$35,0)),0,1))))</f>
        <v/>
      </c>
      <c r="I394" s="38" t="str">
        <f>IF(Data!G384="","",IF(Data!G384=Data_Val!$C$2,IF(Data!I384="",0,1),0))</f>
        <v/>
      </c>
      <c r="J394" s="38" t="str">
        <f>IF(Data!I384="","",IF(ISNUMBER(MATCH(Data!J384,Data_Val!$A$2:$A$3,0)),0,1))</f>
        <v/>
      </c>
      <c r="K394" s="38" t="str">
        <f ca="1">IF(Data!I384="","",IF(ISNUMBER(Data!K384),IF(AND(Data!K384&gt;(TODAY()-(Data_Val!$K$3*365.25)),Data!K384&lt;=(TODAY()-(Data_Val!$K$2*365.25))),0,1),1))</f>
        <v/>
      </c>
      <c r="L394" s="16" t="str">
        <f>IF(Data!G384="","",IF(Data!G384=Data_Val!$C$2,IF(Data!L384="",0,1),0))</f>
        <v/>
      </c>
      <c r="M394" s="16" t="str">
        <f>IF(Data!L384="","",IF(ISNUMBER(MATCH(Data!M384,Data_Val!$A$2:$A$3,0)),0,1))</f>
        <v/>
      </c>
      <c r="N394" s="43" t="str">
        <f ca="1">IF(Data!L384="","",IF(ISNUMBER(Data!N384),IF(AND(Data!N384&gt;(TODAY()-(Data_Val!$L$3*365.25)),Data!N384&lt;=(TODAY()-(Data_Val!$L$2*365.25))),0,1),1))</f>
        <v/>
      </c>
      <c r="O394" s="18" t="str">
        <f>IF(Data!$G384="","",IF(Data!$G384=Data_Val!$C$2,IF(Data!O384="",0,1),0))</f>
        <v/>
      </c>
      <c r="P394" s="18" t="str">
        <f>IF(Data!O384="","",IF(ISNUMBER(MATCH(Data!P384,Data_Val!$A$2:$A$3,0)),0,1))</f>
        <v/>
      </c>
      <c r="Q394" s="44" t="str">
        <f ca="1">IF(Data!O384="","",IF(ISNUMBER(Data!Q384),IF(AND(Data!Q384&gt;(TODAY()-(Data_Val!$L$3*365.25)),Data!Q384&lt;=(TODAY()-(Data_Val!$L$2*365.25))),0,1),1))</f>
        <v/>
      </c>
    </row>
    <row r="395" spans="1:17" ht="12" customHeight="1" x14ac:dyDescent="0.25">
      <c r="A395" s="36" t="str">
        <f>IF(Data!B385="","",IF(COUNTIFS(Data!A$1:'Data'!A385,Data!A385)&lt;=1,0,1))</f>
        <v/>
      </c>
      <c r="B395" s="36"/>
      <c r="C395" s="36" t="str">
        <f>IF(Data!C385="","",(IF(ISNUMBER(MATCH("*@*.?*",Data!C385,0)),0,1)+IF(COUNTIFS(Data!C$1:'Data'!C385,Data!C385)&gt;1,1,0)))</f>
        <v/>
      </c>
      <c r="D395" s="36" t="str">
        <f>IF(Data!B385="","",IF(ISNUMBER(Data!D385),IF(AND(Data!D385&gt;999999999,Data!D385&lt;=9999999999),IF(COUNTIFS(Data!D$1:'Data'!D385,Data!D385)&lt;=1,0,1),1),1))</f>
        <v/>
      </c>
      <c r="E395" s="36" t="str">
        <f>IF(Data!B385="","",IF(ISNUMBER(MATCH(Data!E385,Data_Val!$A$2:$A$3,0)),0,1))</f>
        <v/>
      </c>
      <c r="F395" s="36" t="str">
        <f ca="1">IF(Data!B385="","",IF(ISNUMBER(Data!F385),IF(AND(Data!F385&gt;(TODAY()-(Data_Val!$H$3*365.25)),Data!F385&lt;=(TODAY()-(Data_Val!$H$2*365.25))),0,1),1))</f>
        <v/>
      </c>
      <c r="G395" s="12" t="str">
        <f>IF(Data!B385="","",IF(AND(Data!G385="",Data!H385&lt;&gt;""),1,IF(ISNUMBER(MATCH(Data!G385,Data_Val!$C$2:$C$5,0)),0,1)))</f>
        <v/>
      </c>
      <c r="H395" s="12" t="str">
        <f>IF(Data!B385="","",IF(AND(Data!G385&lt;&gt;"",Data!H385=""),1,IF(Data!G385="",1,IF(ISNUMBER(MATCH(Data!H385,Data_Val!$D$2:$D$35,0)),0,1))))</f>
        <v/>
      </c>
      <c r="I395" s="38" t="str">
        <f>IF(Data!G385="","",IF(Data!G385=Data_Val!$C$2,IF(Data!I385="",0,1),0))</f>
        <v/>
      </c>
      <c r="J395" s="38" t="str">
        <f>IF(Data!I385="","",IF(ISNUMBER(MATCH(Data!J385,Data_Val!$A$2:$A$3,0)),0,1))</f>
        <v/>
      </c>
      <c r="K395" s="38" t="str">
        <f ca="1">IF(Data!I385="","",IF(ISNUMBER(Data!K385),IF(AND(Data!K385&gt;(TODAY()-(Data_Val!$K$3*365.25)),Data!K385&lt;=(TODAY()-(Data_Val!$K$2*365.25))),0,1),1))</f>
        <v/>
      </c>
      <c r="L395" s="16" t="str">
        <f>IF(Data!G385="","",IF(Data!G385=Data_Val!$C$2,IF(Data!L385="",0,1),0))</f>
        <v/>
      </c>
      <c r="M395" s="16" t="str">
        <f>IF(Data!L385="","",IF(ISNUMBER(MATCH(Data!M385,Data_Val!$A$2:$A$3,0)),0,1))</f>
        <v/>
      </c>
      <c r="N395" s="43" t="str">
        <f ca="1">IF(Data!L385="","",IF(ISNUMBER(Data!N385),IF(AND(Data!N385&gt;(TODAY()-(Data_Val!$L$3*365.25)),Data!N385&lt;=(TODAY()-(Data_Val!$L$2*365.25))),0,1),1))</f>
        <v/>
      </c>
      <c r="O395" s="18" t="str">
        <f>IF(Data!$G385="","",IF(Data!$G385=Data_Val!$C$2,IF(Data!O385="",0,1),0))</f>
        <v/>
      </c>
      <c r="P395" s="18" t="str">
        <f>IF(Data!O385="","",IF(ISNUMBER(MATCH(Data!P385,Data_Val!$A$2:$A$3,0)),0,1))</f>
        <v/>
      </c>
      <c r="Q395" s="44" t="str">
        <f ca="1">IF(Data!O385="","",IF(ISNUMBER(Data!Q385),IF(AND(Data!Q385&gt;(TODAY()-(Data_Val!$L$3*365.25)),Data!Q385&lt;=(TODAY()-(Data_Val!$L$2*365.25))),0,1),1))</f>
        <v/>
      </c>
    </row>
    <row r="396" spans="1:17" ht="12" customHeight="1" x14ac:dyDescent="0.25">
      <c r="A396" s="36" t="str">
        <f>IF(Data!B386="","",IF(COUNTIFS(Data!A$1:'Data'!A386,Data!A386)&lt;=1,0,1))</f>
        <v/>
      </c>
      <c r="B396" s="36"/>
      <c r="C396" s="36" t="str">
        <f>IF(Data!C386="","",(IF(ISNUMBER(MATCH("*@*.?*",Data!C386,0)),0,1)+IF(COUNTIFS(Data!C$1:'Data'!C386,Data!C386)&gt;1,1,0)))</f>
        <v/>
      </c>
      <c r="D396" s="36" t="str">
        <f>IF(Data!B386="","",IF(ISNUMBER(Data!D386),IF(AND(Data!D386&gt;999999999,Data!D386&lt;=9999999999),IF(COUNTIFS(Data!D$1:'Data'!D386,Data!D386)&lt;=1,0,1),1),1))</f>
        <v/>
      </c>
      <c r="E396" s="36" t="str">
        <f>IF(Data!B386="","",IF(ISNUMBER(MATCH(Data!E386,Data_Val!$A$2:$A$3,0)),0,1))</f>
        <v/>
      </c>
      <c r="F396" s="36" t="str">
        <f ca="1">IF(Data!B386="","",IF(ISNUMBER(Data!F386),IF(AND(Data!F386&gt;(TODAY()-(Data_Val!$H$3*365.25)),Data!F386&lt;=(TODAY()-(Data_Val!$H$2*365.25))),0,1),1))</f>
        <v/>
      </c>
      <c r="G396" s="12" t="str">
        <f>IF(Data!B386="","",IF(AND(Data!G386="",Data!H386&lt;&gt;""),1,IF(ISNUMBER(MATCH(Data!G386,Data_Val!$C$2:$C$5,0)),0,1)))</f>
        <v/>
      </c>
      <c r="H396" s="12" t="str">
        <f>IF(Data!B386="","",IF(AND(Data!G386&lt;&gt;"",Data!H386=""),1,IF(Data!G386="",1,IF(ISNUMBER(MATCH(Data!H386,Data_Val!$D$2:$D$35,0)),0,1))))</f>
        <v/>
      </c>
      <c r="I396" s="38" t="str">
        <f>IF(Data!G386="","",IF(Data!G386=Data_Val!$C$2,IF(Data!I386="",0,1),0))</f>
        <v/>
      </c>
      <c r="J396" s="38" t="str">
        <f>IF(Data!I386="","",IF(ISNUMBER(MATCH(Data!J386,Data_Val!$A$2:$A$3,0)),0,1))</f>
        <v/>
      </c>
      <c r="K396" s="38" t="str">
        <f ca="1">IF(Data!I386="","",IF(ISNUMBER(Data!K386),IF(AND(Data!K386&gt;(TODAY()-(Data_Val!$K$3*365.25)),Data!K386&lt;=(TODAY()-(Data_Val!$K$2*365.25))),0,1),1))</f>
        <v/>
      </c>
      <c r="L396" s="16" t="str">
        <f>IF(Data!G386="","",IF(Data!G386=Data_Val!$C$2,IF(Data!L386="",0,1),0))</f>
        <v/>
      </c>
      <c r="M396" s="16" t="str">
        <f>IF(Data!L386="","",IF(ISNUMBER(MATCH(Data!M386,Data_Val!$A$2:$A$3,0)),0,1))</f>
        <v/>
      </c>
      <c r="N396" s="43" t="str">
        <f ca="1">IF(Data!L386="","",IF(ISNUMBER(Data!N386),IF(AND(Data!N386&gt;(TODAY()-(Data_Val!$L$3*365.25)),Data!N386&lt;=(TODAY()-(Data_Val!$L$2*365.25))),0,1),1))</f>
        <v/>
      </c>
      <c r="O396" s="18" t="str">
        <f>IF(Data!$G386="","",IF(Data!$G386=Data_Val!$C$2,IF(Data!O386="",0,1),0))</f>
        <v/>
      </c>
      <c r="P396" s="18" t="str">
        <f>IF(Data!O386="","",IF(ISNUMBER(MATCH(Data!P386,Data_Val!$A$2:$A$3,0)),0,1))</f>
        <v/>
      </c>
      <c r="Q396" s="44" t="str">
        <f ca="1">IF(Data!O386="","",IF(ISNUMBER(Data!Q386),IF(AND(Data!Q386&gt;(TODAY()-(Data_Val!$L$3*365.25)),Data!Q386&lt;=(TODAY()-(Data_Val!$L$2*365.25))),0,1),1))</f>
        <v/>
      </c>
    </row>
    <row r="397" spans="1:17" ht="12" customHeight="1" x14ac:dyDescent="0.25">
      <c r="A397" s="36" t="str">
        <f>IF(Data!B387="","",IF(COUNTIFS(Data!A$1:'Data'!A387,Data!A387)&lt;=1,0,1))</f>
        <v/>
      </c>
      <c r="B397" s="36"/>
      <c r="C397" s="36" t="str">
        <f>IF(Data!C387="","",(IF(ISNUMBER(MATCH("*@*.?*",Data!C387,0)),0,1)+IF(COUNTIFS(Data!C$1:'Data'!C387,Data!C387)&gt;1,1,0)))</f>
        <v/>
      </c>
      <c r="D397" s="36" t="str">
        <f>IF(Data!B387="","",IF(ISNUMBER(Data!D387),IF(AND(Data!D387&gt;999999999,Data!D387&lt;=9999999999),IF(COUNTIFS(Data!D$1:'Data'!D387,Data!D387)&lt;=1,0,1),1),1))</f>
        <v/>
      </c>
      <c r="E397" s="36" t="str">
        <f>IF(Data!B387="","",IF(ISNUMBER(MATCH(Data!E387,Data_Val!$A$2:$A$3,0)),0,1))</f>
        <v/>
      </c>
      <c r="F397" s="36" t="str">
        <f ca="1">IF(Data!B387="","",IF(ISNUMBER(Data!F387),IF(AND(Data!F387&gt;(TODAY()-(Data_Val!$H$3*365.25)),Data!F387&lt;=(TODAY()-(Data_Val!$H$2*365.25))),0,1),1))</f>
        <v/>
      </c>
      <c r="G397" s="12" t="str">
        <f>IF(Data!B387="","",IF(AND(Data!G387="",Data!H387&lt;&gt;""),1,IF(ISNUMBER(MATCH(Data!G387,Data_Val!$C$2:$C$5,0)),0,1)))</f>
        <v/>
      </c>
      <c r="H397" s="12" t="str">
        <f>IF(Data!B387="","",IF(AND(Data!G387&lt;&gt;"",Data!H387=""),1,IF(Data!G387="",1,IF(ISNUMBER(MATCH(Data!H387,Data_Val!$D$2:$D$35,0)),0,1))))</f>
        <v/>
      </c>
      <c r="I397" s="38" t="str">
        <f>IF(Data!G387="","",IF(Data!G387=Data_Val!$C$2,IF(Data!I387="",0,1),0))</f>
        <v/>
      </c>
      <c r="J397" s="38" t="str">
        <f>IF(Data!I387="","",IF(ISNUMBER(MATCH(Data!J387,Data_Val!$A$2:$A$3,0)),0,1))</f>
        <v/>
      </c>
      <c r="K397" s="38" t="str">
        <f ca="1">IF(Data!I387="","",IF(ISNUMBER(Data!K387),IF(AND(Data!K387&gt;(TODAY()-(Data_Val!$K$3*365.25)),Data!K387&lt;=(TODAY()-(Data_Val!$K$2*365.25))),0,1),1))</f>
        <v/>
      </c>
      <c r="L397" s="16" t="str">
        <f>IF(Data!G387="","",IF(Data!G387=Data_Val!$C$2,IF(Data!L387="",0,1),0))</f>
        <v/>
      </c>
      <c r="M397" s="16" t="str">
        <f>IF(Data!L387="","",IF(ISNUMBER(MATCH(Data!M387,Data_Val!$A$2:$A$3,0)),0,1))</f>
        <v/>
      </c>
      <c r="N397" s="43" t="str">
        <f ca="1">IF(Data!L387="","",IF(ISNUMBER(Data!N387),IF(AND(Data!N387&gt;(TODAY()-(Data_Val!$L$3*365.25)),Data!N387&lt;=(TODAY()-(Data_Val!$L$2*365.25))),0,1),1))</f>
        <v/>
      </c>
      <c r="O397" s="18" t="str">
        <f>IF(Data!$G387="","",IF(Data!$G387=Data_Val!$C$2,IF(Data!O387="",0,1),0))</f>
        <v/>
      </c>
      <c r="P397" s="18" t="str">
        <f>IF(Data!O387="","",IF(ISNUMBER(MATCH(Data!P387,Data_Val!$A$2:$A$3,0)),0,1))</f>
        <v/>
      </c>
      <c r="Q397" s="44" t="str">
        <f ca="1">IF(Data!O387="","",IF(ISNUMBER(Data!Q387),IF(AND(Data!Q387&gt;(TODAY()-(Data_Val!$L$3*365.25)),Data!Q387&lt;=(TODAY()-(Data_Val!$L$2*365.25))),0,1),1))</f>
        <v/>
      </c>
    </row>
    <row r="398" spans="1:17" ht="12" customHeight="1" x14ac:dyDescent="0.25">
      <c r="A398" s="36" t="str">
        <f>IF(Data!B388="","",IF(COUNTIFS(Data!A$1:'Data'!A388,Data!A388)&lt;=1,0,1))</f>
        <v/>
      </c>
      <c r="B398" s="36"/>
      <c r="C398" s="36" t="str">
        <f>IF(Data!C388="","",(IF(ISNUMBER(MATCH("*@*.?*",Data!C388,0)),0,1)+IF(COUNTIFS(Data!C$1:'Data'!C388,Data!C388)&gt;1,1,0)))</f>
        <v/>
      </c>
      <c r="D398" s="36" t="str">
        <f>IF(Data!B388="","",IF(ISNUMBER(Data!D388),IF(AND(Data!D388&gt;999999999,Data!D388&lt;=9999999999),IF(COUNTIFS(Data!D$1:'Data'!D388,Data!D388)&lt;=1,0,1),1),1))</f>
        <v/>
      </c>
      <c r="E398" s="36" t="str">
        <f>IF(Data!B388="","",IF(ISNUMBER(MATCH(Data!E388,Data_Val!$A$2:$A$3,0)),0,1))</f>
        <v/>
      </c>
      <c r="F398" s="36" t="str">
        <f ca="1">IF(Data!B388="","",IF(ISNUMBER(Data!F388),IF(AND(Data!F388&gt;(TODAY()-(Data_Val!$H$3*365.25)),Data!F388&lt;=(TODAY()-(Data_Val!$H$2*365.25))),0,1),1))</f>
        <v/>
      </c>
      <c r="G398" s="12" t="str">
        <f>IF(Data!B388="","",IF(AND(Data!G388="",Data!H388&lt;&gt;""),1,IF(ISNUMBER(MATCH(Data!G388,Data_Val!$C$2:$C$5,0)),0,1)))</f>
        <v/>
      </c>
      <c r="H398" s="12" t="str">
        <f>IF(Data!B388="","",IF(AND(Data!G388&lt;&gt;"",Data!H388=""),1,IF(Data!G388="",1,IF(ISNUMBER(MATCH(Data!H388,Data_Val!$D$2:$D$35,0)),0,1))))</f>
        <v/>
      </c>
      <c r="I398" s="38" t="str">
        <f>IF(Data!G388="","",IF(Data!G388=Data_Val!$C$2,IF(Data!I388="",0,1),0))</f>
        <v/>
      </c>
      <c r="J398" s="38" t="str">
        <f>IF(Data!I388="","",IF(ISNUMBER(MATCH(Data!J388,Data_Val!$A$2:$A$3,0)),0,1))</f>
        <v/>
      </c>
      <c r="K398" s="38" t="str">
        <f ca="1">IF(Data!I388="","",IF(ISNUMBER(Data!K388),IF(AND(Data!K388&gt;(TODAY()-(Data_Val!$K$3*365.25)),Data!K388&lt;=(TODAY()-(Data_Val!$K$2*365.25))),0,1),1))</f>
        <v/>
      </c>
      <c r="L398" s="16" t="str">
        <f>IF(Data!G388="","",IF(Data!G388=Data_Val!$C$2,IF(Data!L388="",0,1),0))</f>
        <v/>
      </c>
      <c r="M398" s="16" t="str">
        <f>IF(Data!L388="","",IF(ISNUMBER(MATCH(Data!M388,Data_Val!$A$2:$A$3,0)),0,1))</f>
        <v/>
      </c>
      <c r="N398" s="43" t="str">
        <f ca="1">IF(Data!L388="","",IF(ISNUMBER(Data!N388),IF(AND(Data!N388&gt;(TODAY()-(Data_Val!$L$3*365.25)),Data!N388&lt;=(TODAY()-(Data_Val!$L$2*365.25))),0,1),1))</f>
        <v/>
      </c>
      <c r="O398" s="18" t="str">
        <f>IF(Data!$G388="","",IF(Data!$G388=Data_Val!$C$2,IF(Data!O388="",0,1),0))</f>
        <v/>
      </c>
      <c r="P398" s="18" t="str">
        <f>IF(Data!O388="","",IF(ISNUMBER(MATCH(Data!P388,Data_Val!$A$2:$A$3,0)),0,1))</f>
        <v/>
      </c>
      <c r="Q398" s="44" t="str">
        <f ca="1">IF(Data!O388="","",IF(ISNUMBER(Data!Q388),IF(AND(Data!Q388&gt;(TODAY()-(Data_Val!$L$3*365.25)),Data!Q388&lt;=(TODAY()-(Data_Val!$L$2*365.25))),0,1),1))</f>
        <v/>
      </c>
    </row>
    <row r="399" spans="1:17" ht="12" customHeight="1" x14ac:dyDescent="0.25">
      <c r="A399" s="36" t="str">
        <f>IF(Data!B389="","",IF(COUNTIFS(Data!A$1:'Data'!A389,Data!A389)&lt;=1,0,1))</f>
        <v/>
      </c>
      <c r="B399" s="36"/>
      <c r="C399" s="36" t="str">
        <f>IF(Data!C389="","",(IF(ISNUMBER(MATCH("*@*.?*",Data!C389,0)),0,1)+IF(COUNTIFS(Data!C$1:'Data'!C389,Data!C389)&gt;1,1,0)))</f>
        <v/>
      </c>
      <c r="D399" s="36" t="str">
        <f>IF(Data!B389="","",IF(ISNUMBER(Data!D389),IF(AND(Data!D389&gt;999999999,Data!D389&lt;=9999999999),IF(COUNTIFS(Data!D$1:'Data'!D389,Data!D389)&lt;=1,0,1),1),1))</f>
        <v/>
      </c>
      <c r="E399" s="36" t="str">
        <f>IF(Data!B389="","",IF(ISNUMBER(MATCH(Data!E389,Data_Val!$A$2:$A$3,0)),0,1))</f>
        <v/>
      </c>
      <c r="F399" s="36" t="str">
        <f ca="1">IF(Data!B389="","",IF(ISNUMBER(Data!F389),IF(AND(Data!F389&gt;(TODAY()-(Data_Val!$H$3*365.25)),Data!F389&lt;=(TODAY()-(Data_Val!$H$2*365.25))),0,1),1))</f>
        <v/>
      </c>
      <c r="G399" s="12" t="str">
        <f>IF(Data!B389="","",IF(AND(Data!G389="",Data!H389&lt;&gt;""),1,IF(ISNUMBER(MATCH(Data!G389,Data_Val!$C$2:$C$5,0)),0,1)))</f>
        <v/>
      </c>
      <c r="H399" s="12" t="str">
        <f>IF(Data!B389="","",IF(AND(Data!G389&lt;&gt;"",Data!H389=""),1,IF(Data!G389="",1,IF(ISNUMBER(MATCH(Data!H389,Data_Val!$D$2:$D$35,0)),0,1))))</f>
        <v/>
      </c>
      <c r="I399" s="38" t="str">
        <f>IF(Data!G389="","",IF(Data!G389=Data_Val!$C$2,IF(Data!I389="",0,1),0))</f>
        <v/>
      </c>
      <c r="J399" s="38" t="str">
        <f>IF(Data!I389="","",IF(ISNUMBER(MATCH(Data!J389,Data_Val!$A$2:$A$3,0)),0,1))</f>
        <v/>
      </c>
      <c r="K399" s="38" t="str">
        <f ca="1">IF(Data!I389="","",IF(ISNUMBER(Data!K389),IF(AND(Data!K389&gt;(TODAY()-(Data_Val!$K$3*365.25)),Data!K389&lt;=(TODAY()-(Data_Val!$K$2*365.25))),0,1),1))</f>
        <v/>
      </c>
      <c r="L399" s="16" t="str">
        <f>IF(Data!G389="","",IF(Data!G389=Data_Val!$C$2,IF(Data!L389="",0,1),0))</f>
        <v/>
      </c>
      <c r="M399" s="16" t="str">
        <f>IF(Data!L389="","",IF(ISNUMBER(MATCH(Data!M389,Data_Val!$A$2:$A$3,0)),0,1))</f>
        <v/>
      </c>
      <c r="N399" s="43" t="str">
        <f ca="1">IF(Data!L389="","",IF(ISNUMBER(Data!N389),IF(AND(Data!N389&gt;(TODAY()-(Data_Val!$L$3*365.25)),Data!N389&lt;=(TODAY()-(Data_Val!$L$2*365.25))),0,1),1))</f>
        <v/>
      </c>
      <c r="O399" s="18" t="str">
        <f>IF(Data!$G389="","",IF(Data!$G389=Data_Val!$C$2,IF(Data!O389="",0,1),0))</f>
        <v/>
      </c>
      <c r="P399" s="18" t="str">
        <f>IF(Data!O389="","",IF(ISNUMBER(MATCH(Data!P389,Data_Val!$A$2:$A$3,0)),0,1))</f>
        <v/>
      </c>
      <c r="Q399" s="44" t="str">
        <f ca="1">IF(Data!O389="","",IF(ISNUMBER(Data!Q389),IF(AND(Data!Q389&gt;(TODAY()-(Data_Val!$L$3*365.25)),Data!Q389&lt;=(TODAY()-(Data_Val!$L$2*365.25))),0,1),1))</f>
        <v/>
      </c>
    </row>
    <row r="400" spans="1:17" ht="12" customHeight="1" x14ac:dyDescent="0.25">
      <c r="A400" s="36" t="str">
        <f>IF(Data!B390="","",IF(COUNTIFS(Data!A$1:'Data'!A390,Data!A390)&lt;=1,0,1))</f>
        <v/>
      </c>
      <c r="B400" s="36"/>
      <c r="C400" s="36" t="str">
        <f>IF(Data!C390="","",(IF(ISNUMBER(MATCH("*@*.?*",Data!C390,0)),0,1)+IF(COUNTIFS(Data!C$1:'Data'!C390,Data!C390)&gt;1,1,0)))</f>
        <v/>
      </c>
      <c r="D400" s="36" t="str">
        <f>IF(Data!B390="","",IF(ISNUMBER(Data!D390),IF(AND(Data!D390&gt;999999999,Data!D390&lt;=9999999999),IF(COUNTIFS(Data!D$1:'Data'!D390,Data!D390)&lt;=1,0,1),1),1))</f>
        <v/>
      </c>
      <c r="E400" s="36" t="str">
        <f>IF(Data!B390="","",IF(ISNUMBER(MATCH(Data!E390,Data_Val!$A$2:$A$3,0)),0,1))</f>
        <v/>
      </c>
      <c r="F400" s="36" t="str">
        <f ca="1">IF(Data!B390="","",IF(ISNUMBER(Data!F390),IF(AND(Data!F390&gt;(TODAY()-(Data_Val!$H$3*365.25)),Data!F390&lt;=(TODAY()-(Data_Val!$H$2*365.25))),0,1),1))</f>
        <v/>
      </c>
      <c r="G400" s="12" t="str">
        <f>IF(Data!B390="","",IF(AND(Data!G390="",Data!H390&lt;&gt;""),1,IF(ISNUMBER(MATCH(Data!G390,Data_Val!$C$2:$C$5,0)),0,1)))</f>
        <v/>
      </c>
      <c r="H400" s="12" t="str">
        <f>IF(Data!B390="","",IF(AND(Data!G390&lt;&gt;"",Data!H390=""),1,IF(Data!G390="",1,IF(ISNUMBER(MATCH(Data!H390,Data_Val!$D$2:$D$35,0)),0,1))))</f>
        <v/>
      </c>
      <c r="I400" s="38" t="str">
        <f>IF(Data!G390="","",IF(Data!G390=Data_Val!$C$2,IF(Data!I390="",0,1),0))</f>
        <v/>
      </c>
      <c r="J400" s="38" t="str">
        <f>IF(Data!I390="","",IF(ISNUMBER(MATCH(Data!J390,Data_Val!$A$2:$A$3,0)),0,1))</f>
        <v/>
      </c>
      <c r="K400" s="38" t="str">
        <f ca="1">IF(Data!I390="","",IF(ISNUMBER(Data!K390),IF(AND(Data!K390&gt;(TODAY()-(Data_Val!$K$3*365.25)),Data!K390&lt;=(TODAY()-(Data_Val!$K$2*365.25))),0,1),1))</f>
        <v/>
      </c>
      <c r="L400" s="16" t="str">
        <f>IF(Data!G390="","",IF(Data!G390=Data_Val!$C$2,IF(Data!L390="",0,1),0))</f>
        <v/>
      </c>
      <c r="M400" s="16" t="str">
        <f>IF(Data!L390="","",IF(ISNUMBER(MATCH(Data!M390,Data_Val!$A$2:$A$3,0)),0,1))</f>
        <v/>
      </c>
      <c r="N400" s="43" t="str">
        <f ca="1">IF(Data!L390="","",IF(ISNUMBER(Data!N390),IF(AND(Data!N390&gt;(TODAY()-(Data_Val!$L$3*365.25)),Data!N390&lt;=(TODAY()-(Data_Val!$L$2*365.25))),0,1),1))</f>
        <v/>
      </c>
      <c r="O400" s="18" t="str">
        <f>IF(Data!$G390="","",IF(Data!$G390=Data_Val!$C$2,IF(Data!O390="",0,1),0))</f>
        <v/>
      </c>
      <c r="P400" s="18" t="str">
        <f>IF(Data!O390="","",IF(ISNUMBER(MATCH(Data!P390,Data_Val!$A$2:$A$3,0)),0,1))</f>
        <v/>
      </c>
      <c r="Q400" s="44" t="str">
        <f ca="1">IF(Data!O390="","",IF(ISNUMBER(Data!Q390),IF(AND(Data!Q390&gt;(TODAY()-(Data_Val!$L$3*365.25)),Data!Q390&lt;=(TODAY()-(Data_Val!$L$2*365.25))),0,1),1))</f>
        <v/>
      </c>
    </row>
    <row r="401" spans="1:17" ht="12" customHeight="1" x14ac:dyDescent="0.25">
      <c r="A401" s="36" t="str">
        <f>IF(Data!B391="","",IF(COUNTIFS(Data!A$1:'Data'!A391,Data!A391)&lt;=1,0,1))</f>
        <v/>
      </c>
      <c r="B401" s="36"/>
      <c r="C401" s="36" t="str">
        <f>IF(Data!C391="","",(IF(ISNUMBER(MATCH("*@*.?*",Data!C391,0)),0,1)+IF(COUNTIFS(Data!C$1:'Data'!C391,Data!C391)&gt;1,1,0)))</f>
        <v/>
      </c>
      <c r="D401" s="36" t="str">
        <f>IF(Data!B391="","",IF(ISNUMBER(Data!D391),IF(AND(Data!D391&gt;999999999,Data!D391&lt;=9999999999),IF(COUNTIFS(Data!D$1:'Data'!D391,Data!D391)&lt;=1,0,1),1),1))</f>
        <v/>
      </c>
      <c r="E401" s="36" t="str">
        <f>IF(Data!B391="","",IF(ISNUMBER(MATCH(Data!E391,Data_Val!$A$2:$A$3,0)),0,1))</f>
        <v/>
      </c>
      <c r="F401" s="36" t="str">
        <f ca="1">IF(Data!B391="","",IF(ISNUMBER(Data!F391),IF(AND(Data!F391&gt;(TODAY()-(Data_Val!$H$3*365.25)),Data!F391&lt;=(TODAY()-(Data_Val!$H$2*365.25))),0,1),1))</f>
        <v/>
      </c>
      <c r="G401" s="12" t="str">
        <f>IF(Data!B391="","",IF(AND(Data!G391="",Data!H391&lt;&gt;""),1,IF(ISNUMBER(MATCH(Data!G391,Data_Val!$C$2:$C$5,0)),0,1)))</f>
        <v/>
      </c>
      <c r="H401" s="12" t="str">
        <f>IF(Data!B391="","",IF(AND(Data!G391&lt;&gt;"",Data!H391=""),1,IF(Data!G391="",1,IF(ISNUMBER(MATCH(Data!H391,Data_Val!$D$2:$D$35,0)),0,1))))</f>
        <v/>
      </c>
      <c r="I401" s="38" t="str">
        <f>IF(Data!G391="","",IF(Data!G391=Data_Val!$C$2,IF(Data!I391="",0,1),0))</f>
        <v/>
      </c>
      <c r="J401" s="38" t="str">
        <f>IF(Data!I391="","",IF(ISNUMBER(MATCH(Data!J391,Data_Val!$A$2:$A$3,0)),0,1))</f>
        <v/>
      </c>
      <c r="K401" s="38" t="str">
        <f ca="1">IF(Data!I391="","",IF(ISNUMBER(Data!K391),IF(AND(Data!K391&gt;(TODAY()-(Data_Val!$K$3*365.25)),Data!K391&lt;=(TODAY()-(Data_Val!$K$2*365.25))),0,1),1))</f>
        <v/>
      </c>
      <c r="L401" s="16" t="str">
        <f>IF(Data!G391="","",IF(Data!G391=Data_Val!$C$2,IF(Data!L391="",0,1),0))</f>
        <v/>
      </c>
      <c r="M401" s="16" t="str">
        <f>IF(Data!L391="","",IF(ISNUMBER(MATCH(Data!M391,Data_Val!$A$2:$A$3,0)),0,1))</f>
        <v/>
      </c>
      <c r="N401" s="43" t="str">
        <f ca="1">IF(Data!L391="","",IF(ISNUMBER(Data!N391),IF(AND(Data!N391&gt;(TODAY()-(Data_Val!$L$3*365.25)),Data!N391&lt;=(TODAY()-(Data_Val!$L$2*365.25))),0,1),1))</f>
        <v/>
      </c>
      <c r="O401" s="18" t="str">
        <f>IF(Data!$G391="","",IF(Data!$G391=Data_Val!$C$2,IF(Data!O391="",0,1),0))</f>
        <v/>
      </c>
      <c r="P401" s="18" t="str">
        <f>IF(Data!O391="","",IF(ISNUMBER(MATCH(Data!P391,Data_Val!$A$2:$A$3,0)),0,1))</f>
        <v/>
      </c>
      <c r="Q401" s="44" t="str">
        <f ca="1">IF(Data!O391="","",IF(ISNUMBER(Data!Q391),IF(AND(Data!Q391&gt;(TODAY()-(Data_Val!$L$3*365.25)),Data!Q391&lt;=(TODAY()-(Data_Val!$L$2*365.25))),0,1),1))</f>
        <v/>
      </c>
    </row>
    <row r="402" spans="1:17" ht="12" customHeight="1" x14ac:dyDescent="0.25">
      <c r="A402" s="36" t="str">
        <f>IF(Data!B392="","",IF(COUNTIFS(Data!A$1:'Data'!A392,Data!A392)&lt;=1,0,1))</f>
        <v/>
      </c>
      <c r="B402" s="36"/>
      <c r="C402" s="36" t="str">
        <f>IF(Data!C392="","",(IF(ISNUMBER(MATCH("*@*.?*",Data!C392,0)),0,1)+IF(COUNTIFS(Data!C$1:'Data'!C392,Data!C392)&gt;1,1,0)))</f>
        <v/>
      </c>
      <c r="D402" s="36" t="str">
        <f>IF(Data!B392="","",IF(ISNUMBER(Data!D392),IF(AND(Data!D392&gt;999999999,Data!D392&lt;=9999999999),IF(COUNTIFS(Data!D$1:'Data'!D392,Data!D392)&lt;=1,0,1),1),1))</f>
        <v/>
      </c>
      <c r="E402" s="36" t="str">
        <f>IF(Data!B392="","",IF(ISNUMBER(MATCH(Data!E392,Data_Val!$A$2:$A$3,0)),0,1))</f>
        <v/>
      </c>
      <c r="F402" s="36" t="str">
        <f ca="1">IF(Data!B392="","",IF(ISNUMBER(Data!F392),IF(AND(Data!F392&gt;(TODAY()-(Data_Val!$H$3*365.25)),Data!F392&lt;=(TODAY()-(Data_Val!$H$2*365.25))),0,1),1))</f>
        <v/>
      </c>
      <c r="G402" s="12" t="str">
        <f>IF(Data!B392="","",IF(AND(Data!G392="",Data!H392&lt;&gt;""),1,IF(ISNUMBER(MATCH(Data!G392,Data_Val!$C$2:$C$5,0)),0,1)))</f>
        <v/>
      </c>
      <c r="H402" s="12" t="str">
        <f>IF(Data!B392="","",IF(AND(Data!G392&lt;&gt;"",Data!H392=""),1,IF(Data!G392="",1,IF(ISNUMBER(MATCH(Data!H392,Data_Val!$D$2:$D$35,0)),0,1))))</f>
        <v/>
      </c>
      <c r="I402" s="38" t="str">
        <f>IF(Data!G392="","",IF(Data!G392=Data_Val!$C$2,IF(Data!I392="",0,1),0))</f>
        <v/>
      </c>
      <c r="J402" s="38" t="str">
        <f>IF(Data!I392="","",IF(ISNUMBER(MATCH(Data!J392,Data_Val!$A$2:$A$3,0)),0,1))</f>
        <v/>
      </c>
      <c r="K402" s="38" t="str">
        <f ca="1">IF(Data!I392="","",IF(ISNUMBER(Data!K392),IF(AND(Data!K392&gt;(TODAY()-(Data_Val!$K$3*365.25)),Data!K392&lt;=(TODAY()-(Data_Val!$K$2*365.25))),0,1),1))</f>
        <v/>
      </c>
      <c r="L402" s="16" t="str">
        <f>IF(Data!G392="","",IF(Data!G392=Data_Val!$C$2,IF(Data!L392="",0,1),0))</f>
        <v/>
      </c>
      <c r="M402" s="16" t="str">
        <f>IF(Data!L392="","",IF(ISNUMBER(MATCH(Data!M392,Data_Val!$A$2:$A$3,0)),0,1))</f>
        <v/>
      </c>
      <c r="N402" s="43" t="str">
        <f ca="1">IF(Data!L392="","",IF(ISNUMBER(Data!N392),IF(AND(Data!N392&gt;(TODAY()-(Data_Val!$L$3*365.25)),Data!N392&lt;=(TODAY()-(Data_Val!$L$2*365.25))),0,1),1))</f>
        <v/>
      </c>
      <c r="O402" s="18" t="str">
        <f>IF(Data!$G392="","",IF(Data!$G392=Data_Val!$C$2,IF(Data!O392="",0,1),0))</f>
        <v/>
      </c>
      <c r="P402" s="18" t="str">
        <f>IF(Data!O392="","",IF(ISNUMBER(MATCH(Data!P392,Data_Val!$A$2:$A$3,0)),0,1))</f>
        <v/>
      </c>
      <c r="Q402" s="44" t="str">
        <f ca="1">IF(Data!O392="","",IF(ISNUMBER(Data!Q392),IF(AND(Data!Q392&gt;(TODAY()-(Data_Val!$L$3*365.25)),Data!Q392&lt;=(TODAY()-(Data_Val!$L$2*365.25))),0,1),1))</f>
        <v/>
      </c>
    </row>
    <row r="403" spans="1:17" ht="12" customHeight="1" x14ac:dyDescent="0.25">
      <c r="A403" s="36" t="str">
        <f>IF(Data!B393="","",IF(COUNTIFS(Data!A$1:'Data'!A393,Data!A393)&lt;=1,0,1))</f>
        <v/>
      </c>
      <c r="B403" s="36"/>
      <c r="C403" s="36" t="str">
        <f>IF(Data!C393="","",(IF(ISNUMBER(MATCH("*@*.?*",Data!C393,0)),0,1)+IF(COUNTIFS(Data!C$1:'Data'!C393,Data!C393)&gt;1,1,0)))</f>
        <v/>
      </c>
      <c r="D403" s="36" t="str">
        <f>IF(Data!B393="","",IF(ISNUMBER(Data!D393),IF(AND(Data!D393&gt;999999999,Data!D393&lt;=9999999999),IF(COUNTIFS(Data!D$1:'Data'!D393,Data!D393)&lt;=1,0,1),1),1))</f>
        <v/>
      </c>
      <c r="E403" s="36" t="str">
        <f>IF(Data!B393="","",IF(ISNUMBER(MATCH(Data!E393,Data_Val!$A$2:$A$3,0)),0,1))</f>
        <v/>
      </c>
      <c r="F403" s="36" t="str">
        <f ca="1">IF(Data!B393="","",IF(ISNUMBER(Data!F393),IF(AND(Data!F393&gt;(TODAY()-(Data_Val!$H$3*365.25)),Data!F393&lt;=(TODAY()-(Data_Val!$H$2*365.25))),0,1),1))</f>
        <v/>
      </c>
      <c r="G403" s="12" t="str">
        <f>IF(Data!B393="","",IF(AND(Data!G393="",Data!H393&lt;&gt;""),1,IF(ISNUMBER(MATCH(Data!G393,Data_Val!$C$2:$C$5,0)),0,1)))</f>
        <v/>
      </c>
      <c r="H403" s="12" t="str">
        <f>IF(Data!B393="","",IF(AND(Data!G393&lt;&gt;"",Data!H393=""),1,IF(Data!G393="",1,IF(ISNUMBER(MATCH(Data!H393,Data_Val!$D$2:$D$35,0)),0,1))))</f>
        <v/>
      </c>
      <c r="I403" s="38" t="str">
        <f>IF(Data!G393="","",IF(Data!G393=Data_Val!$C$2,IF(Data!I393="",0,1),0))</f>
        <v/>
      </c>
      <c r="J403" s="38" t="str">
        <f>IF(Data!I393="","",IF(ISNUMBER(MATCH(Data!J393,Data_Val!$A$2:$A$3,0)),0,1))</f>
        <v/>
      </c>
      <c r="K403" s="38" t="str">
        <f ca="1">IF(Data!I393="","",IF(ISNUMBER(Data!K393),IF(AND(Data!K393&gt;(TODAY()-(Data_Val!$K$3*365.25)),Data!K393&lt;=(TODAY()-(Data_Val!$K$2*365.25))),0,1),1))</f>
        <v/>
      </c>
      <c r="L403" s="16" t="str">
        <f>IF(Data!G393="","",IF(Data!G393=Data_Val!$C$2,IF(Data!L393="",0,1),0))</f>
        <v/>
      </c>
      <c r="M403" s="16" t="str">
        <f>IF(Data!L393="","",IF(ISNUMBER(MATCH(Data!M393,Data_Val!$A$2:$A$3,0)),0,1))</f>
        <v/>
      </c>
      <c r="N403" s="43" t="str">
        <f ca="1">IF(Data!L393="","",IF(ISNUMBER(Data!N393),IF(AND(Data!N393&gt;(TODAY()-(Data_Val!$L$3*365.25)),Data!N393&lt;=(TODAY()-(Data_Val!$L$2*365.25))),0,1),1))</f>
        <v/>
      </c>
      <c r="O403" s="18" t="str">
        <f>IF(Data!$G393="","",IF(Data!$G393=Data_Val!$C$2,IF(Data!O393="",0,1),0))</f>
        <v/>
      </c>
      <c r="P403" s="18" t="str">
        <f>IF(Data!O393="","",IF(ISNUMBER(MATCH(Data!P393,Data_Val!$A$2:$A$3,0)),0,1))</f>
        <v/>
      </c>
      <c r="Q403" s="44" t="str">
        <f ca="1">IF(Data!O393="","",IF(ISNUMBER(Data!Q393),IF(AND(Data!Q393&gt;(TODAY()-(Data_Val!$L$3*365.25)),Data!Q393&lt;=(TODAY()-(Data_Val!$L$2*365.25))),0,1),1))</f>
        <v/>
      </c>
    </row>
    <row r="404" spans="1:17" ht="12" customHeight="1" x14ac:dyDescent="0.25">
      <c r="A404" s="36" t="str">
        <f>IF(Data!B394="","",IF(COUNTIFS(Data!A$1:'Data'!A394,Data!A394)&lt;=1,0,1))</f>
        <v/>
      </c>
      <c r="B404" s="36"/>
      <c r="C404" s="36" t="str">
        <f>IF(Data!C394="","",(IF(ISNUMBER(MATCH("*@*.?*",Data!C394,0)),0,1)+IF(COUNTIFS(Data!C$1:'Data'!C394,Data!C394)&gt;1,1,0)))</f>
        <v/>
      </c>
      <c r="D404" s="36" t="str">
        <f>IF(Data!B394="","",IF(ISNUMBER(Data!D394),IF(AND(Data!D394&gt;999999999,Data!D394&lt;=9999999999),IF(COUNTIFS(Data!D$1:'Data'!D394,Data!D394)&lt;=1,0,1),1),1))</f>
        <v/>
      </c>
      <c r="E404" s="36" t="str">
        <f>IF(Data!B394="","",IF(ISNUMBER(MATCH(Data!E394,Data_Val!$A$2:$A$3,0)),0,1))</f>
        <v/>
      </c>
      <c r="F404" s="36" t="str">
        <f ca="1">IF(Data!B394="","",IF(ISNUMBER(Data!F394),IF(AND(Data!F394&gt;(TODAY()-(Data_Val!$H$3*365.25)),Data!F394&lt;=(TODAY()-(Data_Val!$H$2*365.25))),0,1),1))</f>
        <v/>
      </c>
      <c r="G404" s="12" t="str">
        <f>IF(Data!B394="","",IF(AND(Data!G394="",Data!H394&lt;&gt;""),1,IF(ISNUMBER(MATCH(Data!G394,Data_Val!$C$2:$C$5,0)),0,1)))</f>
        <v/>
      </c>
      <c r="H404" s="12" t="str">
        <f>IF(Data!B394="","",IF(AND(Data!G394&lt;&gt;"",Data!H394=""),1,IF(Data!G394="",1,IF(ISNUMBER(MATCH(Data!H394,Data_Val!$D$2:$D$35,0)),0,1))))</f>
        <v/>
      </c>
      <c r="I404" s="38" t="str">
        <f>IF(Data!G394="","",IF(Data!G394=Data_Val!$C$2,IF(Data!I394="",0,1),0))</f>
        <v/>
      </c>
      <c r="J404" s="38" t="str">
        <f>IF(Data!I394="","",IF(ISNUMBER(MATCH(Data!J394,Data_Val!$A$2:$A$3,0)),0,1))</f>
        <v/>
      </c>
      <c r="K404" s="38" t="str">
        <f ca="1">IF(Data!I394="","",IF(ISNUMBER(Data!K394),IF(AND(Data!K394&gt;(TODAY()-(Data_Val!$K$3*365.25)),Data!K394&lt;=(TODAY()-(Data_Val!$K$2*365.25))),0,1),1))</f>
        <v/>
      </c>
      <c r="L404" s="16" t="str">
        <f>IF(Data!G394="","",IF(Data!G394=Data_Val!$C$2,IF(Data!L394="",0,1),0))</f>
        <v/>
      </c>
      <c r="M404" s="16" t="str">
        <f>IF(Data!L394="","",IF(ISNUMBER(MATCH(Data!M394,Data_Val!$A$2:$A$3,0)),0,1))</f>
        <v/>
      </c>
      <c r="N404" s="43" t="str">
        <f ca="1">IF(Data!L394="","",IF(ISNUMBER(Data!N394),IF(AND(Data!N394&gt;(TODAY()-(Data_Val!$L$3*365.25)),Data!N394&lt;=(TODAY()-(Data_Val!$L$2*365.25))),0,1),1))</f>
        <v/>
      </c>
      <c r="O404" s="18" t="str">
        <f>IF(Data!$G394="","",IF(Data!$G394=Data_Val!$C$2,IF(Data!O394="",0,1),0))</f>
        <v/>
      </c>
      <c r="P404" s="18" t="str">
        <f>IF(Data!O394="","",IF(ISNUMBER(MATCH(Data!P394,Data_Val!$A$2:$A$3,0)),0,1))</f>
        <v/>
      </c>
      <c r="Q404" s="44" t="str">
        <f ca="1">IF(Data!O394="","",IF(ISNUMBER(Data!Q394),IF(AND(Data!Q394&gt;(TODAY()-(Data_Val!$L$3*365.25)),Data!Q394&lt;=(TODAY()-(Data_Val!$L$2*365.25))),0,1),1))</f>
        <v/>
      </c>
    </row>
    <row r="405" spans="1:17" ht="12" customHeight="1" x14ac:dyDescent="0.25">
      <c r="A405" s="36" t="str">
        <f>IF(Data!B395="","",IF(COUNTIFS(Data!A$1:'Data'!A395,Data!A395)&lt;=1,0,1))</f>
        <v/>
      </c>
      <c r="B405" s="36"/>
      <c r="C405" s="36" t="str">
        <f>IF(Data!C395="","",(IF(ISNUMBER(MATCH("*@*.?*",Data!C395,0)),0,1)+IF(COUNTIFS(Data!C$1:'Data'!C395,Data!C395)&gt;1,1,0)))</f>
        <v/>
      </c>
      <c r="D405" s="36" t="str">
        <f>IF(Data!B395="","",IF(ISNUMBER(Data!D395),IF(AND(Data!D395&gt;999999999,Data!D395&lt;=9999999999),IF(COUNTIFS(Data!D$1:'Data'!D395,Data!D395)&lt;=1,0,1),1),1))</f>
        <v/>
      </c>
      <c r="E405" s="36" t="str">
        <f>IF(Data!B395="","",IF(ISNUMBER(MATCH(Data!E395,Data_Val!$A$2:$A$3,0)),0,1))</f>
        <v/>
      </c>
      <c r="F405" s="36" t="str">
        <f ca="1">IF(Data!B395="","",IF(ISNUMBER(Data!F395),IF(AND(Data!F395&gt;(TODAY()-(Data_Val!$H$3*365.25)),Data!F395&lt;=(TODAY()-(Data_Val!$H$2*365.25))),0,1),1))</f>
        <v/>
      </c>
      <c r="G405" s="12" t="str">
        <f>IF(Data!B395="","",IF(AND(Data!G395="",Data!H395&lt;&gt;""),1,IF(ISNUMBER(MATCH(Data!G395,Data_Val!$C$2:$C$5,0)),0,1)))</f>
        <v/>
      </c>
      <c r="H405" s="12" t="str">
        <f>IF(Data!B395="","",IF(AND(Data!G395&lt;&gt;"",Data!H395=""),1,IF(Data!G395="",1,IF(ISNUMBER(MATCH(Data!H395,Data_Val!$D$2:$D$35,0)),0,1))))</f>
        <v/>
      </c>
      <c r="I405" s="38" t="str">
        <f>IF(Data!G395="","",IF(Data!G395=Data_Val!$C$2,IF(Data!I395="",0,1),0))</f>
        <v/>
      </c>
      <c r="J405" s="38" t="str">
        <f>IF(Data!I395="","",IF(ISNUMBER(MATCH(Data!J395,Data_Val!$A$2:$A$3,0)),0,1))</f>
        <v/>
      </c>
      <c r="K405" s="38" t="str">
        <f ca="1">IF(Data!I395="","",IF(ISNUMBER(Data!K395),IF(AND(Data!K395&gt;(TODAY()-(Data_Val!$K$3*365.25)),Data!K395&lt;=(TODAY()-(Data_Val!$K$2*365.25))),0,1),1))</f>
        <v/>
      </c>
      <c r="L405" s="16" t="str">
        <f>IF(Data!G395="","",IF(Data!G395=Data_Val!$C$2,IF(Data!L395="",0,1),0))</f>
        <v/>
      </c>
      <c r="M405" s="16" t="str">
        <f>IF(Data!L395="","",IF(ISNUMBER(MATCH(Data!M395,Data_Val!$A$2:$A$3,0)),0,1))</f>
        <v/>
      </c>
      <c r="N405" s="43" t="str">
        <f ca="1">IF(Data!L395="","",IF(ISNUMBER(Data!N395),IF(AND(Data!N395&gt;(TODAY()-(Data_Val!$L$3*365.25)),Data!N395&lt;=(TODAY()-(Data_Val!$L$2*365.25))),0,1),1))</f>
        <v/>
      </c>
      <c r="O405" s="18" t="str">
        <f>IF(Data!$G395="","",IF(Data!$G395=Data_Val!$C$2,IF(Data!O395="",0,1),0))</f>
        <v/>
      </c>
      <c r="P405" s="18" t="str">
        <f>IF(Data!O395="","",IF(ISNUMBER(MATCH(Data!P395,Data_Val!$A$2:$A$3,0)),0,1))</f>
        <v/>
      </c>
      <c r="Q405" s="44" t="str">
        <f ca="1">IF(Data!O395="","",IF(ISNUMBER(Data!Q395),IF(AND(Data!Q395&gt;(TODAY()-(Data_Val!$L$3*365.25)),Data!Q395&lt;=(TODAY()-(Data_Val!$L$2*365.25))),0,1),1))</f>
        <v/>
      </c>
    </row>
    <row r="406" spans="1:17" ht="12" customHeight="1" x14ac:dyDescent="0.25">
      <c r="A406" s="36" t="str">
        <f>IF(Data!B396="","",IF(COUNTIFS(Data!A$1:'Data'!A396,Data!A396)&lt;=1,0,1))</f>
        <v/>
      </c>
      <c r="B406" s="36"/>
      <c r="C406" s="36" t="str">
        <f>IF(Data!C396="","",(IF(ISNUMBER(MATCH("*@*.?*",Data!C396,0)),0,1)+IF(COUNTIFS(Data!C$1:'Data'!C396,Data!C396)&gt;1,1,0)))</f>
        <v/>
      </c>
      <c r="D406" s="36" t="str">
        <f>IF(Data!B396="","",IF(ISNUMBER(Data!D396),IF(AND(Data!D396&gt;999999999,Data!D396&lt;=9999999999),IF(COUNTIFS(Data!D$1:'Data'!D396,Data!D396)&lt;=1,0,1),1),1))</f>
        <v/>
      </c>
      <c r="E406" s="36" t="str">
        <f>IF(Data!B396="","",IF(ISNUMBER(MATCH(Data!E396,Data_Val!$A$2:$A$3,0)),0,1))</f>
        <v/>
      </c>
      <c r="F406" s="36" t="str">
        <f ca="1">IF(Data!B396="","",IF(ISNUMBER(Data!F396),IF(AND(Data!F396&gt;(TODAY()-(Data_Val!$H$3*365.25)),Data!F396&lt;=(TODAY()-(Data_Val!$H$2*365.25))),0,1),1))</f>
        <v/>
      </c>
      <c r="G406" s="12" t="str">
        <f>IF(Data!B396="","",IF(AND(Data!G396="",Data!H396&lt;&gt;""),1,IF(ISNUMBER(MATCH(Data!G396,Data_Val!$C$2:$C$5,0)),0,1)))</f>
        <v/>
      </c>
      <c r="H406" s="12" t="str">
        <f>IF(Data!B396="","",IF(AND(Data!G396&lt;&gt;"",Data!H396=""),1,IF(Data!G396="",1,IF(ISNUMBER(MATCH(Data!H396,Data_Val!$D$2:$D$35,0)),0,1))))</f>
        <v/>
      </c>
      <c r="I406" s="38" t="str">
        <f>IF(Data!G396="","",IF(Data!G396=Data_Val!$C$2,IF(Data!I396="",0,1),0))</f>
        <v/>
      </c>
      <c r="J406" s="38" t="str">
        <f>IF(Data!I396="","",IF(ISNUMBER(MATCH(Data!J396,Data_Val!$A$2:$A$3,0)),0,1))</f>
        <v/>
      </c>
      <c r="K406" s="38" t="str">
        <f ca="1">IF(Data!I396="","",IF(ISNUMBER(Data!K396),IF(AND(Data!K396&gt;(TODAY()-(Data_Val!$K$3*365.25)),Data!K396&lt;=(TODAY()-(Data_Val!$K$2*365.25))),0,1),1))</f>
        <v/>
      </c>
      <c r="L406" s="16" t="str">
        <f>IF(Data!G396="","",IF(Data!G396=Data_Val!$C$2,IF(Data!L396="",0,1),0))</f>
        <v/>
      </c>
      <c r="M406" s="16" t="str">
        <f>IF(Data!L396="","",IF(ISNUMBER(MATCH(Data!M396,Data_Val!$A$2:$A$3,0)),0,1))</f>
        <v/>
      </c>
      <c r="N406" s="43" t="str">
        <f ca="1">IF(Data!L396="","",IF(ISNUMBER(Data!N396),IF(AND(Data!N396&gt;(TODAY()-(Data_Val!$L$3*365.25)),Data!N396&lt;=(TODAY()-(Data_Val!$L$2*365.25))),0,1),1))</f>
        <v/>
      </c>
      <c r="O406" s="18" t="str">
        <f>IF(Data!$G396="","",IF(Data!$G396=Data_Val!$C$2,IF(Data!O396="",0,1),0))</f>
        <v/>
      </c>
      <c r="P406" s="18" t="str">
        <f>IF(Data!O396="","",IF(ISNUMBER(MATCH(Data!P396,Data_Val!$A$2:$A$3,0)),0,1))</f>
        <v/>
      </c>
      <c r="Q406" s="44" t="str">
        <f ca="1">IF(Data!O396="","",IF(ISNUMBER(Data!Q396),IF(AND(Data!Q396&gt;(TODAY()-(Data_Val!$L$3*365.25)),Data!Q396&lt;=(TODAY()-(Data_Val!$L$2*365.25))),0,1),1))</f>
        <v/>
      </c>
    </row>
    <row r="407" spans="1:17" ht="12" customHeight="1" x14ac:dyDescent="0.25">
      <c r="A407" s="36" t="str">
        <f>IF(Data!B397="","",IF(COUNTIFS(Data!A$1:'Data'!A397,Data!A397)&lt;=1,0,1))</f>
        <v/>
      </c>
      <c r="B407" s="36"/>
      <c r="C407" s="36" t="str">
        <f>IF(Data!C397="","",(IF(ISNUMBER(MATCH("*@*.?*",Data!C397,0)),0,1)+IF(COUNTIFS(Data!C$1:'Data'!C397,Data!C397)&gt;1,1,0)))</f>
        <v/>
      </c>
      <c r="D407" s="36" t="str">
        <f>IF(Data!B397="","",IF(ISNUMBER(Data!D397),IF(AND(Data!D397&gt;999999999,Data!D397&lt;=9999999999),IF(COUNTIFS(Data!D$1:'Data'!D397,Data!D397)&lt;=1,0,1),1),1))</f>
        <v/>
      </c>
      <c r="E407" s="36" t="str">
        <f>IF(Data!B397="","",IF(ISNUMBER(MATCH(Data!E397,Data_Val!$A$2:$A$3,0)),0,1))</f>
        <v/>
      </c>
      <c r="F407" s="36" t="str">
        <f ca="1">IF(Data!B397="","",IF(ISNUMBER(Data!F397),IF(AND(Data!F397&gt;(TODAY()-(Data_Val!$H$3*365.25)),Data!F397&lt;=(TODAY()-(Data_Val!$H$2*365.25))),0,1),1))</f>
        <v/>
      </c>
      <c r="G407" s="12" t="str">
        <f>IF(Data!B397="","",IF(AND(Data!G397="",Data!H397&lt;&gt;""),1,IF(ISNUMBER(MATCH(Data!G397,Data_Val!$C$2:$C$5,0)),0,1)))</f>
        <v/>
      </c>
      <c r="H407" s="12" t="str">
        <f>IF(Data!B397="","",IF(AND(Data!G397&lt;&gt;"",Data!H397=""),1,IF(Data!G397="",1,IF(ISNUMBER(MATCH(Data!H397,Data_Val!$D$2:$D$35,0)),0,1))))</f>
        <v/>
      </c>
      <c r="I407" s="38" t="str">
        <f>IF(Data!G397="","",IF(Data!G397=Data_Val!$C$2,IF(Data!I397="",0,1),0))</f>
        <v/>
      </c>
      <c r="J407" s="38" t="str">
        <f>IF(Data!I397="","",IF(ISNUMBER(MATCH(Data!J397,Data_Val!$A$2:$A$3,0)),0,1))</f>
        <v/>
      </c>
      <c r="K407" s="38" t="str">
        <f ca="1">IF(Data!I397="","",IF(ISNUMBER(Data!K397),IF(AND(Data!K397&gt;(TODAY()-(Data_Val!$K$3*365.25)),Data!K397&lt;=(TODAY()-(Data_Val!$K$2*365.25))),0,1),1))</f>
        <v/>
      </c>
      <c r="L407" s="16" t="str">
        <f>IF(Data!G397="","",IF(Data!G397=Data_Val!$C$2,IF(Data!L397="",0,1),0))</f>
        <v/>
      </c>
      <c r="M407" s="16" t="str">
        <f>IF(Data!L397="","",IF(ISNUMBER(MATCH(Data!M397,Data_Val!$A$2:$A$3,0)),0,1))</f>
        <v/>
      </c>
      <c r="N407" s="43" t="str">
        <f ca="1">IF(Data!L397="","",IF(ISNUMBER(Data!N397),IF(AND(Data!N397&gt;(TODAY()-(Data_Val!$L$3*365.25)),Data!N397&lt;=(TODAY()-(Data_Val!$L$2*365.25))),0,1),1))</f>
        <v/>
      </c>
      <c r="O407" s="18" t="str">
        <f>IF(Data!$G397="","",IF(Data!$G397=Data_Val!$C$2,IF(Data!O397="",0,1),0))</f>
        <v/>
      </c>
      <c r="P407" s="18" t="str">
        <f>IF(Data!O397="","",IF(ISNUMBER(MATCH(Data!P397,Data_Val!$A$2:$A$3,0)),0,1))</f>
        <v/>
      </c>
      <c r="Q407" s="44" t="str">
        <f ca="1">IF(Data!O397="","",IF(ISNUMBER(Data!Q397),IF(AND(Data!Q397&gt;(TODAY()-(Data_Val!$L$3*365.25)),Data!Q397&lt;=(TODAY()-(Data_Val!$L$2*365.25))),0,1),1))</f>
        <v/>
      </c>
    </row>
    <row r="408" spans="1:17" ht="12" customHeight="1" x14ac:dyDescent="0.25">
      <c r="A408" s="36" t="str">
        <f>IF(Data!B398="","",IF(COUNTIFS(Data!A$1:'Data'!A398,Data!A398)&lt;=1,0,1))</f>
        <v/>
      </c>
      <c r="B408" s="36"/>
      <c r="C408" s="36" t="str">
        <f>IF(Data!C398="","",(IF(ISNUMBER(MATCH("*@*.?*",Data!C398,0)),0,1)+IF(COUNTIFS(Data!C$1:'Data'!C398,Data!C398)&gt;1,1,0)))</f>
        <v/>
      </c>
      <c r="D408" s="36" t="str">
        <f>IF(Data!B398="","",IF(ISNUMBER(Data!D398),IF(AND(Data!D398&gt;999999999,Data!D398&lt;=9999999999),IF(COUNTIFS(Data!D$1:'Data'!D398,Data!D398)&lt;=1,0,1),1),1))</f>
        <v/>
      </c>
      <c r="E408" s="36" t="str">
        <f>IF(Data!B398="","",IF(ISNUMBER(MATCH(Data!E398,Data_Val!$A$2:$A$3,0)),0,1))</f>
        <v/>
      </c>
      <c r="F408" s="36" t="str">
        <f ca="1">IF(Data!B398="","",IF(ISNUMBER(Data!F398),IF(AND(Data!F398&gt;(TODAY()-(Data_Val!$H$3*365.25)),Data!F398&lt;=(TODAY()-(Data_Val!$H$2*365.25))),0,1),1))</f>
        <v/>
      </c>
      <c r="G408" s="12" t="str">
        <f>IF(Data!B398="","",IF(AND(Data!G398="",Data!H398&lt;&gt;""),1,IF(ISNUMBER(MATCH(Data!G398,Data_Val!$C$2:$C$5,0)),0,1)))</f>
        <v/>
      </c>
      <c r="H408" s="12" t="str">
        <f>IF(Data!B398="","",IF(AND(Data!G398&lt;&gt;"",Data!H398=""),1,IF(Data!G398="",1,IF(ISNUMBER(MATCH(Data!H398,Data_Val!$D$2:$D$35,0)),0,1))))</f>
        <v/>
      </c>
      <c r="I408" s="38" t="str">
        <f>IF(Data!G398="","",IF(Data!G398=Data_Val!$C$2,IF(Data!I398="",0,1),0))</f>
        <v/>
      </c>
      <c r="J408" s="38" t="str">
        <f>IF(Data!I398="","",IF(ISNUMBER(MATCH(Data!J398,Data_Val!$A$2:$A$3,0)),0,1))</f>
        <v/>
      </c>
      <c r="K408" s="38" t="str">
        <f ca="1">IF(Data!I398="","",IF(ISNUMBER(Data!K398),IF(AND(Data!K398&gt;(TODAY()-(Data_Val!$K$3*365.25)),Data!K398&lt;=(TODAY()-(Data_Val!$K$2*365.25))),0,1),1))</f>
        <v/>
      </c>
      <c r="L408" s="16" t="str">
        <f>IF(Data!G398="","",IF(Data!G398=Data_Val!$C$2,IF(Data!L398="",0,1),0))</f>
        <v/>
      </c>
      <c r="M408" s="16" t="str">
        <f>IF(Data!L398="","",IF(ISNUMBER(MATCH(Data!M398,Data_Val!$A$2:$A$3,0)),0,1))</f>
        <v/>
      </c>
      <c r="N408" s="43" t="str">
        <f ca="1">IF(Data!L398="","",IF(ISNUMBER(Data!N398),IF(AND(Data!N398&gt;(TODAY()-(Data_Val!$L$3*365.25)),Data!N398&lt;=(TODAY()-(Data_Val!$L$2*365.25))),0,1),1))</f>
        <v/>
      </c>
      <c r="O408" s="18" t="str">
        <f>IF(Data!$G398="","",IF(Data!$G398=Data_Val!$C$2,IF(Data!O398="",0,1),0))</f>
        <v/>
      </c>
      <c r="P408" s="18" t="str">
        <f>IF(Data!O398="","",IF(ISNUMBER(MATCH(Data!P398,Data_Val!$A$2:$A$3,0)),0,1))</f>
        <v/>
      </c>
      <c r="Q408" s="44" t="str">
        <f ca="1">IF(Data!O398="","",IF(ISNUMBER(Data!Q398),IF(AND(Data!Q398&gt;(TODAY()-(Data_Val!$L$3*365.25)),Data!Q398&lt;=(TODAY()-(Data_Val!$L$2*365.25))),0,1),1))</f>
        <v/>
      </c>
    </row>
    <row r="409" spans="1:17" ht="12" customHeight="1" x14ac:dyDescent="0.25">
      <c r="A409" s="36" t="str">
        <f>IF(Data!B399="","",IF(COUNTIFS(Data!A$1:'Data'!A399,Data!A399)&lt;=1,0,1))</f>
        <v/>
      </c>
      <c r="B409" s="36"/>
      <c r="C409" s="36" t="str">
        <f>IF(Data!C399="","",(IF(ISNUMBER(MATCH("*@*.?*",Data!C399,0)),0,1)+IF(COUNTIFS(Data!C$1:'Data'!C399,Data!C399)&gt;1,1,0)))</f>
        <v/>
      </c>
      <c r="D409" s="36" t="str">
        <f>IF(Data!B399="","",IF(ISNUMBER(Data!D399),IF(AND(Data!D399&gt;999999999,Data!D399&lt;=9999999999),IF(COUNTIFS(Data!D$1:'Data'!D399,Data!D399)&lt;=1,0,1),1),1))</f>
        <v/>
      </c>
      <c r="E409" s="36" t="str">
        <f>IF(Data!B399="","",IF(ISNUMBER(MATCH(Data!E399,Data_Val!$A$2:$A$3,0)),0,1))</f>
        <v/>
      </c>
      <c r="F409" s="36" t="str">
        <f ca="1">IF(Data!B399="","",IF(ISNUMBER(Data!F399),IF(AND(Data!F399&gt;(TODAY()-(Data_Val!$H$3*365.25)),Data!F399&lt;=(TODAY()-(Data_Val!$H$2*365.25))),0,1),1))</f>
        <v/>
      </c>
      <c r="G409" s="12" t="str">
        <f>IF(Data!B399="","",IF(AND(Data!G399="",Data!H399&lt;&gt;""),1,IF(ISNUMBER(MATCH(Data!G399,Data_Val!$C$2:$C$5,0)),0,1)))</f>
        <v/>
      </c>
      <c r="H409" s="12" t="str">
        <f>IF(Data!B399="","",IF(AND(Data!G399&lt;&gt;"",Data!H399=""),1,IF(Data!G399="",1,IF(ISNUMBER(MATCH(Data!H399,Data_Val!$D$2:$D$35,0)),0,1))))</f>
        <v/>
      </c>
      <c r="I409" s="38" t="str">
        <f>IF(Data!G399="","",IF(Data!G399=Data_Val!$C$2,IF(Data!I399="",0,1),0))</f>
        <v/>
      </c>
      <c r="J409" s="38" t="str">
        <f>IF(Data!I399="","",IF(ISNUMBER(MATCH(Data!J399,Data_Val!$A$2:$A$3,0)),0,1))</f>
        <v/>
      </c>
      <c r="K409" s="38" t="str">
        <f ca="1">IF(Data!I399="","",IF(ISNUMBER(Data!K399),IF(AND(Data!K399&gt;(TODAY()-(Data_Val!$K$3*365.25)),Data!K399&lt;=(TODAY()-(Data_Val!$K$2*365.25))),0,1),1))</f>
        <v/>
      </c>
      <c r="L409" s="16" t="str">
        <f>IF(Data!G399="","",IF(Data!G399=Data_Val!$C$2,IF(Data!L399="",0,1),0))</f>
        <v/>
      </c>
      <c r="M409" s="16" t="str">
        <f>IF(Data!L399="","",IF(ISNUMBER(MATCH(Data!M399,Data_Val!$A$2:$A$3,0)),0,1))</f>
        <v/>
      </c>
      <c r="N409" s="43" t="str">
        <f ca="1">IF(Data!L399="","",IF(ISNUMBER(Data!N399),IF(AND(Data!N399&gt;(TODAY()-(Data_Val!$L$3*365.25)),Data!N399&lt;=(TODAY()-(Data_Val!$L$2*365.25))),0,1),1))</f>
        <v/>
      </c>
      <c r="O409" s="18" t="str">
        <f>IF(Data!$G399="","",IF(Data!$G399=Data_Val!$C$2,IF(Data!O399="",0,1),0))</f>
        <v/>
      </c>
      <c r="P409" s="18" t="str">
        <f>IF(Data!O399="","",IF(ISNUMBER(MATCH(Data!P399,Data_Val!$A$2:$A$3,0)),0,1))</f>
        <v/>
      </c>
      <c r="Q409" s="44" t="str">
        <f ca="1">IF(Data!O399="","",IF(ISNUMBER(Data!Q399),IF(AND(Data!Q399&gt;(TODAY()-(Data_Val!$L$3*365.25)),Data!Q399&lt;=(TODAY()-(Data_Val!$L$2*365.25))),0,1),1))</f>
        <v/>
      </c>
    </row>
    <row r="410" spans="1:17" ht="12" customHeight="1" x14ac:dyDescent="0.25">
      <c r="A410" s="36" t="str">
        <f>IF(Data!B400="","",IF(COUNTIFS(Data!A$1:'Data'!A400,Data!A400)&lt;=1,0,1))</f>
        <v/>
      </c>
      <c r="B410" s="36"/>
      <c r="C410" s="36" t="str">
        <f>IF(Data!C400="","",(IF(ISNUMBER(MATCH("*@*.?*",Data!C400,0)),0,1)+IF(COUNTIFS(Data!C$1:'Data'!C400,Data!C400)&gt;1,1,0)))</f>
        <v/>
      </c>
      <c r="D410" s="36" t="str">
        <f>IF(Data!B400="","",IF(ISNUMBER(Data!D400),IF(AND(Data!D400&gt;999999999,Data!D400&lt;=9999999999),IF(COUNTIFS(Data!D$1:'Data'!D400,Data!D400)&lt;=1,0,1),1),1))</f>
        <v/>
      </c>
      <c r="E410" s="36" t="str">
        <f>IF(Data!B400="","",IF(ISNUMBER(MATCH(Data!E400,Data_Val!$A$2:$A$3,0)),0,1))</f>
        <v/>
      </c>
      <c r="F410" s="36" t="str">
        <f ca="1">IF(Data!B400="","",IF(ISNUMBER(Data!F400),IF(AND(Data!F400&gt;(TODAY()-(Data_Val!$H$3*365.25)),Data!F400&lt;=(TODAY()-(Data_Val!$H$2*365.25))),0,1),1))</f>
        <v/>
      </c>
      <c r="G410" s="12" t="str">
        <f>IF(Data!B400="","",IF(AND(Data!G400="",Data!H400&lt;&gt;""),1,IF(ISNUMBER(MATCH(Data!G400,Data_Val!$C$2:$C$5,0)),0,1)))</f>
        <v/>
      </c>
      <c r="H410" s="12" t="str">
        <f>IF(Data!B400="","",IF(AND(Data!G400&lt;&gt;"",Data!H400=""),1,IF(Data!G400="",1,IF(ISNUMBER(MATCH(Data!H400,Data_Val!$D$2:$D$35,0)),0,1))))</f>
        <v/>
      </c>
      <c r="I410" s="38" t="str">
        <f>IF(Data!G400="","",IF(Data!G400=Data_Val!$C$2,IF(Data!I400="",0,1),0))</f>
        <v/>
      </c>
      <c r="J410" s="38" t="str">
        <f>IF(Data!I400="","",IF(ISNUMBER(MATCH(Data!J400,Data_Val!$A$2:$A$3,0)),0,1))</f>
        <v/>
      </c>
      <c r="K410" s="38" t="str">
        <f ca="1">IF(Data!I400="","",IF(ISNUMBER(Data!K400),IF(AND(Data!K400&gt;(TODAY()-(Data_Val!$K$3*365.25)),Data!K400&lt;=(TODAY()-(Data_Val!$K$2*365.25))),0,1),1))</f>
        <v/>
      </c>
      <c r="L410" s="16" t="str">
        <f>IF(Data!G400="","",IF(Data!G400=Data_Val!$C$2,IF(Data!L400="",0,1),0))</f>
        <v/>
      </c>
      <c r="M410" s="16" t="str">
        <f>IF(Data!L400="","",IF(ISNUMBER(MATCH(Data!M400,Data_Val!$A$2:$A$3,0)),0,1))</f>
        <v/>
      </c>
      <c r="N410" s="43" t="str">
        <f ca="1">IF(Data!L400="","",IF(ISNUMBER(Data!N400),IF(AND(Data!N400&gt;(TODAY()-(Data_Val!$L$3*365.25)),Data!N400&lt;=(TODAY()-(Data_Val!$L$2*365.25))),0,1),1))</f>
        <v/>
      </c>
      <c r="O410" s="18" t="str">
        <f>IF(Data!$G400="","",IF(Data!$G400=Data_Val!$C$2,IF(Data!O400="",0,1),0))</f>
        <v/>
      </c>
      <c r="P410" s="18" t="str">
        <f>IF(Data!O400="","",IF(ISNUMBER(MATCH(Data!P400,Data_Val!$A$2:$A$3,0)),0,1))</f>
        <v/>
      </c>
      <c r="Q410" s="44" t="str">
        <f ca="1">IF(Data!O400="","",IF(ISNUMBER(Data!Q400),IF(AND(Data!Q400&gt;(TODAY()-(Data_Val!$L$3*365.25)),Data!Q400&lt;=(TODAY()-(Data_Val!$L$2*365.25))),0,1),1))</f>
        <v/>
      </c>
    </row>
    <row r="411" spans="1:17" ht="12" customHeight="1" x14ac:dyDescent="0.25">
      <c r="A411" s="36" t="str">
        <f>IF(Data!B401="","",IF(COUNTIFS(Data!A$1:'Data'!A401,Data!A401)&lt;=1,0,1))</f>
        <v/>
      </c>
      <c r="B411" s="36"/>
      <c r="C411" s="36" t="str">
        <f>IF(Data!C401="","",(IF(ISNUMBER(MATCH("*@*.?*",Data!C401,0)),0,1)+IF(COUNTIFS(Data!C$1:'Data'!C401,Data!C401)&gt;1,1,0)))</f>
        <v/>
      </c>
      <c r="D411" s="36" t="str">
        <f>IF(Data!B401="","",IF(ISNUMBER(Data!D401),IF(AND(Data!D401&gt;999999999,Data!D401&lt;=9999999999),IF(COUNTIFS(Data!D$1:'Data'!D401,Data!D401)&lt;=1,0,1),1),1))</f>
        <v/>
      </c>
      <c r="E411" s="36" t="str">
        <f>IF(Data!B401="","",IF(ISNUMBER(MATCH(Data!E401,Data_Val!$A$2:$A$3,0)),0,1))</f>
        <v/>
      </c>
      <c r="F411" s="36" t="str">
        <f ca="1">IF(Data!B401="","",IF(ISNUMBER(Data!F401),IF(AND(Data!F401&gt;(TODAY()-(Data_Val!$H$3*365.25)),Data!F401&lt;=(TODAY()-(Data_Val!$H$2*365.25))),0,1),1))</f>
        <v/>
      </c>
      <c r="G411" s="12" t="str">
        <f>IF(Data!B401="","",IF(AND(Data!G401="",Data!H401&lt;&gt;""),1,IF(ISNUMBER(MATCH(Data!G401,Data_Val!$C$2:$C$5,0)),0,1)))</f>
        <v/>
      </c>
      <c r="H411" s="12" t="str">
        <f>IF(Data!B401="","",IF(AND(Data!G401&lt;&gt;"",Data!H401=""),1,IF(Data!G401="",1,IF(ISNUMBER(MATCH(Data!H401,Data_Val!$D$2:$D$35,0)),0,1))))</f>
        <v/>
      </c>
      <c r="I411" s="38" t="str">
        <f>IF(Data!G401="","",IF(Data!G401=Data_Val!$C$2,IF(Data!I401="",0,1),0))</f>
        <v/>
      </c>
      <c r="J411" s="38" t="str">
        <f>IF(Data!I401="","",IF(ISNUMBER(MATCH(Data!J401,Data_Val!$A$2:$A$3,0)),0,1))</f>
        <v/>
      </c>
      <c r="K411" s="38" t="str">
        <f ca="1">IF(Data!I401="","",IF(ISNUMBER(Data!K401),IF(AND(Data!K401&gt;(TODAY()-(Data_Val!$K$3*365.25)),Data!K401&lt;=(TODAY()-(Data_Val!$K$2*365.25))),0,1),1))</f>
        <v/>
      </c>
      <c r="L411" s="16" t="str">
        <f>IF(Data!G401="","",IF(Data!G401=Data_Val!$C$2,IF(Data!L401="",0,1),0))</f>
        <v/>
      </c>
      <c r="M411" s="16" t="str">
        <f>IF(Data!L401="","",IF(ISNUMBER(MATCH(Data!M401,Data_Val!$A$2:$A$3,0)),0,1))</f>
        <v/>
      </c>
      <c r="N411" s="43" t="str">
        <f ca="1">IF(Data!L401="","",IF(ISNUMBER(Data!N401),IF(AND(Data!N401&gt;(TODAY()-(Data_Val!$L$3*365.25)),Data!N401&lt;=(TODAY()-(Data_Val!$L$2*365.25))),0,1),1))</f>
        <v/>
      </c>
      <c r="O411" s="18" t="str">
        <f>IF(Data!$G401="","",IF(Data!$G401=Data_Val!$C$2,IF(Data!O401="",0,1),0))</f>
        <v/>
      </c>
      <c r="P411" s="18" t="str">
        <f>IF(Data!O401="","",IF(ISNUMBER(MATCH(Data!P401,Data_Val!$A$2:$A$3,0)),0,1))</f>
        <v/>
      </c>
      <c r="Q411" s="44" t="str">
        <f ca="1">IF(Data!O401="","",IF(ISNUMBER(Data!Q401),IF(AND(Data!Q401&gt;(TODAY()-(Data_Val!$L$3*365.25)),Data!Q401&lt;=(TODAY()-(Data_Val!$L$2*365.25))),0,1),1))</f>
        <v/>
      </c>
    </row>
    <row r="412" spans="1:17" ht="12" customHeight="1" x14ac:dyDescent="0.25">
      <c r="A412" s="36" t="str">
        <f>IF(Data!B402="","",IF(COUNTIFS(Data!A$1:'Data'!A402,Data!A402)&lt;=1,0,1))</f>
        <v/>
      </c>
      <c r="B412" s="36"/>
      <c r="C412" s="36" t="str">
        <f>IF(Data!C402="","",(IF(ISNUMBER(MATCH("*@*.?*",Data!C402,0)),0,1)+IF(COUNTIFS(Data!C$1:'Data'!C402,Data!C402)&gt;1,1,0)))</f>
        <v/>
      </c>
      <c r="D412" s="36" t="str">
        <f>IF(Data!B402="","",IF(ISNUMBER(Data!D402),IF(AND(Data!D402&gt;999999999,Data!D402&lt;=9999999999),IF(COUNTIFS(Data!D$1:'Data'!D402,Data!D402)&lt;=1,0,1),1),1))</f>
        <v/>
      </c>
      <c r="E412" s="36" t="str">
        <f>IF(Data!B402="","",IF(ISNUMBER(MATCH(Data!E402,Data_Val!$A$2:$A$3,0)),0,1))</f>
        <v/>
      </c>
      <c r="F412" s="36" t="str">
        <f ca="1">IF(Data!B402="","",IF(ISNUMBER(Data!F402),IF(AND(Data!F402&gt;(TODAY()-(Data_Val!$H$3*365.25)),Data!F402&lt;=(TODAY()-(Data_Val!$H$2*365.25))),0,1),1))</f>
        <v/>
      </c>
      <c r="G412" s="12" t="str">
        <f>IF(Data!B402="","",IF(AND(Data!G402="",Data!H402&lt;&gt;""),1,IF(ISNUMBER(MATCH(Data!G402,Data_Val!$C$2:$C$5,0)),0,1)))</f>
        <v/>
      </c>
      <c r="H412" s="12" t="str">
        <f>IF(Data!B402="","",IF(AND(Data!G402&lt;&gt;"",Data!H402=""),1,IF(Data!G402="",1,IF(ISNUMBER(MATCH(Data!H402,Data_Val!$D$2:$D$35,0)),0,1))))</f>
        <v/>
      </c>
      <c r="I412" s="38" t="str">
        <f>IF(Data!G402="","",IF(Data!G402=Data_Val!$C$2,IF(Data!I402="",0,1),0))</f>
        <v/>
      </c>
      <c r="J412" s="38" t="str">
        <f>IF(Data!I402="","",IF(ISNUMBER(MATCH(Data!J402,Data_Val!$A$2:$A$3,0)),0,1))</f>
        <v/>
      </c>
      <c r="K412" s="38" t="str">
        <f ca="1">IF(Data!I402="","",IF(ISNUMBER(Data!K402),IF(AND(Data!K402&gt;(TODAY()-(Data_Val!$K$3*365.25)),Data!K402&lt;=(TODAY()-(Data_Val!$K$2*365.25))),0,1),1))</f>
        <v/>
      </c>
      <c r="L412" s="16" t="str">
        <f>IF(Data!G402="","",IF(Data!G402=Data_Val!$C$2,IF(Data!L402="",0,1),0))</f>
        <v/>
      </c>
      <c r="M412" s="16" t="str">
        <f>IF(Data!L402="","",IF(ISNUMBER(MATCH(Data!M402,Data_Val!$A$2:$A$3,0)),0,1))</f>
        <v/>
      </c>
      <c r="N412" s="43" t="str">
        <f ca="1">IF(Data!L402="","",IF(ISNUMBER(Data!N402),IF(AND(Data!N402&gt;(TODAY()-(Data_Val!$L$3*365.25)),Data!N402&lt;=(TODAY()-(Data_Val!$L$2*365.25))),0,1),1))</f>
        <v/>
      </c>
      <c r="O412" s="18" t="str">
        <f>IF(Data!$G402="","",IF(Data!$G402=Data_Val!$C$2,IF(Data!O402="",0,1),0))</f>
        <v/>
      </c>
      <c r="P412" s="18" t="str">
        <f>IF(Data!O402="","",IF(ISNUMBER(MATCH(Data!P402,Data_Val!$A$2:$A$3,0)),0,1))</f>
        <v/>
      </c>
      <c r="Q412" s="44" t="str">
        <f ca="1">IF(Data!O402="","",IF(ISNUMBER(Data!Q402),IF(AND(Data!Q402&gt;(TODAY()-(Data_Val!$L$3*365.25)),Data!Q402&lt;=(TODAY()-(Data_Val!$L$2*365.25))),0,1),1))</f>
        <v/>
      </c>
    </row>
    <row r="413" spans="1:17" ht="12" customHeight="1" x14ac:dyDescent="0.25">
      <c r="A413" s="36" t="str">
        <f>IF(Data!B403="","",IF(COUNTIFS(Data!A$1:'Data'!A403,Data!A403)&lt;=1,0,1))</f>
        <v/>
      </c>
      <c r="B413" s="36"/>
      <c r="C413" s="36" t="str">
        <f>IF(Data!C403="","",(IF(ISNUMBER(MATCH("*@*.?*",Data!C403,0)),0,1)+IF(COUNTIFS(Data!C$1:'Data'!C403,Data!C403)&gt;1,1,0)))</f>
        <v/>
      </c>
      <c r="D413" s="36" t="str">
        <f>IF(Data!B403="","",IF(ISNUMBER(Data!D403),IF(AND(Data!D403&gt;999999999,Data!D403&lt;=9999999999),IF(COUNTIFS(Data!D$1:'Data'!D403,Data!D403)&lt;=1,0,1),1),1))</f>
        <v/>
      </c>
      <c r="E413" s="36" t="str">
        <f>IF(Data!B403="","",IF(ISNUMBER(MATCH(Data!E403,Data_Val!$A$2:$A$3,0)),0,1))</f>
        <v/>
      </c>
      <c r="F413" s="36" t="str">
        <f ca="1">IF(Data!B403="","",IF(ISNUMBER(Data!F403),IF(AND(Data!F403&gt;(TODAY()-(Data_Val!$H$3*365.25)),Data!F403&lt;=(TODAY()-(Data_Val!$H$2*365.25))),0,1),1))</f>
        <v/>
      </c>
      <c r="G413" s="12" t="str">
        <f>IF(Data!B403="","",IF(AND(Data!G403="",Data!H403&lt;&gt;""),1,IF(ISNUMBER(MATCH(Data!G403,Data_Val!$C$2:$C$5,0)),0,1)))</f>
        <v/>
      </c>
      <c r="H413" s="12" t="str">
        <f>IF(Data!B403="","",IF(AND(Data!G403&lt;&gt;"",Data!H403=""),1,IF(Data!G403="",1,IF(ISNUMBER(MATCH(Data!H403,Data_Val!$D$2:$D$35,0)),0,1))))</f>
        <v/>
      </c>
      <c r="I413" s="38" t="str">
        <f>IF(Data!G403="","",IF(Data!G403=Data_Val!$C$2,IF(Data!I403="",0,1),0))</f>
        <v/>
      </c>
      <c r="J413" s="38" t="str">
        <f>IF(Data!I403="","",IF(ISNUMBER(MATCH(Data!J403,Data_Val!$A$2:$A$3,0)),0,1))</f>
        <v/>
      </c>
      <c r="K413" s="38" t="str">
        <f ca="1">IF(Data!I403="","",IF(ISNUMBER(Data!K403),IF(AND(Data!K403&gt;(TODAY()-(Data_Val!$K$3*365.25)),Data!K403&lt;=(TODAY()-(Data_Val!$K$2*365.25))),0,1),1))</f>
        <v/>
      </c>
      <c r="L413" s="16" t="str">
        <f>IF(Data!G403="","",IF(Data!G403=Data_Val!$C$2,IF(Data!L403="",0,1),0))</f>
        <v/>
      </c>
      <c r="M413" s="16" t="str">
        <f>IF(Data!L403="","",IF(ISNUMBER(MATCH(Data!M403,Data_Val!$A$2:$A$3,0)),0,1))</f>
        <v/>
      </c>
      <c r="N413" s="43" t="str">
        <f ca="1">IF(Data!L403="","",IF(ISNUMBER(Data!N403),IF(AND(Data!N403&gt;(TODAY()-(Data_Val!$L$3*365.25)),Data!N403&lt;=(TODAY()-(Data_Val!$L$2*365.25))),0,1),1))</f>
        <v/>
      </c>
      <c r="O413" s="18" t="str">
        <f>IF(Data!$G403="","",IF(Data!$G403=Data_Val!$C$2,IF(Data!O403="",0,1),0))</f>
        <v/>
      </c>
      <c r="P413" s="18" t="str">
        <f>IF(Data!O403="","",IF(ISNUMBER(MATCH(Data!P403,Data_Val!$A$2:$A$3,0)),0,1))</f>
        <v/>
      </c>
      <c r="Q413" s="44" t="str">
        <f ca="1">IF(Data!O403="","",IF(ISNUMBER(Data!Q403),IF(AND(Data!Q403&gt;(TODAY()-(Data_Val!$L$3*365.25)),Data!Q403&lt;=(TODAY()-(Data_Val!$L$2*365.25))),0,1),1))</f>
        <v/>
      </c>
    </row>
    <row r="414" spans="1:17" ht="12" customHeight="1" x14ac:dyDescent="0.25">
      <c r="A414" s="36" t="str">
        <f>IF(Data!B404="","",IF(COUNTIFS(Data!A$1:'Data'!A404,Data!A404)&lt;=1,0,1))</f>
        <v/>
      </c>
      <c r="B414" s="36"/>
      <c r="C414" s="36" t="str">
        <f>IF(Data!C404="","",(IF(ISNUMBER(MATCH("*@*.?*",Data!C404,0)),0,1)+IF(COUNTIFS(Data!C$1:'Data'!C404,Data!C404)&gt;1,1,0)))</f>
        <v/>
      </c>
      <c r="D414" s="36" t="str">
        <f>IF(Data!B404="","",IF(ISNUMBER(Data!D404),IF(AND(Data!D404&gt;999999999,Data!D404&lt;=9999999999),IF(COUNTIFS(Data!D$1:'Data'!D404,Data!D404)&lt;=1,0,1),1),1))</f>
        <v/>
      </c>
      <c r="E414" s="36" t="str">
        <f>IF(Data!B404="","",IF(ISNUMBER(MATCH(Data!E404,Data_Val!$A$2:$A$3,0)),0,1))</f>
        <v/>
      </c>
      <c r="F414" s="36" t="str">
        <f ca="1">IF(Data!B404="","",IF(ISNUMBER(Data!F404),IF(AND(Data!F404&gt;(TODAY()-(Data_Val!$H$3*365.25)),Data!F404&lt;=(TODAY()-(Data_Val!$H$2*365.25))),0,1),1))</f>
        <v/>
      </c>
      <c r="G414" s="12" t="str">
        <f>IF(Data!B404="","",IF(AND(Data!G404="",Data!H404&lt;&gt;""),1,IF(ISNUMBER(MATCH(Data!G404,Data_Val!$C$2:$C$5,0)),0,1)))</f>
        <v/>
      </c>
      <c r="H414" s="12" t="str">
        <f>IF(Data!B404="","",IF(AND(Data!G404&lt;&gt;"",Data!H404=""),1,IF(Data!G404="",1,IF(ISNUMBER(MATCH(Data!H404,Data_Val!$D$2:$D$35,0)),0,1))))</f>
        <v/>
      </c>
      <c r="I414" s="38" t="str">
        <f>IF(Data!G404="","",IF(Data!G404=Data_Val!$C$2,IF(Data!I404="",0,1),0))</f>
        <v/>
      </c>
      <c r="J414" s="38" t="str">
        <f>IF(Data!I404="","",IF(ISNUMBER(MATCH(Data!J404,Data_Val!$A$2:$A$3,0)),0,1))</f>
        <v/>
      </c>
      <c r="K414" s="38" t="str">
        <f ca="1">IF(Data!I404="","",IF(ISNUMBER(Data!K404),IF(AND(Data!K404&gt;(TODAY()-(Data_Val!$K$3*365.25)),Data!K404&lt;=(TODAY()-(Data_Val!$K$2*365.25))),0,1),1))</f>
        <v/>
      </c>
      <c r="L414" s="16" t="str">
        <f>IF(Data!G404="","",IF(Data!G404=Data_Val!$C$2,IF(Data!L404="",0,1),0))</f>
        <v/>
      </c>
      <c r="M414" s="16" t="str">
        <f>IF(Data!L404="","",IF(ISNUMBER(MATCH(Data!M404,Data_Val!$A$2:$A$3,0)),0,1))</f>
        <v/>
      </c>
      <c r="N414" s="43" t="str">
        <f ca="1">IF(Data!L404="","",IF(ISNUMBER(Data!N404),IF(AND(Data!N404&gt;(TODAY()-(Data_Val!$L$3*365.25)),Data!N404&lt;=(TODAY()-(Data_Val!$L$2*365.25))),0,1),1))</f>
        <v/>
      </c>
      <c r="O414" s="18" t="str">
        <f>IF(Data!$G404="","",IF(Data!$G404=Data_Val!$C$2,IF(Data!O404="",0,1),0))</f>
        <v/>
      </c>
      <c r="P414" s="18" t="str">
        <f>IF(Data!O404="","",IF(ISNUMBER(MATCH(Data!P404,Data_Val!$A$2:$A$3,0)),0,1))</f>
        <v/>
      </c>
      <c r="Q414" s="44" t="str">
        <f ca="1">IF(Data!O404="","",IF(ISNUMBER(Data!Q404),IF(AND(Data!Q404&gt;(TODAY()-(Data_Val!$L$3*365.25)),Data!Q404&lt;=(TODAY()-(Data_Val!$L$2*365.25))),0,1),1))</f>
        <v/>
      </c>
    </row>
    <row r="415" spans="1:17" ht="12" customHeight="1" x14ac:dyDescent="0.25">
      <c r="A415" s="36" t="str">
        <f>IF(Data!B405="","",IF(COUNTIFS(Data!A$1:'Data'!A405,Data!A405)&lt;=1,0,1))</f>
        <v/>
      </c>
      <c r="B415" s="36"/>
      <c r="C415" s="36" t="str">
        <f>IF(Data!C405="","",(IF(ISNUMBER(MATCH("*@*.?*",Data!C405,0)),0,1)+IF(COUNTIFS(Data!C$1:'Data'!C405,Data!C405)&gt;1,1,0)))</f>
        <v/>
      </c>
      <c r="D415" s="36" t="str">
        <f>IF(Data!B405="","",IF(ISNUMBER(Data!D405),IF(AND(Data!D405&gt;999999999,Data!D405&lt;=9999999999),IF(COUNTIFS(Data!D$1:'Data'!D405,Data!D405)&lt;=1,0,1),1),1))</f>
        <v/>
      </c>
      <c r="E415" s="36" t="str">
        <f>IF(Data!B405="","",IF(ISNUMBER(MATCH(Data!E405,Data_Val!$A$2:$A$3,0)),0,1))</f>
        <v/>
      </c>
      <c r="F415" s="36" t="str">
        <f ca="1">IF(Data!B405="","",IF(ISNUMBER(Data!F405),IF(AND(Data!F405&gt;(TODAY()-(Data_Val!$H$3*365.25)),Data!F405&lt;=(TODAY()-(Data_Val!$H$2*365.25))),0,1),1))</f>
        <v/>
      </c>
      <c r="G415" s="12" t="str">
        <f>IF(Data!B405="","",IF(AND(Data!G405="",Data!H405&lt;&gt;""),1,IF(ISNUMBER(MATCH(Data!G405,Data_Val!$C$2:$C$5,0)),0,1)))</f>
        <v/>
      </c>
      <c r="H415" s="12" t="str">
        <f>IF(Data!B405="","",IF(AND(Data!G405&lt;&gt;"",Data!H405=""),1,IF(Data!G405="",1,IF(ISNUMBER(MATCH(Data!H405,Data_Val!$D$2:$D$35,0)),0,1))))</f>
        <v/>
      </c>
      <c r="I415" s="38" t="str">
        <f>IF(Data!G405="","",IF(Data!G405=Data_Val!$C$2,IF(Data!I405="",0,1),0))</f>
        <v/>
      </c>
      <c r="J415" s="38" t="str">
        <f>IF(Data!I405="","",IF(ISNUMBER(MATCH(Data!J405,Data_Val!$A$2:$A$3,0)),0,1))</f>
        <v/>
      </c>
      <c r="K415" s="38" t="str">
        <f ca="1">IF(Data!I405="","",IF(ISNUMBER(Data!K405),IF(AND(Data!K405&gt;(TODAY()-(Data_Val!$K$3*365.25)),Data!K405&lt;=(TODAY()-(Data_Val!$K$2*365.25))),0,1),1))</f>
        <v/>
      </c>
      <c r="L415" s="16" t="str">
        <f>IF(Data!G405="","",IF(Data!G405=Data_Val!$C$2,IF(Data!L405="",0,1),0))</f>
        <v/>
      </c>
      <c r="M415" s="16" t="str">
        <f>IF(Data!L405="","",IF(ISNUMBER(MATCH(Data!M405,Data_Val!$A$2:$A$3,0)),0,1))</f>
        <v/>
      </c>
      <c r="N415" s="43" t="str">
        <f ca="1">IF(Data!L405="","",IF(ISNUMBER(Data!N405),IF(AND(Data!N405&gt;(TODAY()-(Data_Val!$L$3*365.25)),Data!N405&lt;=(TODAY()-(Data_Val!$L$2*365.25))),0,1),1))</f>
        <v/>
      </c>
      <c r="O415" s="18" t="str">
        <f>IF(Data!$G405="","",IF(Data!$G405=Data_Val!$C$2,IF(Data!O405="",0,1),0))</f>
        <v/>
      </c>
      <c r="P415" s="18" t="str">
        <f>IF(Data!O405="","",IF(ISNUMBER(MATCH(Data!P405,Data_Val!$A$2:$A$3,0)),0,1))</f>
        <v/>
      </c>
      <c r="Q415" s="44" t="str">
        <f ca="1">IF(Data!O405="","",IF(ISNUMBER(Data!Q405),IF(AND(Data!Q405&gt;(TODAY()-(Data_Val!$L$3*365.25)),Data!Q405&lt;=(TODAY()-(Data_Val!$L$2*365.25))),0,1),1))</f>
        <v/>
      </c>
    </row>
    <row r="416" spans="1:17" ht="12" customHeight="1" x14ac:dyDescent="0.25">
      <c r="A416" s="36" t="str">
        <f>IF(Data!B406="","",IF(COUNTIFS(Data!A$1:'Data'!A406,Data!A406)&lt;=1,0,1))</f>
        <v/>
      </c>
      <c r="B416" s="36"/>
      <c r="C416" s="36" t="str">
        <f>IF(Data!C406="","",(IF(ISNUMBER(MATCH("*@*.?*",Data!C406,0)),0,1)+IF(COUNTIFS(Data!C$1:'Data'!C406,Data!C406)&gt;1,1,0)))</f>
        <v/>
      </c>
      <c r="D416" s="36" t="str">
        <f>IF(Data!B406="","",IF(ISNUMBER(Data!D406),IF(AND(Data!D406&gt;999999999,Data!D406&lt;=9999999999),IF(COUNTIFS(Data!D$1:'Data'!D406,Data!D406)&lt;=1,0,1),1),1))</f>
        <v/>
      </c>
      <c r="E416" s="36" t="str">
        <f>IF(Data!B406="","",IF(ISNUMBER(MATCH(Data!E406,Data_Val!$A$2:$A$3,0)),0,1))</f>
        <v/>
      </c>
      <c r="F416" s="36" t="str">
        <f ca="1">IF(Data!B406="","",IF(ISNUMBER(Data!F406),IF(AND(Data!F406&gt;(TODAY()-(Data_Val!$H$3*365.25)),Data!F406&lt;=(TODAY()-(Data_Val!$H$2*365.25))),0,1),1))</f>
        <v/>
      </c>
      <c r="G416" s="12" t="str">
        <f>IF(Data!B406="","",IF(AND(Data!G406="",Data!H406&lt;&gt;""),1,IF(ISNUMBER(MATCH(Data!G406,Data_Val!$C$2:$C$5,0)),0,1)))</f>
        <v/>
      </c>
      <c r="H416" s="12" t="str">
        <f>IF(Data!B406="","",IF(AND(Data!G406&lt;&gt;"",Data!H406=""),1,IF(Data!G406="",1,IF(ISNUMBER(MATCH(Data!H406,Data_Val!$D$2:$D$35,0)),0,1))))</f>
        <v/>
      </c>
      <c r="I416" s="38" t="str">
        <f>IF(Data!G406="","",IF(Data!G406=Data_Val!$C$2,IF(Data!I406="",0,1),0))</f>
        <v/>
      </c>
      <c r="J416" s="38" t="str">
        <f>IF(Data!I406="","",IF(ISNUMBER(MATCH(Data!J406,Data_Val!$A$2:$A$3,0)),0,1))</f>
        <v/>
      </c>
      <c r="K416" s="38" t="str">
        <f ca="1">IF(Data!I406="","",IF(ISNUMBER(Data!K406),IF(AND(Data!K406&gt;(TODAY()-(Data_Val!$K$3*365.25)),Data!K406&lt;=(TODAY()-(Data_Val!$K$2*365.25))),0,1),1))</f>
        <v/>
      </c>
      <c r="L416" s="16" t="str">
        <f>IF(Data!G406="","",IF(Data!G406=Data_Val!$C$2,IF(Data!L406="",0,1),0))</f>
        <v/>
      </c>
      <c r="M416" s="16" t="str">
        <f>IF(Data!L406="","",IF(ISNUMBER(MATCH(Data!M406,Data_Val!$A$2:$A$3,0)),0,1))</f>
        <v/>
      </c>
      <c r="N416" s="43" t="str">
        <f ca="1">IF(Data!L406="","",IF(ISNUMBER(Data!N406),IF(AND(Data!N406&gt;(TODAY()-(Data_Val!$L$3*365.25)),Data!N406&lt;=(TODAY()-(Data_Val!$L$2*365.25))),0,1),1))</f>
        <v/>
      </c>
      <c r="O416" s="18" t="str">
        <f>IF(Data!$G406="","",IF(Data!$G406=Data_Val!$C$2,IF(Data!O406="",0,1),0))</f>
        <v/>
      </c>
      <c r="P416" s="18" t="str">
        <f>IF(Data!O406="","",IF(ISNUMBER(MATCH(Data!P406,Data_Val!$A$2:$A$3,0)),0,1))</f>
        <v/>
      </c>
      <c r="Q416" s="44" t="str">
        <f ca="1">IF(Data!O406="","",IF(ISNUMBER(Data!Q406),IF(AND(Data!Q406&gt;(TODAY()-(Data_Val!$L$3*365.25)),Data!Q406&lt;=(TODAY()-(Data_Val!$L$2*365.25))),0,1),1))</f>
        <v/>
      </c>
    </row>
    <row r="417" spans="1:17" ht="12" customHeight="1" x14ac:dyDescent="0.25">
      <c r="A417" s="36" t="str">
        <f>IF(Data!B407="","",IF(COUNTIFS(Data!A$1:'Data'!A407,Data!A407)&lt;=1,0,1))</f>
        <v/>
      </c>
      <c r="B417" s="36"/>
      <c r="C417" s="36" t="str">
        <f>IF(Data!C407="","",(IF(ISNUMBER(MATCH("*@*.?*",Data!C407,0)),0,1)+IF(COUNTIFS(Data!C$1:'Data'!C407,Data!C407)&gt;1,1,0)))</f>
        <v/>
      </c>
      <c r="D417" s="36" t="str">
        <f>IF(Data!B407="","",IF(ISNUMBER(Data!D407),IF(AND(Data!D407&gt;999999999,Data!D407&lt;=9999999999),IF(COUNTIFS(Data!D$1:'Data'!D407,Data!D407)&lt;=1,0,1),1),1))</f>
        <v/>
      </c>
      <c r="E417" s="36" t="str">
        <f>IF(Data!B407="","",IF(ISNUMBER(MATCH(Data!E407,Data_Val!$A$2:$A$3,0)),0,1))</f>
        <v/>
      </c>
      <c r="F417" s="36" t="str">
        <f ca="1">IF(Data!B407="","",IF(ISNUMBER(Data!F407),IF(AND(Data!F407&gt;(TODAY()-(Data_Val!$H$3*365.25)),Data!F407&lt;=(TODAY()-(Data_Val!$H$2*365.25))),0,1),1))</f>
        <v/>
      </c>
      <c r="G417" s="12" t="str">
        <f>IF(Data!B407="","",IF(AND(Data!G407="",Data!H407&lt;&gt;""),1,IF(ISNUMBER(MATCH(Data!G407,Data_Val!$C$2:$C$5,0)),0,1)))</f>
        <v/>
      </c>
      <c r="H417" s="12" t="str">
        <f>IF(Data!B407="","",IF(AND(Data!G407&lt;&gt;"",Data!H407=""),1,IF(Data!G407="",1,IF(ISNUMBER(MATCH(Data!H407,Data_Val!$D$2:$D$35,0)),0,1))))</f>
        <v/>
      </c>
      <c r="I417" s="38" t="str">
        <f>IF(Data!G407="","",IF(Data!G407=Data_Val!$C$2,IF(Data!I407="",0,1),0))</f>
        <v/>
      </c>
      <c r="J417" s="38" t="str">
        <f>IF(Data!I407="","",IF(ISNUMBER(MATCH(Data!J407,Data_Val!$A$2:$A$3,0)),0,1))</f>
        <v/>
      </c>
      <c r="K417" s="38" t="str">
        <f ca="1">IF(Data!I407="","",IF(ISNUMBER(Data!K407),IF(AND(Data!K407&gt;(TODAY()-(Data_Val!$K$3*365.25)),Data!K407&lt;=(TODAY()-(Data_Val!$K$2*365.25))),0,1),1))</f>
        <v/>
      </c>
      <c r="L417" s="16" t="str">
        <f>IF(Data!G407="","",IF(Data!G407=Data_Val!$C$2,IF(Data!L407="",0,1),0))</f>
        <v/>
      </c>
      <c r="M417" s="16" t="str">
        <f>IF(Data!L407="","",IF(ISNUMBER(MATCH(Data!M407,Data_Val!$A$2:$A$3,0)),0,1))</f>
        <v/>
      </c>
      <c r="N417" s="43" t="str">
        <f ca="1">IF(Data!L407="","",IF(ISNUMBER(Data!N407),IF(AND(Data!N407&gt;(TODAY()-(Data_Val!$L$3*365.25)),Data!N407&lt;=(TODAY()-(Data_Val!$L$2*365.25))),0,1),1))</f>
        <v/>
      </c>
      <c r="O417" s="18" t="str">
        <f>IF(Data!$G407="","",IF(Data!$G407=Data_Val!$C$2,IF(Data!O407="",0,1),0))</f>
        <v/>
      </c>
      <c r="P417" s="18" t="str">
        <f>IF(Data!O407="","",IF(ISNUMBER(MATCH(Data!P407,Data_Val!$A$2:$A$3,0)),0,1))</f>
        <v/>
      </c>
      <c r="Q417" s="44" t="str">
        <f ca="1">IF(Data!O407="","",IF(ISNUMBER(Data!Q407),IF(AND(Data!Q407&gt;(TODAY()-(Data_Val!$L$3*365.25)),Data!Q407&lt;=(TODAY()-(Data_Val!$L$2*365.25))),0,1),1))</f>
        <v/>
      </c>
    </row>
    <row r="418" spans="1:17" ht="12" customHeight="1" x14ac:dyDescent="0.25">
      <c r="A418" s="36" t="str">
        <f>IF(Data!B408="","",IF(COUNTIFS(Data!A$1:'Data'!A408,Data!A408)&lt;=1,0,1))</f>
        <v/>
      </c>
      <c r="B418" s="36"/>
      <c r="C418" s="36" t="str">
        <f>IF(Data!C408="","",(IF(ISNUMBER(MATCH("*@*.?*",Data!C408,0)),0,1)+IF(COUNTIFS(Data!C$1:'Data'!C408,Data!C408)&gt;1,1,0)))</f>
        <v/>
      </c>
      <c r="D418" s="36" t="str">
        <f>IF(Data!B408="","",IF(ISNUMBER(Data!D408),IF(AND(Data!D408&gt;999999999,Data!D408&lt;=9999999999),IF(COUNTIFS(Data!D$1:'Data'!D408,Data!D408)&lt;=1,0,1),1),1))</f>
        <v/>
      </c>
      <c r="E418" s="36" t="str">
        <f>IF(Data!B408="","",IF(ISNUMBER(MATCH(Data!E408,Data_Val!$A$2:$A$3,0)),0,1))</f>
        <v/>
      </c>
      <c r="F418" s="36" t="str">
        <f ca="1">IF(Data!B408="","",IF(ISNUMBER(Data!F408),IF(AND(Data!F408&gt;(TODAY()-(Data_Val!$H$3*365.25)),Data!F408&lt;=(TODAY()-(Data_Val!$H$2*365.25))),0,1),1))</f>
        <v/>
      </c>
      <c r="G418" s="12" t="str">
        <f>IF(Data!B408="","",IF(AND(Data!G408="",Data!H408&lt;&gt;""),1,IF(ISNUMBER(MATCH(Data!G408,Data_Val!$C$2:$C$5,0)),0,1)))</f>
        <v/>
      </c>
      <c r="H418" s="12" t="str">
        <f>IF(Data!B408="","",IF(AND(Data!G408&lt;&gt;"",Data!H408=""),1,IF(Data!G408="",1,IF(ISNUMBER(MATCH(Data!H408,Data_Val!$D$2:$D$35,0)),0,1))))</f>
        <v/>
      </c>
      <c r="I418" s="38" t="str">
        <f>IF(Data!G408="","",IF(Data!G408=Data_Val!$C$2,IF(Data!I408="",0,1),0))</f>
        <v/>
      </c>
      <c r="J418" s="38" t="str">
        <f>IF(Data!I408="","",IF(ISNUMBER(MATCH(Data!J408,Data_Val!$A$2:$A$3,0)),0,1))</f>
        <v/>
      </c>
      <c r="K418" s="38" t="str">
        <f ca="1">IF(Data!I408="","",IF(ISNUMBER(Data!K408),IF(AND(Data!K408&gt;(TODAY()-(Data_Val!$K$3*365.25)),Data!K408&lt;=(TODAY()-(Data_Val!$K$2*365.25))),0,1),1))</f>
        <v/>
      </c>
      <c r="L418" s="16" t="str">
        <f>IF(Data!G408="","",IF(Data!G408=Data_Val!$C$2,IF(Data!L408="",0,1),0))</f>
        <v/>
      </c>
      <c r="M418" s="16" t="str">
        <f>IF(Data!L408="","",IF(ISNUMBER(MATCH(Data!M408,Data_Val!$A$2:$A$3,0)),0,1))</f>
        <v/>
      </c>
      <c r="N418" s="43" t="str">
        <f ca="1">IF(Data!L408="","",IF(ISNUMBER(Data!N408),IF(AND(Data!N408&gt;(TODAY()-(Data_Val!$L$3*365.25)),Data!N408&lt;=(TODAY()-(Data_Val!$L$2*365.25))),0,1),1))</f>
        <v/>
      </c>
      <c r="O418" s="18" t="str">
        <f>IF(Data!$G408="","",IF(Data!$G408=Data_Val!$C$2,IF(Data!O408="",0,1),0))</f>
        <v/>
      </c>
      <c r="P418" s="18" t="str">
        <f>IF(Data!O408="","",IF(ISNUMBER(MATCH(Data!P408,Data_Val!$A$2:$A$3,0)),0,1))</f>
        <v/>
      </c>
      <c r="Q418" s="44" t="str">
        <f ca="1">IF(Data!O408="","",IF(ISNUMBER(Data!Q408),IF(AND(Data!Q408&gt;(TODAY()-(Data_Val!$L$3*365.25)),Data!Q408&lt;=(TODAY()-(Data_Val!$L$2*365.25))),0,1),1))</f>
        <v/>
      </c>
    </row>
    <row r="419" spans="1:17" ht="12" customHeight="1" x14ac:dyDescent="0.25">
      <c r="A419" s="36" t="str">
        <f>IF(Data!B409="","",IF(COUNTIFS(Data!A$1:'Data'!A409,Data!A409)&lt;=1,0,1))</f>
        <v/>
      </c>
      <c r="B419" s="36"/>
      <c r="C419" s="36" t="str">
        <f>IF(Data!C409="","",(IF(ISNUMBER(MATCH("*@*.?*",Data!C409,0)),0,1)+IF(COUNTIFS(Data!C$1:'Data'!C409,Data!C409)&gt;1,1,0)))</f>
        <v/>
      </c>
      <c r="D419" s="36" t="str">
        <f>IF(Data!B409="","",IF(ISNUMBER(Data!D409),IF(AND(Data!D409&gt;999999999,Data!D409&lt;=9999999999),IF(COUNTIFS(Data!D$1:'Data'!D409,Data!D409)&lt;=1,0,1),1),1))</f>
        <v/>
      </c>
      <c r="E419" s="36" t="str">
        <f>IF(Data!B409="","",IF(ISNUMBER(MATCH(Data!E409,Data_Val!$A$2:$A$3,0)),0,1))</f>
        <v/>
      </c>
      <c r="F419" s="36" t="str">
        <f ca="1">IF(Data!B409="","",IF(ISNUMBER(Data!F409),IF(AND(Data!F409&gt;(TODAY()-(Data_Val!$H$3*365.25)),Data!F409&lt;=(TODAY()-(Data_Val!$H$2*365.25))),0,1),1))</f>
        <v/>
      </c>
      <c r="G419" s="12" t="str">
        <f>IF(Data!B409="","",IF(AND(Data!G409="",Data!H409&lt;&gt;""),1,IF(ISNUMBER(MATCH(Data!G409,Data_Val!$C$2:$C$5,0)),0,1)))</f>
        <v/>
      </c>
      <c r="H419" s="12" t="str">
        <f>IF(Data!B409="","",IF(AND(Data!G409&lt;&gt;"",Data!H409=""),1,IF(Data!G409="",1,IF(ISNUMBER(MATCH(Data!H409,Data_Val!$D$2:$D$35,0)),0,1))))</f>
        <v/>
      </c>
      <c r="I419" s="38" t="str">
        <f>IF(Data!G409="","",IF(Data!G409=Data_Val!$C$2,IF(Data!I409="",0,1),0))</f>
        <v/>
      </c>
      <c r="J419" s="38" t="str">
        <f>IF(Data!I409="","",IF(ISNUMBER(MATCH(Data!J409,Data_Val!$A$2:$A$3,0)),0,1))</f>
        <v/>
      </c>
      <c r="K419" s="38" t="str">
        <f ca="1">IF(Data!I409="","",IF(ISNUMBER(Data!K409),IF(AND(Data!K409&gt;(TODAY()-(Data_Val!$K$3*365.25)),Data!K409&lt;=(TODAY()-(Data_Val!$K$2*365.25))),0,1),1))</f>
        <v/>
      </c>
      <c r="L419" s="16" t="str">
        <f>IF(Data!G409="","",IF(Data!G409=Data_Val!$C$2,IF(Data!L409="",0,1),0))</f>
        <v/>
      </c>
      <c r="M419" s="16" t="str">
        <f>IF(Data!L409="","",IF(ISNUMBER(MATCH(Data!M409,Data_Val!$A$2:$A$3,0)),0,1))</f>
        <v/>
      </c>
      <c r="N419" s="43" t="str">
        <f ca="1">IF(Data!L409="","",IF(ISNUMBER(Data!N409),IF(AND(Data!N409&gt;(TODAY()-(Data_Val!$L$3*365.25)),Data!N409&lt;=(TODAY()-(Data_Val!$L$2*365.25))),0,1),1))</f>
        <v/>
      </c>
      <c r="O419" s="18" t="str">
        <f>IF(Data!$G409="","",IF(Data!$G409=Data_Val!$C$2,IF(Data!O409="",0,1),0))</f>
        <v/>
      </c>
      <c r="P419" s="18" t="str">
        <f>IF(Data!O409="","",IF(ISNUMBER(MATCH(Data!P409,Data_Val!$A$2:$A$3,0)),0,1))</f>
        <v/>
      </c>
      <c r="Q419" s="44" t="str">
        <f ca="1">IF(Data!O409="","",IF(ISNUMBER(Data!Q409),IF(AND(Data!Q409&gt;(TODAY()-(Data_Val!$L$3*365.25)),Data!Q409&lt;=(TODAY()-(Data_Val!$L$2*365.25))),0,1),1))</f>
        <v/>
      </c>
    </row>
    <row r="420" spans="1:17" ht="12" customHeight="1" x14ac:dyDescent="0.25">
      <c r="A420" s="36" t="str">
        <f>IF(Data!B410="","",IF(COUNTIFS(Data!A$1:'Data'!A410,Data!A410)&lt;=1,0,1))</f>
        <v/>
      </c>
      <c r="B420" s="36"/>
      <c r="C420" s="36" t="str">
        <f>IF(Data!C410="","",(IF(ISNUMBER(MATCH("*@*.?*",Data!C410,0)),0,1)+IF(COUNTIFS(Data!C$1:'Data'!C410,Data!C410)&gt;1,1,0)))</f>
        <v/>
      </c>
      <c r="D420" s="36" t="str">
        <f>IF(Data!B410="","",IF(ISNUMBER(Data!D410),IF(AND(Data!D410&gt;999999999,Data!D410&lt;=9999999999),IF(COUNTIFS(Data!D$1:'Data'!D410,Data!D410)&lt;=1,0,1),1),1))</f>
        <v/>
      </c>
      <c r="E420" s="36" t="str">
        <f>IF(Data!B410="","",IF(ISNUMBER(MATCH(Data!E410,Data_Val!$A$2:$A$3,0)),0,1))</f>
        <v/>
      </c>
      <c r="F420" s="36" t="str">
        <f ca="1">IF(Data!B410="","",IF(ISNUMBER(Data!F410),IF(AND(Data!F410&gt;(TODAY()-(Data_Val!$H$3*365.25)),Data!F410&lt;=(TODAY()-(Data_Val!$H$2*365.25))),0,1),1))</f>
        <v/>
      </c>
      <c r="G420" s="12" t="str">
        <f>IF(Data!B410="","",IF(AND(Data!G410="",Data!H410&lt;&gt;""),1,IF(ISNUMBER(MATCH(Data!G410,Data_Val!$C$2:$C$5,0)),0,1)))</f>
        <v/>
      </c>
      <c r="H420" s="12" t="str">
        <f>IF(Data!B410="","",IF(AND(Data!G410&lt;&gt;"",Data!H410=""),1,IF(Data!G410="",1,IF(ISNUMBER(MATCH(Data!H410,Data_Val!$D$2:$D$35,0)),0,1))))</f>
        <v/>
      </c>
      <c r="I420" s="38" t="str">
        <f>IF(Data!G410="","",IF(Data!G410=Data_Val!$C$2,IF(Data!I410="",0,1),0))</f>
        <v/>
      </c>
      <c r="J420" s="38" t="str">
        <f>IF(Data!I410="","",IF(ISNUMBER(MATCH(Data!J410,Data_Val!$A$2:$A$3,0)),0,1))</f>
        <v/>
      </c>
      <c r="K420" s="38" t="str">
        <f ca="1">IF(Data!I410="","",IF(ISNUMBER(Data!K410),IF(AND(Data!K410&gt;(TODAY()-(Data_Val!$K$3*365.25)),Data!K410&lt;=(TODAY()-(Data_Val!$K$2*365.25))),0,1),1))</f>
        <v/>
      </c>
      <c r="L420" s="16" t="str">
        <f>IF(Data!G410="","",IF(Data!G410=Data_Val!$C$2,IF(Data!L410="",0,1),0))</f>
        <v/>
      </c>
      <c r="M420" s="16" t="str">
        <f>IF(Data!L410="","",IF(ISNUMBER(MATCH(Data!M410,Data_Val!$A$2:$A$3,0)),0,1))</f>
        <v/>
      </c>
      <c r="N420" s="43" t="str">
        <f ca="1">IF(Data!L410="","",IF(ISNUMBER(Data!N410),IF(AND(Data!N410&gt;(TODAY()-(Data_Val!$L$3*365.25)),Data!N410&lt;=(TODAY()-(Data_Val!$L$2*365.25))),0,1),1))</f>
        <v/>
      </c>
      <c r="O420" s="18" t="str">
        <f>IF(Data!$G410="","",IF(Data!$G410=Data_Val!$C$2,IF(Data!O410="",0,1),0))</f>
        <v/>
      </c>
      <c r="P420" s="18" t="str">
        <f>IF(Data!O410="","",IF(ISNUMBER(MATCH(Data!P410,Data_Val!$A$2:$A$3,0)),0,1))</f>
        <v/>
      </c>
      <c r="Q420" s="44" t="str">
        <f ca="1">IF(Data!O410="","",IF(ISNUMBER(Data!Q410),IF(AND(Data!Q410&gt;(TODAY()-(Data_Val!$L$3*365.25)),Data!Q410&lt;=(TODAY()-(Data_Val!$L$2*365.25))),0,1),1))</f>
        <v/>
      </c>
    </row>
    <row r="421" spans="1:17" ht="12" customHeight="1" x14ac:dyDescent="0.25">
      <c r="A421" s="36" t="str">
        <f>IF(Data!B411="","",IF(COUNTIFS(Data!A$1:'Data'!A411,Data!A411)&lt;=1,0,1))</f>
        <v/>
      </c>
      <c r="B421" s="36"/>
      <c r="C421" s="36" t="str">
        <f>IF(Data!C411="","",(IF(ISNUMBER(MATCH("*@*.?*",Data!C411,0)),0,1)+IF(COUNTIFS(Data!C$1:'Data'!C411,Data!C411)&gt;1,1,0)))</f>
        <v/>
      </c>
      <c r="D421" s="36" t="str">
        <f>IF(Data!B411="","",IF(ISNUMBER(Data!D411),IF(AND(Data!D411&gt;999999999,Data!D411&lt;=9999999999),IF(COUNTIFS(Data!D$1:'Data'!D411,Data!D411)&lt;=1,0,1),1),1))</f>
        <v/>
      </c>
      <c r="E421" s="36" t="str">
        <f>IF(Data!B411="","",IF(ISNUMBER(MATCH(Data!E411,Data_Val!$A$2:$A$3,0)),0,1))</f>
        <v/>
      </c>
      <c r="F421" s="36" t="str">
        <f ca="1">IF(Data!B411="","",IF(ISNUMBER(Data!F411),IF(AND(Data!F411&gt;(TODAY()-(Data_Val!$H$3*365.25)),Data!F411&lt;=(TODAY()-(Data_Val!$H$2*365.25))),0,1),1))</f>
        <v/>
      </c>
      <c r="G421" s="12" t="str">
        <f>IF(Data!B411="","",IF(AND(Data!G411="",Data!H411&lt;&gt;""),1,IF(ISNUMBER(MATCH(Data!G411,Data_Val!$C$2:$C$5,0)),0,1)))</f>
        <v/>
      </c>
      <c r="H421" s="12" t="str">
        <f>IF(Data!B411="","",IF(AND(Data!G411&lt;&gt;"",Data!H411=""),1,IF(Data!G411="",1,IF(ISNUMBER(MATCH(Data!H411,Data_Val!$D$2:$D$35,0)),0,1))))</f>
        <v/>
      </c>
      <c r="I421" s="38" t="str">
        <f>IF(Data!G411="","",IF(Data!G411=Data_Val!$C$2,IF(Data!I411="",0,1),0))</f>
        <v/>
      </c>
      <c r="J421" s="38" t="str">
        <f>IF(Data!I411="","",IF(ISNUMBER(MATCH(Data!J411,Data_Val!$A$2:$A$3,0)),0,1))</f>
        <v/>
      </c>
      <c r="K421" s="38" t="str">
        <f ca="1">IF(Data!I411="","",IF(ISNUMBER(Data!K411),IF(AND(Data!K411&gt;(TODAY()-(Data_Val!$K$3*365.25)),Data!K411&lt;=(TODAY()-(Data_Val!$K$2*365.25))),0,1),1))</f>
        <v/>
      </c>
      <c r="L421" s="16" t="str">
        <f>IF(Data!G411="","",IF(Data!G411=Data_Val!$C$2,IF(Data!L411="",0,1),0))</f>
        <v/>
      </c>
      <c r="M421" s="16" t="str">
        <f>IF(Data!L411="","",IF(ISNUMBER(MATCH(Data!M411,Data_Val!$A$2:$A$3,0)),0,1))</f>
        <v/>
      </c>
      <c r="N421" s="43" t="str">
        <f ca="1">IF(Data!L411="","",IF(ISNUMBER(Data!N411),IF(AND(Data!N411&gt;(TODAY()-(Data_Val!$L$3*365.25)),Data!N411&lt;=(TODAY()-(Data_Val!$L$2*365.25))),0,1),1))</f>
        <v/>
      </c>
      <c r="O421" s="18" t="str">
        <f>IF(Data!$G411="","",IF(Data!$G411=Data_Val!$C$2,IF(Data!O411="",0,1),0))</f>
        <v/>
      </c>
      <c r="P421" s="18" t="str">
        <f>IF(Data!O411="","",IF(ISNUMBER(MATCH(Data!P411,Data_Val!$A$2:$A$3,0)),0,1))</f>
        <v/>
      </c>
      <c r="Q421" s="44" t="str">
        <f ca="1">IF(Data!O411="","",IF(ISNUMBER(Data!Q411),IF(AND(Data!Q411&gt;(TODAY()-(Data_Val!$L$3*365.25)),Data!Q411&lt;=(TODAY()-(Data_Val!$L$2*365.25))),0,1),1))</f>
        <v/>
      </c>
    </row>
    <row r="422" spans="1:17" ht="12" customHeight="1" x14ac:dyDescent="0.25">
      <c r="A422" s="36" t="str">
        <f>IF(Data!B412="","",IF(COUNTIFS(Data!A$1:'Data'!A412,Data!A412)&lt;=1,0,1))</f>
        <v/>
      </c>
      <c r="B422" s="36"/>
      <c r="C422" s="36" t="str">
        <f>IF(Data!C412="","",(IF(ISNUMBER(MATCH("*@*.?*",Data!C412,0)),0,1)+IF(COUNTIFS(Data!C$1:'Data'!C412,Data!C412)&gt;1,1,0)))</f>
        <v/>
      </c>
      <c r="D422" s="36" t="str">
        <f>IF(Data!B412="","",IF(ISNUMBER(Data!D412),IF(AND(Data!D412&gt;999999999,Data!D412&lt;=9999999999),IF(COUNTIFS(Data!D$1:'Data'!D412,Data!D412)&lt;=1,0,1),1),1))</f>
        <v/>
      </c>
      <c r="E422" s="36" t="str">
        <f>IF(Data!B412="","",IF(ISNUMBER(MATCH(Data!E412,Data_Val!$A$2:$A$3,0)),0,1))</f>
        <v/>
      </c>
      <c r="F422" s="36" t="str">
        <f ca="1">IF(Data!B412="","",IF(ISNUMBER(Data!F412),IF(AND(Data!F412&gt;(TODAY()-(Data_Val!$H$3*365.25)),Data!F412&lt;=(TODAY()-(Data_Val!$H$2*365.25))),0,1),1))</f>
        <v/>
      </c>
      <c r="G422" s="12" t="str">
        <f>IF(Data!B412="","",IF(AND(Data!G412="",Data!H412&lt;&gt;""),1,IF(ISNUMBER(MATCH(Data!G412,Data_Val!$C$2:$C$5,0)),0,1)))</f>
        <v/>
      </c>
      <c r="H422" s="12" t="str">
        <f>IF(Data!B412="","",IF(AND(Data!G412&lt;&gt;"",Data!H412=""),1,IF(Data!G412="",1,IF(ISNUMBER(MATCH(Data!H412,Data_Val!$D$2:$D$35,0)),0,1))))</f>
        <v/>
      </c>
      <c r="I422" s="38" t="str">
        <f>IF(Data!G412="","",IF(Data!G412=Data_Val!$C$2,IF(Data!I412="",0,1),0))</f>
        <v/>
      </c>
      <c r="J422" s="38" t="str">
        <f>IF(Data!I412="","",IF(ISNUMBER(MATCH(Data!J412,Data_Val!$A$2:$A$3,0)),0,1))</f>
        <v/>
      </c>
      <c r="K422" s="38" t="str">
        <f ca="1">IF(Data!I412="","",IF(ISNUMBER(Data!K412),IF(AND(Data!K412&gt;(TODAY()-(Data_Val!$K$3*365.25)),Data!K412&lt;=(TODAY()-(Data_Val!$K$2*365.25))),0,1),1))</f>
        <v/>
      </c>
      <c r="L422" s="16" t="str">
        <f>IF(Data!G412="","",IF(Data!G412=Data_Val!$C$2,IF(Data!L412="",0,1),0))</f>
        <v/>
      </c>
      <c r="M422" s="16" t="str">
        <f>IF(Data!L412="","",IF(ISNUMBER(MATCH(Data!M412,Data_Val!$A$2:$A$3,0)),0,1))</f>
        <v/>
      </c>
      <c r="N422" s="43" t="str">
        <f ca="1">IF(Data!L412="","",IF(ISNUMBER(Data!N412),IF(AND(Data!N412&gt;(TODAY()-(Data_Val!$L$3*365.25)),Data!N412&lt;=(TODAY()-(Data_Val!$L$2*365.25))),0,1),1))</f>
        <v/>
      </c>
      <c r="O422" s="18" t="str">
        <f>IF(Data!$G412="","",IF(Data!$G412=Data_Val!$C$2,IF(Data!O412="",0,1),0))</f>
        <v/>
      </c>
      <c r="P422" s="18" t="str">
        <f>IF(Data!O412="","",IF(ISNUMBER(MATCH(Data!P412,Data_Val!$A$2:$A$3,0)),0,1))</f>
        <v/>
      </c>
      <c r="Q422" s="44" t="str">
        <f ca="1">IF(Data!O412="","",IF(ISNUMBER(Data!Q412),IF(AND(Data!Q412&gt;(TODAY()-(Data_Val!$L$3*365.25)),Data!Q412&lt;=(TODAY()-(Data_Val!$L$2*365.25))),0,1),1))</f>
        <v/>
      </c>
    </row>
    <row r="423" spans="1:17" ht="12" customHeight="1" x14ac:dyDescent="0.25">
      <c r="A423" s="36" t="str">
        <f>IF(Data!B413="","",IF(COUNTIFS(Data!A$1:'Data'!A413,Data!A413)&lt;=1,0,1))</f>
        <v/>
      </c>
      <c r="B423" s="36"/>
      <c r="C423" s="36" t="str">
        <f>IF(Data!C413="","",(IF(ISNUMBER(MATCH("*@*.?*",Data!C413,0)),0,1)+IF(COUNTIFS(Data!C$1:'Data'!C413,Data!C413)&gt;1,1,0)))</f>
        <v/>
      </c>
      <c r="D423" s="36" t="str">
        <f>IF(Data!B413="","",IF(ISNUMBER(Data!D413),IF(AND(Data!D413&gt;999999999,Data!D413&lt;=9999999999),IF(COUNTIFS(Data!D$1:'Data'!D413,Data!D413)&lt;=1,0,1),1),1))</f>
        <v/>
      </c>
      <c r="E423" s="36" t="str">
        <f>IF(Data!B413="","",IF(ISNUMBER(MATCH(Data!E413,Data_Val!$A$2:$A$3,0)),0,1))</f>
        <v/>
      </c>
      <c r="F423" s="36" t="str">
        <f ca="1">IF(Data!B413="","",IF(ISNUMBER(Data!F413),IF(AND(Data!F413&gt;(TODAY()-(Data_Val!$H$3*365.25)),Data!F413&lt;=(TODAY()-(Data_Val!$H$2*365.25))),0,1),1))</f>
        <v/>
      </c>
      <c r="G423" s="12" t="str">
        <f>IF(Data!B413="","",IF(AND(Data!G413="",Data!H413&lt;&gt;""),1,IF(ISNUMBER(MATCH(Data!G413,Data_Val!$C$2:$C$5,0)),0,1)))</f>
        <v/>
      </c>
      <c r="H423" s="12" t="str">
        <f>IF(Data!B413="","",IF(AND(Data!G413&lt;&gt;"",Data!H413=""),1,IF(Data!G413="",1,IF(ISNUMBER(MATCH(Data!H413,Data_Val!$D$2:$D$35,0)),0,1))))</f>
        <v/>
      </c>
      <c r="I423" s="38" t="str">
        <f>IF(Data!G413="","",IF(Data!G413=Data_Val!$C$2,IF(Data!I413="",0,1),0))</f>
        <v/>
      </c>
      <c r="J423" s="38" t="str">
        <f>IF(Data!I413="","",IF(ISNUMBER(MATCH(Data!J413,Data_Val!$A$2:$A$3,0)),0,1))</f>
        <v/>
      </c>
      <c r="K423" s="38" t="str">
        <f ca="1">IF(Data!I413="","",IF(ISNUMBER(Data!K413),IF(AND(Data!K413&gt;(TODAY()-(Data_Val!$K$3*365.25)),Data!K413&lt;=(TODAY()-(Data_Val!$K$2*365.25))),0,1),1))</f>
        <v/>
      </c>
      <c r="L423" s="16" t="str">
        <f>IF(Data!G413="","",IF(Data!G413=Data_Val!$C$2,IF(Data!L413="",0,1),0))</f>
        <v/>
      </c>
      <c r="M423" s="16" t="str">
        <f>IF(Data!L413="","",IF(ISNUMBER(MATCH(Data!M413,Data_Val!$A$2:$A$3,0)),0,1))</f>
        <v/>
      </c>
      <c r="N423" s="43" t="str">
        <f ca="1">IF(Data!L413="","",IF(ISNUMBER(Data!N413),IF(AND(Data!N413&gt;(TODAY()-(Data_Val!$L$3*365.25)),Data!N413&lt;=(TODAY()-(Data_Val!$L$2*365.25))),0,1),1))</f>
        <v/>
      </c>
      <c r="O423" s="18" t="str">
        <f>IF(Data!$G413="","",IF(Data!$G413=Data_Val!$C$2,IF(Data!O413="",0,1),0))</f>
        <v/>
      </c>
      <c r="P423" s="18" t="str">
        <f>IF(Data!O413="","",IF(ISNUMBER(MATCH(Data!P413,Data_Val!$A$2:$A$3,0)),0,1))</f>
        <v/>
      </c>
      <c r="Q423" s="44" t="str">
        <f ca="1">IF(Data!O413="","",IF(ISNUMBER(Data!Q413),IF(AND(Data!Q413&gt;(TODAY()-(Data_Val!$L$3*365.25)),Data!Q413&lt;=(TODAY()-(Data_Val!$L$2*365.25))),0,1),1))</f>
        <v/>
      </c>
    </row>
    <row r="424" spans="1:17" ht="12" customHeight="1" x14ac:dyDescent="0.25">
      <c r="A424" s="36" t="str">
        <f>IF(Data!B414="","",IF(COUNTIFS(Data!A$1:'Data'!A414,Data!A414)&lt;=1,0,1))</f>
        <v/>
      </c>
      <c r="B424" s="36"/>
      <c r="C424" s="36" t="str">
        <f>IF(Data!C414="","",(IF(ISNUMBER(MATCH("*@*.?*",Data!C414,0)),0,1)+IF(COUNTIFS(Data!C$1:'Data'!C414,Data!C414)&gt;1,1,0)))</f>
        <v/>
      </c>
      <c r="D424" s="36" t="str">
        <f>IF(Data!B414="","",IF(ISNUMBER(Data!D414),IF(AND(Data!D414&gt;999999999,Data!D414&lt;=9999999999),IF(COUNTIFS(Data!D$1:'Data'!D414,Data!D414)&lt;=1,0,1),1),1))</f>
        <v/>
      </c>
      <c r="E424" s="36" t="str">
        <f>IF(Data!B414="","",IF(ISNUMBER(MATCH(Data!E414,Data_Val!$A$2:$A$3,0)),0,1))</f>
        <v/>
      </c>
      <c r="F424" s="36" t="str">
        <f ca="1">IF(Data!B414="","",IF(ISNUMBER(Data!F414),IF(AND(Data!F414&gt;(TODAY()-(Data_Val!$H$3*365.25)),Data!F414&lt;=(TODAY()-(Data_Val!$H$2*365.25))),0,1),1))</f>
        <v/>
      </c>
      <c r="G424" s="12" t="str">
        <f>IF(Data!B414="","",IF(AND(Data!G414="",Data!H414&lt;&gt;""),1,IF(ISNUMBER(MATCH(Data!G414,Data_Val!$C$2:$C$5,0)),0,1)))</f>
        <v/>
      </c>
      <c r="H424" s="12" t="str">
        <f>IF(Data!B414="","",IF(AND(Data!G414&lt;&gt;"",Data!H414=""),1,IF(Data!G414="",1,IF(ISNUMBER(MATCH(Data!H414,Data_Val!$D$2:$D$35,0)),0,1))))</f>
        <v/>
      </c>
      <c r="I424" s="38" t="str">
        <f>IF(Data!G414="","",IF(Data!G414=Data_Val!$C$2,IF(Data!I414="",0,1),0))</f>
        <v/>
      </c>
      <c r="J424" s="38" t="str">
        <f>IF(Data!I414="","",IF(ISNUMBER(MATCH(Data!J414,Data_Val!$A$2:$A$3,0)),0,1))</f>
        <v/>
      </c>
      <c r="K424" s="38" t="str">
        <f ca="1">IF(Data!I414="","",IF(ISNUMBER(Data!K414),IF(AND(Data!K414&gt;(TODAY()-(Data_Val!$K$3*365.25)),Data!K414&lt;=(TODAY()-(Data_Val!$K$2*365.25))),0,1),1))</f>
        <v/>
      </c>
      <c r="L424" s="16" t="str">
        <f>IF(Data!G414="","",IF(Data!G414=Data_Val!$C$2,IF(Data!L414="",0,1),0))</f>
        <v/>
      </c>
      <c r="M424" s="16" t="str">
        <f>IF(Data!L414="","",IF(ISNUMBER(MATCH(Data!M414,Data_Val!$A$2:$A$3,0)),0,1))</f>
        <v/>
      </c>
      <c r="N424" s="43" t="str">
        <f ca="1">IF(Data!L414="","",IF(ISNUMBER(Data!N414),IF(AND(Data!N414&gt;(TODAY()-(Data_Val!$L$3*365.25)),Data!N414&lt;=(TODAY()-(Data_Val!$L$2*365.25))),0,1),1))</f>
        <v/>
      </c>
      <c r="O424" s="18" t="str">
        <f>IF(Data!$G414="","",IF(Data!$G414=Data_Val!$C$2,IF(Data!O414="",0,1),0))</f>
        <v/>
      </c>
      <c r="P424" s="18" t="str">
        <f>IF(Data!O414="","",IF(ISNUMBER(MATCH(Data!P414,Data_Val!$A$2:$A$3,0)),0,1))</f>
        <v/>
      </c>
      <c r="Q424" s="44" t="str">
        <f ca="1">IF(Data!O414="","",IF(ISNUMBER(Data!Q414),IF(AND(Data!Q414&gt;(TODAY()-(Data_Val!$L$3*365.25)),Data!Q414&lt;=(TODAY()-(Data_Val!$L$2*365.25))),0,1),1))</f>
        <v/>
      </c>
    </row>
    <row r="425" spans="1:17" ht="12" customHeight="1" x14ac:dyDescent="0.25">
      <c r="A425" s="36" t="str">
        <f>IF(Data!B415="","",IF(COUNTIFS(Data!A$1:'Data'!A415,Data!A415)&lt;=1,0,1))</f>
        <v/>
      </c>
      <c r="B425" s="36"/>
      <c r="C425" s="36" t="str">
        <f>IF(Data!C415="","",(IF(ISNUMBER(MATCH("*@*.?*",Data!C415,0)),0,1)+IF(COUNTIFS(Data!C$1:'Data'!C415,Data!C415)&gt;1,1,0)))</f>
        <v/>
      </c>
      <c r="D425" s="36" t="str">
        <f>IF(Data!B415="","",IF(ISNUMBER(Data!D415),IF(AND(Data!D415&gt;999999999,Data!D415&lt;=9999999999),IF(COUNTIFS(Data!D$1:'Data'!D415,Data!D415)&lt;=1,0,1),1),1))</f>
        <v/>
      </c>
      <c r="E425" s="36" t="str">
        <f>IF(Data!B415="","",IF(ISNUMBER(MATCH(Data!E415,Data_Val!$A$2:$A$3,0)),0,1))</f>
        <v/>
      </c>
      <c r="F425" s="36" t="str">
        <f ca="1">IF(Data!B415="","",IF(ISNUMBER(Data!F415),IF(AND(Data!F415&gt;(TODAY()-(Data_Val!$H$3*365.25)),Data!F415&lt;=(TODAY()-(Data_Val!$H$2*365.25))),0,1),1))</f>
        <v/>
      </c>
      <c r="G425" s="12" t="str">
        <f>IF(Data!B415="","",IF(AND(Data!G415="",Data!H415&lt;&gt;""),1,IF(ISNUMBER(MATCH(Data!G415,Data_Val!$C$2:$C$5,0)),0,1)))</f>
        <v/>
      </c>
      <c r="H425" s="12" t="str">
        <f>IF(Data!B415="","",IF(AND(Data!G415&lt;&gt;"",Data!H415=""),1,IF(Data!G415="",1,IF(ISNUMBER(MATCH(Data!H415,Data_Val!$D$2:$D$35,0)),0,1))))</f>
        <v/>
      </c>
      <c r="I425" s="38" t="str">
        <f>IF(Data!G415="","",IF(Data!G415=Data_Val!$C$2,IF(Data!I415="",0,1),0))</f>
        <v/>
      </c>
      <c r="J425" s="38" t="str">
        <f>IF(Data!I415="","",IF(ISNUMBER(MATCH(Data!J415,Data_Val!$A$2:$A$3,0)),0,1))</f>
        <v/>
      </c>
      <c r="K425" s="38" t="str">
        <f ca="1">IF(Data!I415="","",IF(ISNUMBER(Data!K415),IF(AND(Data!K415&gt;(TODAY()-(Data_Val!$K$3*365.25)),Data!K415&lt;=(TODAY()-(Data_Val!$K$2*365.25))),0,1),1))</f>
        <v/>
      </c>
      <c r="L425" s="16" t="str">
        <f>IF(Data!G415="","",IF(Data!G415=Data_Val!$C$2,IF(Data!L415="",0,1),0))</f>
        <v/>
      </c>
      <c r="M425" s="16" t="str">
        <f>IF(Data!L415="","",IF(ISNUMBER(MATCH(Data!M415,Data_Val!$A$2:$A$3,0)),0,1))</f>
        <v/>
      </c>
      <c r="N425" s="43" t="str">
        <f ca="1">IF(Data!L415="","",IF(ISNUMBER(Data!N415),IF(AND(Data!N415&gt;(TODAY()-(Data_Val!$L$3*365.25)),Data!N415&lt;=(TODAY()-(Data_Val!$L$2*365.25))),0,1),1))</f>
        <v/>
      </c>
      <c r="O425" s="18" t="str">
        <f>IF(Data!$G415="","",IF(Data!$G415=Data_Val!$C$2,IF(Data!O415="",0,1),0))</f>
        <v/>
      </c>
      <c r="P425" s="18" t="str">
        <f>IF(Data!O415="","",IF(ISNUMBER(MATCH(Data!P415,Data_Val!$A$2:$A$3,0)),0,1))</f>
        <v/>
      </c>
      <c r="Q425" s="44" t="str">
        <f ca="1">IF(Data!O415="","",IF(ISNUMBER(Data!Q415),IF(AND(Data!Q415&gt;(TODAY()-(Data_Val!$L$3*365.25)),Data!Q415&lt;=(TODAY()-(Data_Val!$L$2*365.25))),0,1),1))</f>
        <v/>
      </c>
    </row>
    <row r="426" spans="1:17" ht="12" customHeight="1" x14ac:dyDescent="0.25">
      <c r="A426" s="36" t="str">
        <f>IF(Data!B416="","",IF(COUNTIFS(Data!A$1:'Data'!A416,Data!A416)&lt;=1,0,1))</f>
        <v/>
      </c>
      <c r="B426" s="36"/>
      <c r="C426" s="36" t="str">
        <f>IF(Data!C416="","",(IF(ISNUMBER(MATCH("*@*.?*",Data!C416,0)),0,1)+IF(COUNTIFS(Data!C$1:'Data'!C416,Data!C416)&gt;1,1,0)))</f>
        <v/>
      </c>
      <c r="D426" s="36" t="str">
        <f>IF(Data!B416="","",IF(ISNUMBER(Data!D416),IF(AND(Data!D416&gt;999999999,Data!D416&lt;=9999999999),IF(COUNTIFS(Data!D$1:'Data'!D416,Data!D416)&lt;=1,0,1),1),1))</f>
        <v/>
      </c>
      <c r="E426" s="36" t="str">
        <f>IF(Data!B416="","",IF(ISNUMBER(MATCH(Data!E416,Data_Val!$A$2:$A$3,0)),0,1))</f>
        <v/>
      </c>
      <c r="F426" s="36" t="str">
        <f ca="1">IF(Data!B416="","",IF(ISNUMBER(Data!F416),IF(AND(Data!F416&gt;(TODAY()-(Data_Val!$H$3*365.25)),Data!F416&lt;=(TODAY()-(Data_Val!$H$2*365.25))),0,1),1))</f>
        <v/>
      </c>
      <c r="G426" s="12" t="str">
        <f>IF(Data!B416="","",IF(AND(Data!G416="",Data!H416&lt;&gt;""),1,IF(ISNUMBER(MATCH(Data!G416,Data_Val!$C$2:$C$5,0)),0,1)))</f>
        <v/>
      </c>
      <c r="H426" s="12" t="str">
        <f>IF(Data!B416="","",IF(AND(Data!G416&lt;&gt;"",Data!H416=""),1,IF(Data!G416="",1,IF(ISNUMBER(MATCH(Data!H416,Data_Val!$D$2:$D$35,0)),0,1))))</f>
        <v/>
      </c>
      <c r="I426" s="38" t="str">
        <f>IF(Data!G416="","",IF(Data!G416=Data_Val!$C$2,IF(Data!I416="",0,1),0))</f>
        <v/>
      </c>
      <c r="J426" s="38" t="str">
        <f>IF(Data!I416="","",IF(ISNUMBER(MATCH(Data!J416,Data_Val!$A$2:$A$3,0)),0,1))</f>
        <v/>
      </c>
      <c r="K426" s="38" t="str">
        <f ca="1">IF(Data!I416="","",IF(ISNUMBER(Data!K416),IF(AND(Data!K416&gt;(TODAY()-(Data_Val!$K$3*365.25)),Data!K416&lt;=(TODAY()-(Data_Val!$K$2*365.25))),0,1),1))</f>
        <v/>
      </c>
      <c r="L426" s="16" t="str">
        <f>IF(Data!G416="","",IF(Data!G416=Data_Val!$C$2,IF(Data!L416="",0,1),0))</f>
        <v/>
      </c>
      <c r="M426" s="16" t="str">
        <f>IF(Data!L416="","",IF(ISNUMBER(MATCH(Data!M416,Data_Val!$A$2:$A$3,0)),0,1))</f>
        <v/>
      </c>
      <c r="N426" s="43" t="str">
        <f ca="1">IF(Data!L416="","",IF(ISNUMBER(Data!N416),IF(AND(Data!N416&gt;(TODAY()-(Data_Val!$L$3*365.25)),Data!N416&lt;=(TODAY()-(Data_Val!$L$2*365.25))),0,1),1))</f>
        <v/>
      </c>
      <c r="O426" s="18" t="str">
        <f>IF(Data!$G416="","",IF(Data!$G416=Data_Val!$C$2,IF(Data!O416="",0,1),0))</f>
        <v/>
      </c>
      <c r="P426" s="18" t="str">
        <f>IF(Data!O416="","",IF(ISNUMBER(MATCH(Data!P416,Data_Val!$A$2:$A$3,0)),0,1))</f>
        <v/>
      </c>
      <c r="Q426" s="44" t="str">
        <f ca="1">IF(Data!O416="","",IF(ISNUMBER(Data!Q416),IF(AND(Data!Q416&gt;(TODAY()-(Data_Val!$L$3*365.25)),Data!Q416&lt;=(TODAY()-(Data_Val!$L$2*365.25))),0,1),1))</f>
        <v/>
      </c>
    </row>
    <row r="427" spans="1:17" ht="12" customHeight="1" x14ac:dyDescent="0.25">
      <c r="A427" s="36" t="str">
        <f>IF(Data!B417="","",IF(COUNTIFS(Data!A$1:'Data'!A417,Data!A417)&lt;=1,0,1))</f>
        <v/>
      </c>
      <c r="B427" s="36"/>
      <c r="C427" s="36" t="str">
        <f>IF(Data!C417="","",(IF(ISNUMBER(MATCH("*@*.?*",Data!C417,0)),0,1)+IF(COUNTIFS(Data!C$1:'Data'!C417,Data!C417)&gt;1,1,0)))</f>
        <v/>
      </c>
      <c r="D427" s="36" t="str">
        <f>IF(Data!B417="","",IF(ISNUMBER(Data!D417),IF(AND(Data!D417&gt;999999999,Data!D417&lt;=9999999999),IF(COUNTIFS(Data!D$1:'Data'!D417,Data!D417)&lt;=1,0,1),1),1))</f>
        <v/>
      </c>
      <c r="E427" s="36" t="str">
        <f>IF(Data!B417="","",IF(ISNUMBER(MATCH(Data!E417,Data_Val!$A$2:$A$3,0)),0,1))</f>
        <v/>
      </c>
      <c r="F427" s="36" t="str">
        <f ca="1">IF(Data!B417="","",IF(ISNUMBER(Data!F417),IF(AND(Data!F417&gt;(TODAY()-(Data_Val!$H$3*365.25)),Data!F417&lt;=(TODAY()-(Data_Val!$H$2*365.25))),0,1),1))</f>
        <v/>
      </c>
      <c r="G427" s="12" t="str">
        <f>IF(Data!B417="","",IF(AND(Data!G417="",Data!H417&lt;&gt;""),1,IF(ISNUMBER(MATCH(Data!G417,Data_Val!$C$2:$C$5,0)),0,1)))</f>
        <v/>
      </c>
      <c r="H427" s="12" t="str">
        <f>IF(Data!B417="","",IF(AND(Data!G417&lt;&gt;"",Data!H417=""),1,IF(Data!G417="",1,IF(ISNUMBER(MATCH(Data!H417,Data_Val!$D$2:$D$35,0)),0,1))))</f>
        <v/>
      </c>
      <c r="I427" s="38" t="str">
        <f>IF(Data!G417="","",IF(Data!G417=Data_Val!$C$2,IF(Data!I417="",0,1),0))</f>
        <v/>
      </c>
      <c r="J427" s="38" t="str">
        <f>IF(Data!I417="","",IF(ISNUMBER(MATCH(Data!J417,Data_Val!$A$2:$A$3,0)),0,1))</f>
        <v/>
      </c>
      <c r="K427" s="38" t="str">
        <f ca="1">IF(Data!I417="","",IF(ISNUMBER(Data!K417),IF(AND(Data!K417&gt;(TODAY()-(Data_Val!$K$3*365.25)),Data!K417&lt;=(TODAY()-(Data_Val!$K$2*365.25))),0,1),1))</f>
        <v/>
      </c>
      <c r="L427" s="16" t="str">
        <f>IF(Data!G417="","",IF(Data!G417=Data_Val!$C$2,IF(Data!L417="",0,1),0))</f>
        <v/>
      </c>
      <c r="M427" s="16" t="str">
        <f>IF(Data!L417="","",IF(ISNUMBER(MATCH(Data!M417,Data_Val!$A$2:$A$3,0)),0,1))</f>
        <v/>
      </c>
      <c r="N427" s="43" t="str">
        <f ca="1">IF(Data!L417="","",IF(ISNUMBER(Data!N417),IF(AND(Data!N417&gt;(TODAY()-(Data_Val!$L$3*365.25)),Data!N417&lt;=(TODAY()-(Data_Val!$L$2*365.25))),0,1),1))</f>
        <v/>
      </c>
      <c r="O427" s="18" t="str">
        <f>IF(Data!$G417="","",IF(Data!$G417=Data_Val!$C$2,IF(Data!O417="",0,1),0))</f>
        <v/>
      </c>
      <c r="P427" s="18" t="str">
        <f>IF(Data!O417="","",IF(ISNUMBER(MATCH(Data!P417,Data_Val!$A$2:$A$3,0)),0,1))</f>
        <v/>
      </c>
      <c r="Q427" s="44" t="str">
        <f ca="1">IF(Data!O417="","",IF(ISNUMBER(Data!Q417),IF(AND(Data!Q417&gt;(TODAY()-(Data_Val!$L$3*365.25)),Data!Q417&lt;=(TODAY()-(Data_Val!$L$2*365.25))),0,1),1))</f>
        <v/>
      </c>
    </row>
    <row r="428" spans="1:17" ht="12" customHeight="1" x14ac:dyDescent="0.25">
      <c r="A428" s="36" t="str">
        <f>IF(Data!B418="","",IF(COUNTIFS(Data!A$1:'Data'!A418,Data!A418)&lt;=1,0,1))</f>
        <v/>
      </c>
      <c r="B428" s="36"/>
      <c r="C428" s="36" t="str">
        <f>IF(Data!C418="","",(IF(ISNUMBER(MATCH("*@*.?*",Data!C418,0)),0,1)+IF(COUNTIFS(Data!C$1:'Data'!C418,Data!C418)&gt;1,1,0)))</f>
        <v/>
      </c>
      <c r="D428" s="36" t="str">
        <f>IF(Data!B418="","",IF(ISNUMBER(Data!D418),IF(AND(Data!D418&gt;999999999,Data!D418&lt;=9999999999),IF(COUNTIFS(Data!D$1:'Data'!D418,Data!D418)&lt;=1,0,1),1),1))</f>
        <v/>
      </c>
      <c r="E428" s="36" t="str">
        <f>IF(Data!B418="","",IF(ISNUMBER(MATCH(Data!E418,Data_Val!$A$2:$A$3,0)),0,1))</f>
        <v/>
      </c>
      <c r="F428" s="36" t="str">
        <f ca="1">IF(Data!B418="","",IF(ISNUMBER(Data!F418),IF(AND(Data!F418&gt;(TODAY()-(Data_Val!$H$3*365.25)),Data!F418&lt;=(TODAY()-(Data_Val!$H$2*365.25))),0,1),1))</f>
        <v/>
      </c>
      <c r="G428" s="12" t="str">
        <f>IF(Data!B418="","",IF(AND(Data!G418="",Data!H418&lt;&gt;""),1,IF(ISNUMBER(MATCH(Data!G418,Data_Val!$C$2:$C$5,0)),0,1)))</f>
        <v/>
      </c>
      <c r="H428" s="12" t="str">
        <f>IF(Data!B418="","",IF(AND(Data!G418&lt;&gt;"",Data!H418=""),1,IF(Data!G418="",1,IF(ISNUMBER(MATCH(Data!H418,Data_Val!$D$2:$D$35,0)),0,1))))</f>
        <v/>
      </c>
      <c r="I428" s="38" t="str">
        <f>IF(Data!G418="","",IF(Data!G418=Data_Val!$C$2,IF(Data!I418="",0,1),0))</f>
        <v/>
      </c>
      <c r="J428" s="38" t="str">
        <f>IF(Data!I418="","",IF(ISNUMBER(MATCH(Data!J418,Data_Val!$A$2:$A$3,0)),0,1))</f>
        <v/>
      </c>
      <c r="K428" s="38" t="str">
        <f ca="1">IF(Data!I418="","",IF(ISNUMBER(Data!K418),IF(AND(Data!K418&gt;(TODAY()-(Data_Val!$K$3*365.25)),Data!K418&lt;=(TODAY()-(Data_Val!$K$2*365.25))),0,1),1))</f>
        <v/>
      </c>
      <c r="L428" s="16" t="str">
        <f>IF(Data!G418="","",IF(Data!G418=Data_Val!$C$2,IF(Data!L418="",0,1),0))</f>
        <v/>
      </c>
      <c r="M428" s="16" t="str">
        <f>IF(Data!L418="","",IF(ISNUMBER(MATCH(Data!M418,Data_Val!$A$2:$A$3,0)),0,1))</f>
        <v/>
      </c>
      <c r="N428" s="43" t="str">
        <f ca="1">IF(Data!L418="","",IF(ISNUMBER(Data!N418),IF(AND(Data!N418&gt;(TODAY()-(Data_Val!$L$3*365.25)),Data!N418&lt;=(TODAY()-(Data_Val!$L$2*365.25))),0,1),1))</f>
        <v/>
      </c>
      <c r="O428" s="18" t="str">
        <f>IF(Data!$G418="","",IF(Data!$G418=Data_Val!$C$2,IF(Data!O418="",0,1),0))</f>
        <v/>
      </c>
      <c r="P428" s="18" t="str">
        <f>IF(Data!O418="","",IF(ISNUMBER(MATCH(Data!P418,Data_Val!$A$2:$A$3,0)),0,1))</f>
        <v/>
      </c>
      <c r="Q428" s="44" t="str">
        <f ca="1">IF(Data!O418="","",IF(ISNUMBER(Data!Q418),IF(AND(Data!Q418&gt;(TODAY()-(Data_Val!$L$3*365.25)),Data!Q418&lt;=(TODAY()-(Data_Val!$L$2*365.25))),0,1),1))</f>
        <v/>
      </c>
    </row>
    <row r="429" spans="1:17" ht="12" customHeight="1" x14ac:dyDescent="0.25">
      <c r="A429" s="36" t="str">
        <f>IF(Data!B419="","",IF(COUNTIFS(Data!A$1:'Data'!A419,Data!A419)&lt;=1,0,1))</f>
        <v/>
      </c>
      <c r="B429" s="36"/>
      <c r="C429" s="36" t="str">
        <f>IF(Data!C419="","",(IF(ISNUMBER(MATCH("*@*.?*",Data!C419,0)),0,1)+IF(COUNTIFS(Data!C$1:'Data'!C419,Data!C419)&gt;1,1,0)))</f>
        <v/>
      </c>
      <c r="D429" s="36" t="str">
        <f>IF(Data!B419="","",IF(ISNUMBER(Data!D419),IF(AND(Data!D419&gt;999999999,Data!D419&lt;=9999999999),IF(COUNTIFS(Data!D$1:'Data'!D419,Data!D419)&lt;=1,0,1),1),1))</f>
        <v/>
      </c>
      <c r="E429" s="36" t="str">
        <f>IF(Data!B419="","",IF(ISNUMBER(MATCH(Data!E419,Data_Val!$A$2:$A$3,0)),0,1))</f>
        <v/>
      </c>
      <c r="F429" s="36" t="str">
        <f ca="1">IF(Data!B419="","",IF(ISNUMBER(Data!F419),IF(AND(Data!F419&gt;(TODAY()-(Data_Val!$H$3*365.25)),Data!F419&lt;=(TODAY()-(Data_Val!$H$2*365.25))),0,1),1))</f>
        <v/>
      </c>
      <c r="G429" s="12" t="str">
        <f>IF(Data!B419="","",IF(AND(Data!G419="",Data!H419&lt;&gt;""),1,IF(ISNUMBER(MATCH(Data!G419,Data_Val!$C$2:$C$5,0)),0,1)))</f>
        <v/>
      </c>
      <c r="H429" s="12" t="str">
        <f>IF(Data!B419="","",IF(AND(Data!G419&lt;&gt;"",Data!H419=""),1,IF(Data!G419="",1,IF(ISNUMBER(MATCH(Data!H419,Data_Val!$D$2:$D$35,0)),0,1))))</f>
        <v/>
      </c>
      <c r="I429" s="38" t="str">
        <f>IF(Data!G419="","",IF(Data!G419=Data_Val!$C$2,IF(Data!I419="",0,1),0))</f>
        <v/>
      </c>
      <c r="J429" s="38" t="str">
        <f>IF(Data!I419="","",IF(ISNUMBER(MATCH(Data!J419,Data_Val!$A$2:$A$3,0)),0,1))</f>
        <v/>
      </c>
      <c r="K429" s="38" t="str">
        <f ca="1">IF(Data!I419="","",IF(ISNUMBER(Data!K419),IF(AND(Data!K419&gt;(TODAY()-(Data_Val!$K$3*365.25)),Data!K419&lt;=(TODAY()-(Data_Val!$K$2*365.25))),0,1),1))</f>
        <v/>
      </c>
      <c r="L429" s="16" t="str">
        <f>IF(Data!G419="","",IF(Data!G419=Data_Val!$C$2,IF(Data!L419="",0,1),0))</f>
        <v/>
      </c>
      <c r="M429" s="16" t="str">
        <f>IF(Data!L419="","",IF(ISNUMBER(MATCH(Data!M419,Data_Val!$A$2:$A$3,0)),0,1))</f>
        <v/>
      </c>
      <c r="N429" s="43" t="str">
        <f ca="1">IF(Data!L419="","",IF(ISNUMBER(Data!N419),IF(AND(Data!N419&gt;(TODAY()-(Data_Val!$L$3*365.25)),Data!N419&lt;=(TODAY()-(Data_Val!$L$2*365.25))),0,1),1))</f>
        <v/>
      </c>
      <c r="O429" s="18" t="str">
        <f>IF(Data!$G419="","",IF(Data!$G419=Data_Val!$C$2,IF(Data!O419="",0,1),0))</f>
        <v/>
      </c>
      <c r="P429" s="18" t="str">
        <f>IF(Data!O419="","",IF(ISNUMBER(MATCH(Data!P419,Data_Val!$A$2:$A$3,0)),0,1))</f>
        <v/>
      </c>
      <c r="Q429" s="44" t="str">
        <f ca="1">IF(Data!O419="","",IF(ISNUMBER(Data!Q419),IF(AND(Data!Q419&gt;(TODAY()-(Data_Val!$L$3*365.25)),Data!Q419&lt;=(TODAY()-(Data_Val!$L$2*365.25))),0,1),1))</f>
        <v/>
      </c>
    </row>
    <row r="430" spans="1:17" ht="12" customHeight="1" x14ac:dyDescent="0.25">
      <c r="A430" s="36" t="str">
        <f>IF(Data!B420="","",IF(COUNTIFS(Data!A$1:'Data'!A420,Data!A420)&lt;=1,0,1))</f>
        <v/>
      </c>
      <c r="B430" s="36"/>
      <c r="C430" s="36" t="str">
        <f>IF(Data!C420="","",(IF(ISNUMBER(MATCH("*@*.?*",Data!C420,0)),0,1)+IF(COUNTIFS(Data!C$1:'Data'!C420,Data!C420)&gt;1,1,0)))</f>
        <v/>
      </c>
      <c r="D430" s="36" t="str">
        <f>IF(Data!B420="","",IF(ISNUMBER(Data!D420),IF(AND(Data!D420&gt;999999999,Data!D420&lt;=9999999999),IF(COUNTIFS(Data!D$1:'Data'!D420,Data!D420)&lt;=1,0,1),1),1))</f>
        <v/>
      </c>
      <c r="E430" s="36" t="str">
        <f>IF(Data!B420="","",IF(ISNUMBER(MATCH(Data!E420,Data_Val!$A$2:$A$3,0)),0,1))</f>
        <v/>
      </c>
      <c r="F430" s="36" t="str">
        <f ca="1">IF(Data!B420="","",IF(ISNUMBER(Data!F420),IF(AND(Data!F420&gt;(TODAY()-(Data_Val!$H$3*365.25)),Data!F420&lt;=(TODAY()-(Data_Val!$H$2*365.25))),0,1),1))</f>
        <v/>
      </c>
      <c r="G430" s="12" t="str">
        <f>IF(Data!B420="","",IF(AND(Data!G420="",Data!H420&lt;&gt;""),1,IF(ISNUMBER(MATCH(Data!G420,Data_Val!$C$2:$C$5,0)),0,1)))</f>
        <v/>
      </c>
      <c r="H430" s="12" t="str">
        <f>IF(Data!B420="","",IF(AND(Data!G420&lt;&gt;"",Data!H420=""),1,IF(Data!G420="",1,IF(ISNUMBER(MATCH(Data!H420,Data_Val!$D$2:$D$35,0)),0,1))))</f>
        <v/>
      </c>
      <c r="I430" s="38" t="str">
        <f>IF(Data!G420="","",IF(Data!G420=Data_Val!$C$2,IF(Data!I420="",0,1),0))</f>
        <v/>
      </c>
      <c r="J430" s="38" t="str">
        <f>IF(Data!I420="","",IF(ISNUMBER(MATCH(Data!J420,Data_Val!$A$2:$A$3,0)),0,1))</f>
        <v/>
      </c>
      <c r="K430" s="38" t="str">
        <f ca="1">IF(Data!I420="","",IF(ISNUMBER(Data!K420),IF(AND(Data!K420&gt;(TODAY()-(Data_Val!$K$3*365.25)),Data!K420&lt;=(TODAY()-(Data_Val!$K$2*365.25))),0,1),1))</f>
        <v/>
      </c>
      <c r="L430" s="16" t="str">
        <f>IF(Data!G420="","",IF(Data!G420=Data_Val!$C$2,IF(Data!L420="",0,1),0))</f>
        <v/>
      </c>
      <c r="M430" s="16" t="str">
        <f>IF(Data!L420="","",IF(ISNUMBER(MATCH(Data!M420,Data_Val!$A$2:$A$3,0)),0,1))</f>
        <v/>
      </c>
      <c r="N430" s="43" t="str">
        <f ca="1">IF(Data!L420="","",IF(ISNUMBER(Data!N420),IF(AND(Data!N420&gt;(TODAY()-(Data_Val!$L$3*365.25)),Data!N420&lt;=(TODAY()-(Data_Val!$L$2*365.25))),0,1),1))</f>
        <v/>
      </c>
      <c r="O430" s="18" t="str">
        <f>IF(Data!$G420="","",IF(Data!$G420=Data_Val!$C$2,IF(Data!O420="",0,1),0))</f>
        <v/>
      </c>
      <c r="P430" s="18" t="str">
        <f>IF(Data!O420="","",IF(ISNUMBER(MATCH(Data!P420,Data_Val!$A$2:$A$3,0)),0,1))</f>
        <v/>
      </c>
      <c r="Q430" s="44" t="str">
        <f ca="1">IF(Data!O420="","",IF(ISNUMBER(Data!Q420),IF(AND(Data!Q420&gt;(TODAY()-(Data_Val!$L$3*365.25)),Data!Q420&lt;=(TODAY()-(Data_Val!$L$2*365.25))),0,1),1))</f>
        <v/>
      </c>
    </row>
    <row r="431" spans="1:17" ht="12" customHeight="1" x14ac:dyDescent="0.25">
      <c r="A431" s="36" t="str">
        <f>IF(Data!B421="","",IF(COUNTIFS(Data!A$1:'Data'!A421,Data!A421)&lt;=1,0,1))</f>
        <v/>
      </c>
      <c r="B431" s="36"/>
      <c r="C431" s="36" t="str">
        <f>IF(Data!C421="","",(IF(ISNUMBER(MATCH("*@*.?*",Data!C421,0)),0,1)+IF(COUNTIFS(Data!C$1:'Data'!C421,Data!C421)&gt;1,1,0)))</f>
        <v/>
      </c>
      <c r="D431" s="36" t="str">
        <f>IF(Data!B421="","",IF(ISNUMBER(Data!D421),IF(AND(Data!D421&gt;999999999,Data!D421&lt;=9999999999),IF(COUNTIFS(Data!D$1:'Data'!D421,Data!D421)&lt;=1,0,1),1),1))</f>
        <v/>
      </c>
      <c r="E431" s="36" t="str">
        <f>IF(Data!B421="","",IF(ISNUMBER(MATCH(Data!E421,Data_Val!$A$2:$A$3,0)),0,1))</f>
        <v/>
      </c>
      <c r="F431" s="36" t="str">
        <f ca="1">IF(Data!B421="","",IF(ISNUMBER(Data!F421),IF(AND(Data!F421&gt;(TODAY()-(Data_Val!$H$3*365.25)),Data!F421&lt;=(TODAY()-(Data_Val!$H$2*365.25))),0,1),1))</f>
        <v/>
      </c>
      <c r="G431" s="12" t="str">
        <f>IF(Data!B421="","",IF(AND(Data!G421="",Data!H421&lt;&gt;""),1,IF(ISNUMBER(MATCH(Data!G421,Data_Val!$C$2:$C$5,0)),0,1)))</f>
        <v/>
      </c>
      <c r="H431" s="12" t="str">
        <f>IF(Data!B421="","",IF(AND(Data!G421&lt;&gt;"",Data!H421=""),1,IF(Data!G421="",1,IF(ISNUMBER(MATCH(Data!H421,Data_Val!$D$2:$D$35,0)),0,1))))</f>
        <v/>
      </c>
      <c r="I431" s="38" t="str">
        <f>IF(Data!G421="","",IF(Data!G421=Data_Val!$C$2,IF(Data!I421="",0,1),0))</f>
        <v/>
      </c>
      <c r="J431" s="38" t="str">
        <f>IF(Data!I421="","",IF(ISNUMBER(MATCH(Data!J421,Data_Val!$A$2:$A$3,0)),0,1))</f>
        <v/>
      </c>
      <c r="K431" s="38" t="str">
        <f ca="1">IF(Data!I421="","",IF(ISNUMBER(Data!K421),IF(AND(Data!K421&gt;(TODAY()-(Data_Val!$K$3*365.25)),Data!K421&lt;=(TODAY()-(Data_Val!$K$2*365.25))),0,1),1))</f>
        <v/>
      </c>
      <c r="L431" s="16" t="str">
        <f>IF(Data!G421="","",IF(Data!G421=Data_Val!$C$2,IF(Data!L421="",0,1),0))</f>
        <v/>
      </c>
      <c r="M431" s="16" t="str">
        <f>IF(Data!L421="","",IF(ISNUMBER(MATCH(Data!M421,Data_Val!$A$2:$A$3,0)),0,1))</f>
        <v/>
      </c>
      <c r="N431" s="43" t="str">
        <f ca="1">IF(Data!L421="","",IF(ISNUMBER(Data!N421),IF(AND(Data!N421&gt;(TODAY()-(Data_Val!$L$3*365.25)),Data!N421&lt;=(TODAY()-(Data_Val!$L$2*365.25))),0,1),1))</f>
        <v/>
      </c>
      <c r="O431" s="18" t="str">
        <f>IF(Data!$G421="","",IF(Data!$G421=Data_Val!$C$2,IF(Data!O421="",0,1),0))</f>
        <v/>
      </c>
      <c r="P431" s="18" t="str">
        <f>IF(Data!O421="","",IF(ISNUMBER(MATCH(Data!P421,Data_Val!$A$2:$A$3,0)),0,1))</f>
        <v/>
      </c>
      <c r="Q431" s="44" t="str">
        <f ca="1">IF(Data!O421="","",IF(ISNUMBER(Data!Q421),IF(AND(Data!Q421&gt;(TODAY()-(Data_Val!$L$3*365.25)),Data!Q421&lt;=(TODAY()-(Data_Val!$L$2*365.25))),0,1),1))</f>
        <v/>
      </c>
    </row>
    <row r="432" spans="1:17" ht="12" customHeight="1" x14ac:dyDescent="0.25">
      <c r="A432" s="36" t="str">
        <f>IF(Data!B422="","",IF(COUNTIFS(Data!A$1:'Data'!A422,Data!A422)&lt;=1,0,1))</f>
        <v/>
      </c>
      <c r="B432" s="36"/>
      <c r="C432" s="36" t="str">
        <f>IF(Data!C422="","",(IF(ISNUMBER(MATCH("*@*.?*",Data!C422,0)),0,1)+IF(COUNTIFS(Data!C$1:'Data'!C422,Data!C422)&gt;1,1,0)))</f>
        <v/>
      </c>
      <c r="D432" s="36" t="str">
        <f>IF(Data!B422="","",IF(ISNUMBER(Data!D422),IF(AND(Data!D422&gt;999999999,Data!D422&lt;=9999999999),IF(COUNTIFS(Data!D$1:'Data'!D422,Data!D422)&lt;=1,0,1),1),1))</f>
        <v/>
      </c>
      <c r="E432" s="36" t="str">
        <f>IF(Data!B422="","",IF(ISNUMBER(MATCH(Data!E422,Data_Val!$A$2:$A$3,0)),0,1))</f>
        <v/>
      </c>
      <c r="F432" s="36" t="str">
        <f ca="1">IF(Data!B422="","",IF(ISNUMBER(Data!F422),IF(AND(Data!F422&gt;(TODAY()-(Data_Val!$H$3*365.25)),Data!F422&lt;=(TODAY()-(Data_Val!$H$2*365.25))),0,1),1))</f>
        <v/>
      </c>
      <c r="G432" s="12" t="str">
        <f>IF(Data!B422="","",IF(AND(Data!G422="",Data!H422&lt;&gt;""),1,IF(ISNUMBER(MATCH(Data!G422,Data_Val!$C$2:$C$5,0)),0,1)))</f>
        <v/>
      </c>
      <c r="H432" s="12" t="str">
        <f>IF(Data!B422="","",IF(AND(Data!G422&lt;&gt;"",Data!H422=""),1,IF(Data!G422="",1,IF(ISNUMBER(MATCH(Data!H422,Data_Val!$D$2:$D$35,0)),0,1))))</f>
        <v/>
      </c>
      <c r="I432" s="38" t="str">
        <f>IF(Data!G422="","",IF(Data!G422=Data_Val!$C$2,IF(Data!I422="",0,1),0))</f>
        <v/>
      </c>
      <c r="J432" s="38" t="str">
        <f>IF(Data!I422="","",IF(ISNUMBER(MATCH(Data!J422,Data_Val!$A$2:$A$3,0)),0,1))</f>
        <v/>
      </c>
      <c r="K432" s="38" t="str">
        <f ca="1">IF(Data!I422="","",IF(ISNUMBER(Data!K422),IF(AND(Data!K422&gt;(TODAY()-(Data_Val!$K$3*365.25)),Data!K422&lt;=(TODAY()-(Data_Val!$K$2*365.25))),0,1),1))</f>
        <v/>
      </c>
      <c r="L432" s="16" t="str">
        <f>IF(Data!G422="","",IF(Data!G422=Data_Val!$C$2,IF(Data!L422="",0,1),0))</f>
        <v/>
      </c>
      <c r="M432" s="16" t="str">
        <f>IF(Data!L422="","",IF(ISNUMBER(MATCH(Data!M422,Data_Val!$A$2:$A$3,0)),0,1))</f>
        <v/>
      </c>
      <c r="N432" s="43" t="str">
        <f ca="1">IF(Data!L422="","",IF(ISNUMBER(Data!N422),IF(AND(Data!N422&gt;(TODAY()-(Data_Val!$L$3*365.25)),Data!N422&lt;=(TODAY()-(Data_Val!$L$2*365.25))),0,1),1))</f>
        <v/>
      </c>
      <c r="O432" s="18" t="str">
        <f>IF(Data!$G422="","",IF(Data!$G422=Data_Val!$C$2,IF(Data!O422="",0,1),0))</f>
        <v/>
      </c>
      <c r="P432" s="18" t="str">
        <f>IF(Data!O422="","",IF(ISNUMBER(MATCH(Data!P422,Data_Val!$A$2:$A$3,0)),0,1))</f>
        <v/>
      </c>
      <c r="Q432" s="44" t="str">
        <f ca="1">IF(Data!O422="","",IF(ISNUMBER(Data!Q422),IF(AND(Data!Q422&gt;(TODAY()-(Data_Val!$L$3*365.25)),Data!Q422&lt;=(TODAY()-(Data_Val!$L$2*365.25))),0,1),1))</f>
        <v/>
      </c>
    </row>
    <row r="433" spans="1:17" ht="12" customHeight="1" x14ac:dyDescent="0.25">
      <c r="A433" s="36" t="str">
        <f>IF(Data!B423="","",IF(COUNTIFS(Data!A$1:'Data'!A423,Data!A423)&lt;=1,0,1))</f>
        <v/>
      </c>
      <c r="B433" s="36"/>
      <c r="C433" s="36" t="str">
        <f>IF(Data!C423="","",(IF(ISNUMBER(MATCH("*@*.?*",Data!C423,0)),0,1)+IF(COUNTIFS(Data!C$1:'Data'!C423,Data!C423)&gt;1,1,0)))</f>
        <v/>
      </c>
      <c r="D433" s="36" t="str">
        <f>IF(Data!B423="","",IF(ISNUMBER(Data!D423),IF(AND(Data!D423&gt;999999999,Data!D423&lt;=9999999999),IF(COUNTIFS(Data!D$1:'Data'!D423,Data!D423)&lt;=1,0,1),1),1))</f>
        <v/>
      </c>
      <c r="E433" s="36" t="str">
        <f>IF(Data!B423="","",IF(ISNUMBER(MATCH(Data!E423,Data_Val!$A$2:$A$3,0)),0,1))</f>
        <v/>
      </c>
      <c r="F433" s="36" t="str">
        <f ca="1">IF(Data!B423="","",IF(ISNUMBER(Data!F423),IF(AND(Data!F423&gt;(TODAY()-(Data_Val!$H$3*365.25)),Data!F423&lt;=(TODAY()-(Data_Val!$H$2*365.25))),0,1),1))</f>
        <v/>
      </c>
      <c r="G433" s="12" t="str">
        <f>IF(Data!B423="","",IF(AND(Data!G423="",Data!H423&lt;&gt;""),1,IF(ISNUMBER(MATCH(Data!G423,Data_Val!$C$2:$C$5,0)),0,1)))</f>
        <v/>
      </c>
      <c r="H433" s="12" t="str">
        <f>IF(Data!B423="","",IF(AND(Data!G423&lt;&gt;"",Data!H423=""),1,IF(Data!G423="",1,IF(ISNUMBER(MATCH(Data!H423,Data_Val!$D$2:$D$35,0)),0,1))))</f>
        <v/>
      </c>
      <c r="I433" s="38" t="str">
        <f>IF(Data!G423="","",IF(Data!G423=Data_Val!$C$2,IF(Data!I423="",0,1),0))</f>
        <v/>
      </c>
      <c r="J433" s="38" t="str">
        <f>IF(Data!I423="","",IF(ISNUMBER(MATCH(Data!J423,Data_Val!$A$2:$A$3,0)),0,1))</f>
        <v/>
      </c>
      <c r="K433" s="38" t="str">
        <f ca="1">IF(Data!I423="","",IF(ISNUMBER(Data!K423),IF(AND(Data!K423&gt;(TODAY()-(Data_Val!$K$3*365.25)),Data!K423&lt;=(TODAY()-(Data_Val!$K$2*365.25))),0,1),1))</f>
        <v/>
      </c>
      <c r="L433" s="16" t="str">
        <f>IF(Data!G423="","",IF(Data!G423=Data_Val!$C$2,IF(Data!L423="",0,1),0))</f>
        <v/>
      </c>
      <c r="M433" s="16" t="str">
        <f>IF(Data!L423="","",IF(ISNUMBER(MATCH(Data!M423,Data_Val!$A$2:$A$3,0)),0,1))</f>
        <v/>
      </c>
      <c r="N433" s="43" t="str">
        <f ca="1">IF(Data!L423="","",IF(ISNUMBER(Data!N423),IF(AND(Data!N423&gt;(TODAY()-(Data_Val!$L$3*365.25)),Data!N423&lt;=(TODAY()-(Data_Val!$L$2*365.25))),0,1),1))</f>
        <v/>
      </c>
      <c r="O433" s="18" t="str">
        <f>IF(Data!$G423="","",IF(Data!$G423=Data_Val!$C$2,IF(Data!O423="",0,1),0))</f>
        <v/>
      </c>
      <c r="P433" s="18" t="str">
        <f>IF(Data!O423="","",IF(ISNUMBER(MATCH(Data!P423,Data_Val!$A$2:$A$3,0)),0,1))</f>
        <v/>
      </c>
      <c r="Q433" s="44" t="str">
        <f ca="1">IF(Data!O423="","",IF(ISNUMBER(Data!Q423),IF(AND(Data!Q423&gt;(TODAY()-(Data_Val!$L$3*365.25)),Data!Q423&lt;=(TODAY()-(Data_Val!$L$2*365.25))),0,1),1))</f>
        <v/>
      </c>
    </row>
    <row r="434" spans="1:17" ht="12" customHeight="1" x14ac:dyDescent="0.25">
      <c r="A434" s="36" t="str">
        <f>IF(Data!B424="","",IF(COUNTIFS(Data!A$1:'Data'!A424,Data!A424)&lt;=1,0,1))</f>
        <v/>
      </c>
      <c r="B434" s="36"/>
      <c r="C434" s="36" t="str">
        <f>IF(Data!C424="","",(IF(ISNUMBER(MATCH("*@*.?*",Data!C424,0)),0,1)+IF(COUNTIFS(Data!C$1:'Data'!C424,Data!C424)&gt;1,1,0)))</f>
        <v/>
      </c>
      <c r="D434" s="36" t="str">
        <f>IF(Data!B424="","",IF(ISNUMBER(Data!D424),IF(AND(Data!D424&gt;999999999,Data!D424&lt;=9999999999),IF(COUNTIFS(Data!D$1:'Data'!D424,Data!D424)&lt;=1,0,1),1),1))</f>
        <v/>
      </c>
      <c r="E434" s="36" t="str">
        <f>IF(Data!B424="","",IF(ISNUMBER(MATCH(Data!E424,Data_Val!$A$2:$A$3,0)),0,1))</f>
        <v/>
      </c>
      <c r="F434" s="36" t="str">
        <f ca="1">IF(Data!B424="","",IF(ISNUMBER(Data!F424),IF(AND(Data!F424&gt;(TODAY()-(Data_Val!$H$3*365.25)),Data!F424&lt;=(TODAY()-(Data_Val!$H$2*365.25))),0,1),1))</f>
        <v/>
      </c>
      <c r="G434" s="12" t="str">
        <f>IF(Data!B424="","",IF(AND(Data!G424="",Data!H424&lt;&gt;""),1,IF(ISNUMBER(MATCH(Data!G424,Data_Val!$C$2:$C$5,0)),0,1)))</f>
        <v/>
      </c>
      <c r="H434" s="12" t="str">
        <f>IF(Data!B424="","",IF(AND(Data!G424&lt;&gt;"",Data!H424=""),1,IF(Data!G424="",1,IF(ISNUMBER(MATCH(Data!H424,Data_Val!$D$2:$D$35,0)),0,1))))</f>
        <v/>
      </c>
      <c r="I434" s="38" t="str">
        <f>IF(Data!G424="","",IF(Data!G424=Data_Val!$C$2,IF(Data!I424="",0,1),0))</f>
        <v/>
      </c>
      <c r="J434" s="38" t="str">
        <f>IF(Data!I424="","",IF(ISNUMBER(MATCH(Data!J424,Data_Val!$A$2:$A$3,0)),0,1))</f>
        <v/>
      </c>
      <c r="K434" s="38" t="str">
        <f ca="1">IF(Data!I424="","",IF(ISNUMBER(Data!K424),IF(AND(Data!K424&gt;(TODAY()-(Data_Val!$K$3*365.25)),Data!K424&lt;=(TODAY()-(Data_Val!$K$2*365.25))),0,1),1))</f>
        <v/>
      </c>
      <c r="L434" s="16" t="str">
        <f>IF(Data!G424="","",IF(Data!G424=Data_Val!$C$2,IF(Data!L424="",0,1),0))</f>
        <v/>
      </c>
      <c r="M434" s="16" t="str">
        <f>IF(Data!L424="","",IF(ISNUMBER(MATCH(Data!M424,Data_Val!$A$2:$A$3,0)),0,1))</f>
        <v/>
      </c>
      <c r="N434" s="43" t="str">
        <f ca="1">IF(Data!L424="","",IF(ISNUMBER(Data!N424),IF(AND(Data!N424&gt;(TODAY()-(Data_Val!$L$3*365.25)),Data!N424&lt;=(TODAY()-(Data_Val!$L$2*365.25))),0,1),1))</f>
        <v/>
      </c>
      <c r="O434" s="18" t="str">
        <f>IF(Data!$G424="","",IF(Data!$G424=Data_Val!$C$2,IF(Data!O424="",0,1),0))</f>
        <v/>
      </c>
      <c r="P434" s="18" t="str">
        <f>IF(Data!O424="","",IF(ISNUMBER(MATCH(Data!P424,Data_Val!$A$2:$A$3,0)),0,1))</f>
        <v/>
      </c>
      <c r="Q434" s="44" t="str">
        <f ca="1">IF(Data!O424="","",IF(ISNUMBER(Data!Q424),IF(AND(Data!Q424&gt;(TODAY()-(Data_Val!$L$3*365.25)),Data!Q424&lt;=(TODAY()-(Data_Val!$L$2*365.25))),0,1),1))</f>
        <v/>
      </c>
    </row>
    <row r="435" spans="1:17" ht="12" customHeight="1" x14ac:dyDescent="0.25">
      <c r="A435" s="36" t="str">
        <f>IF(Data!B425="","",IF(COUNTIFS(Data!A$1:'Data'!A425,Data!A425)&lt;=1,0,1))</f>
        <v/>
      </c>
      <c r="B435" s="36"/>
      <c r="C435" s="36" t="str">
        <f>IF(Data!C425="","",(IF(ISNUMBER(MATCH("*@*.?*",Data!C425,0)),0,1)+IF(COUNTIFS(Data!C$1:'Data'!C425,Data!C425)&gt;1,1,0)))</f>
        <v/>
      </c>
      <c r="D435" s="36" t="str">
        <f>IF(Data!B425="","",IF(ISNUMBER(Data!D425),IF(AND(Data!D425&gt;999999999,Data!D425&lt;=9999999999),IF(COUNTIFS(Data!D$1:'Data'!D425,Data!D425)&lt;=1,0,1),1),1))</f>
        <v/>
      </c>
      <c r="E435" s="36" t="str">
        <f>IF(Data!B425="","",IF(ISNUMBER(MATCH(Data!E425,Data_Val!$A$2:$A$3,0)),0,1))</f>
        <v/>
      </c>
      <c r="F435" s="36" t="str">
        <f ca="1">IF(Data!B425="","",IF(ISNUMBER(Data!F425),IF(AND(Data!F425&gt;(TODAY()-(Data_Val!$H$3*365.25)),Data!F425&lt;=(TODAY()-(Data_Val!$H$2*365.25))),0,1),1))</f>
        <v/>
      </c>
      <c r="G435" s="12" t="str">
        <f>IF(Data!B425="","",IF(AND(Data!G425="",Data!H425&lt;&gt;""),1,IF(ISNUMBER(MATCH(Data!G425,Data_Val!$C$2:$C$5,0)),0,1)))</f>
        <v/>
      </c>
      <c r="H435" s="12" t="str">
        <f>IF(Data!B425="","",IF(AND(Data!G425&lt;&gt;"",Data!H425=""),1,IF(Data!G425="",1,IF(ISNUMBER(MATCH(Data!H425,Data_Val!$D$2:$D$35,0)),0,1))))</f>
        <v/>
      </c>
      <c r="I435" s="38" t="str">
        <f>IF(Data!G425="","",IF(Data!G425=Data_Val!$C$2,IF(Data!I425="",0,1),0))</f>
        <v/>
      </c>
      <c r="J435" s="38" t="str">
        <f>IF(Data!I425="","",IF(ISNUMBER(MATCH(Data!J425,Data_Val!$A$2:$A$3,0)),0,1))</f>
        <v/>
      </c>
      <c r="K435" s="38" t="str">
        <f ca="1">IF(Data!I425="","",IF(ISNUMBER(Data!K425),IF(AND(Data!K425&gt;(TODAY()-(Data_Val!$K$3*365.25)),Data!K425&lt;=(TODAY()-(Data_Val!$K$2*365.25))),0,1),1))</f>
        <v/>
      </c>
      <c r="L435" s="16" t="str">
        <f>IF(Data!G425="","",IF(Data!G425=Data_Val!$C$2,IF(Data!L425="",0,1),0))</f>
        <v/>
      </c>
      <c r="M435" s="16" t="str">
        <f>IF(Data!L425="","",IF(ISNUMBER(MATCH(Data!M425,Data_Val!$A$2:$A$3,0)),0,1))</f>
        <v/>
      </c>
      <c r="N435" s="43" t="str">
        <f ca="1">IF(Data!L425="","",IF(ISNUMBER(Data!N425),IF(AND(Data!N425&gt;(TODAY()-(Data_Val!$L$3*365.25)),Data!N425&lt;=(TODAY()-(Data_Val!$L$2*365.25))),0,1),1))</f>
        <v/>
      </c>
      <c r="O435" s="18" t="str">
        <f>IF(Data!$G425="","",IF(Data!$G425=Data_Val!$C$2,IF(Data!O425="",0,1),0))</f>
        <v/>
      </c>
      <c r="P435" s="18" t="str">
        <f>IF(Data!O425="","",IF(ISNUMBER(MATCH(Data!P425,Data_Val!$A$2:$A$3,0)),0,1))</f>
        <v/>
      </c>
      <c r="Q435" s="44" t="str">
        <f ca="1">IF(Data!O425="","",IF(ISNUMBER(Data!Q425),IF(AND(Data!Q425&gt;(TODAY()-(Data_Val!$L$3*365.25)),Data!Q425&lt;=(TODAY()-(Data_Val!$L$2*365.25))),0,1),1))</f>
        <v/>
      </c>
    </row>
    <row r="436" spans="1:17" ht="12" customHeight="1" x14ac:dyDescent="0.25">
      <c r="A436" s="36" t="str">
        <f>IF(Data!B426="","",IF(COUNTIFS(Data!A$1:'Data'!A426,Data!A426)&lt;=1,0,1))</f>
        <v/>
      </c>
      <c r="B436" s="36"/>
      <c r="C436" s="36" t="str">
        <f>IF(Data!C426="","",(IF(ISNUMBER(MATCH("*@*.?*",Data!C426,0)),0,1)+IF(COUNTIFS(Data!C$1:'Data'!C426,Data!C426)&gt;1,1,0)))</f>
        <v/>
      </c>
      <c r="D436" s="36" t="str">
        <f>IF(Data!B426="","",IF(ISNUMBER(Data!D426),IF(AND(Data!D426&gt;999999999,Data!D426&lt;=9999999999),IF(COUNTIFS(Data!D$1:'Data'!D426,Data!D426)&lt;=1,0,1),1),1))</f>
        <v/>
      </c>
      <c r="E436" s="36" t="str">
        <f>IF(Data!B426="","",IF(ISNUMBER(MATCH(Data!E426,Data_Val!$A$2:$A$3,0)),0,1))</f>
        <v/>
      </c>
      <c r="F436" s="36" t="str">
        <f ca="1">IF(Data!B426="","",IF(ISNUMBER(Data!F426),IF(AND(Data!F426&gt;(TODAY()-(Data_Val!$H$3*365.25)),Data!F426&lt;=(TODAY()-(Data_Val!$H$2*365.25))),0,1),1))</f>
        <v/>
      </c>
      <c r="G436" s="12" t="str">
        <f>IF(Data!B426="","",IF(AND(Data!G426="",Data!H426&lt;&gt;""),1,IF(ISNUMBER(MATCH(Data!G426,Data_Val!$C$2:$C$5,0)),0,1)))</f>
        <v/>
      </c>
      <c r="H436" s="12" t="str">
        <f>IF(Data!B426="","",IF(AND(Data!G426&lt;&gt;"",Data!H426=""),1,IF(Data!G426="",1,IF(ISNUMBER(MATCH(Data!H426,Data_Val!$D$2:$D$35,0)),0,1))))</f>
        <v/>
      </c>
      <c r="I436" s="38" t="str">
        <f>IF(Data!G426="","",IF(Data!G426=Data_Val!$C$2,IF(Data!I426="",0,1),0))</f>
        <v/>
      </c>
      <c r="J436" s="38" t="str">
        <f>IF(Data!I426="","",IF(ISNUMBER(MATCH(Data!J426,Data_Val!$A$2:$A$3,0)),0,1))</f>
        <v/>
      </c>
      <c r="K436" s="38" t="str">
        <f ca="1">IF(Data!I426="","",IF(ISNUMBER(Data!K426),IF(AND(Data!K426&gt;(TODAY()-(Data_Val!$K$3*365.25)),Data!K426&lt;=(TODAY()-(Data_Val!$K$2*365.25))),0,1),1))</f>
        <v/>
      </c>
      <c r="L436" s="16" t="str">
        <f>IF(Data!G426="","",IF(Data!G426=Data_Val!$C$2,IF(Data!L426="",0,1),0))</f>
        <v/>
      </c>
      <c r="M436" s="16" t="str">
        <f>IF(Data!L426="","",IF(ISNUMBER(MATCH(Data!M426,Data_Val!$A$2:$A$3,0)),0,1))</f>
        <v/>
      </c>
      <c r="N436" s="43" t="str">
        <f ca="1">IF(Data!L426="","",IF(ISNUMBER(Data!N426),IF(AND(Data!N426&gt;(TODAY()-(Data_Val!$L$3*365.25)),Data!N426&lt;=(TODAY()-(Data_Val!$L$2*365.25))),0,1),1))</f>
        <v/>
      </c>
      <c r="O436" s="18" t="str">
        <f>IF(Data!$G426="","",IF(Data!$G426=Data_Val!$C$2,IF(Data!O426="",0,1),0))</f>
        <v/>
      </c>
      <c r="P436" s="18" t="str">
        <f>IF(Data!O426="","",IF(ISNUMBER(MATCH(Data!P426,Data_Val!$A$2:$A$3,0)),0,1))</f>
        <v/>
      </c>
      <c r="Q436" s="44" t="str">
        <f ca="1">IF(Data!O426="","",IF(ISNUMBER(Data!Q426),IF(AND(Data!Q426&gt;(TODAY()-(Data_Val!$L$3*365.25)),Data!Q426&lt;=(TODAY()-(Data_Val!$L$2*365.25))),0,1),1))</f>
        <v/>
      </c>
    </row>
    <row r="437" spans="1:17" ht="12" customHeight="1" x14ac:dyDescent="0.25">
      <c r="A437" s="36" t="str">
        <f>IF(Data!B427="","",IF(COUNTIFS(Data!A$1:'Data'!A427,Data!A427)&lt;=1,0,1))</f>
        <v/>
      </c>
      <c r="B437" s="36"/>
      <c r="C437" s="36" t="str">
        <f>IF(Data!C427="","",(IF(ISNUMBER(MATCH("*@*.?*",Data!C427,0)),0,1)+IF(COUNTIFS(Data!C$1:'Data'!C427,Data!C427)&gt;1,1,0)))</f>
        <v/>
      </c>
      <c r="D437" s="36" t="str">
        <f>IF(Data!B427="","",IF(ISNUMBER(Data!D427),IF(AND(Data!D427&gt;999999999,Data!D427&lt;=9999999999),IF(COUNTIFS(Data!D$1:'Data'!D427,Data!D427)&lt;=1,0,1),1),1))</f>
        <v/>
      </c>
      <c r="E437" s="36" t="str">
        <f>IF(Data!B427="","",IF(ISNUMBER(MATCH(Data!E427,Data_Val!$A$2:$A$3,0)),0,1))</f>
        <v/>
      </c>
      <c r="F437" s="36" t="str">
        <f ca="1">IF(Data!B427="","",IF(ISNUMBER(Data!F427),IF(AND(Data!F427&gt;(TODAY()-(Data_Val!$H$3*365.25)),Data!F427&lt;=(TODAY()-(Data_Val!$H$2*365.25))),0,1),1))</f>
        <v/>
      </c>
      <c r="G437" s="12" t="str">
        <f>IF(Data!B427="","",IF(AND(Data!G427="",Data!H427&lt;&gt;""),1,IF(ISNUMBER(MATCH(Data!G427,Data_Val!$C$2:$C$5,0)),0,1)))</f>
        <v/>
      </c>
      <c r="H437" s="12" t="str">
        <f>IF(Data!B427="","",IF(AND(Data!G427&lt;&gt;"",Data!H427=""),1,IF(Data!G427="",1,IF(ISNUMBER(MATCH(Data!H427,Data_Val!$D$2:$D$35,0)),0,1))))</f>
        <v/>
      </c>
      <c r="I437" s="38" t="str">
        <f>IF(Data!G427="","",IF(Data!G427=Data_Val!$C$2,IF(Data!I427="",0,1),0))</f>
        <v/>
      </c>
      <c r="J437" s="38" t="str">
        <f>IF(Data!I427="","",IF(ISNUMBER(MATCH(Data!J427,Data_Val!$A$2:$A$3,0)),0,1))</f>
        <v/>
      </c>
      <c r="K437" s="38" t="str">
        <f ca="1">IF(Data!I427="","",IF(ISNUMBER(Data!K427),IF(AND(Data!K427&gt;(TODAY()-(Data_Val!$K$3*365.25)),Data!K427&lt;=(TODAY()-(Data_Val!$K$2*365.25))),0,1),1))</f>
        <v/>
      </c>
      <c r="L437" s="16" t="str">
        <f>IF(Data!G427="","",IF(Data!G427=Data_Val!$C$2,IF(Data!L427="",0,1),0))</f>
        <v/>
      </c>
      <c r="M437" s="16" t="str">
        <f>IF(Data!L427="","",IF(ISNUMBER(MATCH(Data!M427,Data_Val!$A$2:$A$3,0)),0,1))</f>
        <v/>
      </c>
      <c r="N437" s="43" t="str">
        <f ca="1">IF(Data!L427="","",IF(ISNUMBER(Data!N427),IF(AND(Data!N427&gt;(TODAY()-(Data_Val!$L$3*365.25)),Data!N427&lt;=(TODAY()-(Data_Val!$L$2*365.25))),0,1),1))</f>
        <v/>
      </c>
      <c r="O437" s="18" t="str">
        <f>IF(Data!$G427="","",IF(Data!$G427=Data_Val!$C$2,IF(Data!O427="",0,1),0))</f>
        <v/>
      </c>
      <c r="P437" s="18" t="str">
        <f>IF(Data!O427="","",IF(ISNUMBER(MATCH(Data!P427,Data_Val!$A$2:$A$3,0)),0,1))</f>
        <v/>
      </c>
      <c r="Q437" s="44" t="str">
        <f ca="1">IF(Data!O427="","",IF(ISNUMBER(Data!Q427),IF(AND(Data!Q427&gt;(TODAY()-(Data_Val!$L$3*365.25)),Data!Q427&lt;=(TODAY()-(Data_Val!$L$2*365.25))),0,1),1))</f>
        <v/>
      </c>
    </row>
    <row r="438" spans="1:17" ht="12" customHeight="1" x14ac:dyDescent="0.25">
      <c r="A438" s="36" t="str">
        <f>IF(Data!B428="","",IF(COUNTIFS(Data!A$1:'Data'!A428,Data!A428)&lt;=1,0,1))</f>
        <v/>
      </c>
      <c r="B438" s="36"/>
      <c r="C438" s="36" t="str">
        <f>IF(Data!C428="","",(IF(ISNUMBER(MATCH("*@*.?*",Data!C428,0)),0,1)+IF(COUNTIFS(Data!C$1:'Data'!C428,Data!C428)&gt;1,1,0)))</f>
        <v/>
      </c>
      <c r="D438" s="36" t="str">
        <f>IF(Data!B428="","",IF(ISNUMBER(Data!D428),IF(AND(Data!D428&gt;999999999,Data!D428&lt;=9999999999),IF(COUNTIFS(Data!D$1:'Data'!D428,Data!D428)&lt;=1,0,1),1),1))</f>
        <v/>
      </c>
      <c r="E438" s="36" t="str">
        <f>IF(Data!B428="","",IF(ISNUMBER(MATCH(Data!E428,Data_Val!$A$2:$A$3,0)),0,1))</f>
        <v/>
      </c>
      <c r="F438" s="36" t="str">
        <f ca="1">IF(Data!B428="","",IF(ISNUMBER(Data!F428),IF(AND(Data!F428&gt;(TODAY()-(Data_Val!$H$3*365.25)),Data!F428&lt;=(TODAY()-(Data_Val!$H$2*365.25))),0,1),1))</f>
        <v/>
      </c>
      <c r="G438" s="12" t="str">
        <f>IF(Data!B428="","",IF(AND(Data!G428="",Data!H428&lt;&gt;""),1,IF(ISNUMBER(MATCH(Data!G428,Data_Val!$C$2:$C$5,0)),0,1)))</f>
        <v/>
      </c>
      <c r="H438" s="12" t="str">
        <f>IF(Data!B428="","",IF(AND(Data!G428&lt;&gt;"",Data!H428=""),1,IF(Data!G428="",1,IF(ISNUMBER(MATCH(Data!H428,Data_Val!$D$2:$D$35,0)),0,1))))</f>
        <v/>
      </c>
      <c r="I438" s="38" t="str">
        <f>IF(Data!G428="","",IF(Data!G428=Data_Val!$C$2,IF(Data!I428="",0,1),0))</f>
        <v/>
      </c>
      <c r="J438" s="38" t="str">
        <f>IF(Data!I428="","",IF(ISNUMBER(MATCH(Data!J428,Data_Val!$A$2:$A$3,0)),0,1))</f>
        <v/>
      </c>
      <c r="K438" s="38" t="str">
        <f ca="1">IF(Data!I428="","",IF(ISNUMBER(Data!K428),IF(AND(Data!K428&gt;(TODAY()-(Data_Val!$K$3*365.25)),Data!K428&lt;=(TODAY()-(Data_Val!$K$2*365.25))),0,1),1))</f>
        <v/>
      </c>
      <c r="L438" s="16" t="str">
        <f>IF(Data!G428="","",IF(Data!G428=Data_Val!$C$2,IF(Data!L428="",0,1),0))</f>
        <v/>
      </c>
      <c r="M438" s="16" t="str">
        <f>IF(Data!L428="","",IF(ISNUMBER(MATCH(Data!M428,Data_Val!$A$2:$A$3,0)),0,1))</f>
        <v/>
      </c>
      <c r="N438" s="43" t="str">
        <f ca="1">IF(Data!L428="","",IF(ISNUMBER(Data!N428),IF(AND(Data!N428&gt;(TODAY()-(Data_Val!$L$3*365.25)),Data!N428&lt;=(TODAY()-(Data_Val!$L$2*365.25))),0,1),1))</f>
        <v/>
      </c>
      <c r="O438" s="18" t="str">
        <f>IF(Data!$G428="","",IF(Data!$G428=Data_Val!$C$2,IF(Data!O428="",0,1),0))</f>
        <v/>
      </c>
      <c r="P438" s="18" t="str">
        <f>IF(Data!O428="","",IF(ISNUMBER(MATCH(Data!P428,Data_Val!$A$2:$A$3,0)),0,1))</f>
        <v/>
      </c>
      <c r="Q438" s="44" t="str">
        <f ca="1">IF(Data!O428="","",IF(ISNUMBER(Data!Q428),IF(AND(Data!Q428&gt;(TODAY()-(Data_Val!$L$3*365.25)),Data!Q428&lt;=(TODAY()-(Data_Val!$L$2*365.25))),0,1),1))</f>
        <v/>
      </c>
    </row>
    <row r="439" spans="1:17" ht="12" customHeight="1" x14ac:dyDescent="0.25">
      <c r="A439" s="36" t="str">
        <f>IF(Data!B429="","",IF(COUNTIFS(Data!A$1:'Data'!A429,Data!A429)&lt;=1,0,1))</f>
        <v/>
      </c>
      <c r="B439" s="36"/>
      <c r="C439" s="36" t="str">
        <f>IF(Data!C429="","",(IF(ISNUMBER(MATCH("*@*.?*",Data!C429,0)),0,1)+IF(COUNTIFS(Data!C$1:'Data'!C429,Data!C429)&gt;1,1,0)))</f>
        <v/>
      </c>
      <c r="D439" s="36" t="str">
        <f>IF(Data!B429="","",IF(ISNUMBER(Data!D429),IF(AND(Data!D429&gt;999999999,Data!D429&lt;=9999999999),IF(COUNTIFS(Data!D$1:'Data'!D429,Data!D429)&lt;=1,0,1),1),1))</f>
        <v/>
      </c>
      <c r="E439" s="36" t="str">
        <f>IF(Data!B429="","",IF(ISNUMBER(MATCH(Data!E429,Data_Val!$A$2:$A$3,0)),0,1))</f>
        <v/>
      </c>
      <c r="F439" s="36" t="str">
        <f ca="1">IF(Data!B429="","",IF(ISNUMBER(Data!F429),IF(AND(Data!F429&gt;(TODAY()-(Data_Val!$H$3*365.25)),Data!F429&lt;=(TODAY()-(Data_Val!$H$2*365.25))),0,1),1))</f>
        <v/>
      </c>
      <c r="G439" s="12" t="str">
        <f>IF(Data!B429="","",IF(AND(Data!G429="",Data!H429&lt;&gt;""),1,IF(ISNUMBER(MATCH(Data!G429,Data_Val!$C$2:$C$5,0)),0,1)))</f>
        <v/>
      </c>
      <c r="H439" s="12" t="str">
        <f>IF(Data!B429="","",IF(AND(Data!G429&lt;&gt;"",Data!H429=""),1,IF(Data!G429="",1,IF(ISNUMBER(MATCH(Data!H429,Data_Val!$D$2:$D$35,0)),0,1))))</f>
        <v/>
      </c>
      <c r="I439" s="38" t="str">
        <f>IF(Data!G429="","",IF(Data!G429=Data_Val!$C$2,IF(Data!I429="",0,1),0))</f>
        <v/>
      </c>
      <c r="J439" s="38" t="str">
        <f>IF(Data!I429="","",IF(ISNUMBER(MATCH(Data!J429,Data_Val!$A$2:$A$3,0)),0,1))</f>
        <v/>
      </c>
      <c r="K439" s="38" t="str">
        <f ca="1">IF(Data!I429="","",IF(ISNUMBER(Data!K429),IF(AND(Data!K429&gt;(TODAY()-(Data_Val!$K$3*365.25)),Data!K429&lt;=(TODAY()-(Data_Val!$K$2*365.25))),0,1),1))</f>
        <v/>
      </c>
      <c r="L439" s="16" t="str">
        <f>IF(Data!G429="","",IF(Data!G429=Data_Val!$C$2,IF(Data!L429="",0,1),0))</f>
        <v/>
      </c>
      <c r="M439" s="16" t="str">
        <f>IF(Data!L429="","",IF(ISNUMBER(MATCH(Data!M429,Data_Val!$A$2:$A$3,0)),0,1))</f>
        <v/>
      </c>
      <c r="N439" s="43" t="str">
        <f ca="1">IF(Data!L429="","",IF(ISNUMBER(Data!N429),IF(AND(Data!N429&gt;(TODAY()-(Data_Val!$L$3*365.25)),Data!N429&lt;=(TODAY()-(Data_Val!$L$2*365.25))),0,1),1))</f>
        <v/>
      </c>
      <c r="O439" s="18" t="str">
        <f>IF(Data!$G429="","",IF(Data!$G429=Data_Val!$C$2,IF(Data!O429="",0,1),0))</f>
        <v/>
      </c>
      <c r="P439" s="18" t="str">
        <f>IF(Data!O429="","",IF(ISNUMBER(MATCH(Data!P429,Data_Val!$A$2:$A$3,0)),0,1))</f>
        <v/>
      </c>
      <c r="Q439" s="44" t="str">
        <f ca="1">IF(Data!O429="","",IF(ISNUMBER(Data!Q429),IF(AND(Data!Q429&gt;(TODAY()-(Data_Val!$L$3*365.25)),Data!Q429&lt;=(TODAY()-(Data_Val!$L$2*365.25))),0,1),1))</f>
        <v/>
      </c>
    </row>
    <row r="440" spans="1:17" ht="12" customHeight="1" x14ac:dyDescent="0.25">
      <c r="A440" s="36" t="str">
        <f>IF(Data!B430="","",IF(COUNTIFS(Data!A$1:'Data'!A430,Data!A430)&lt;=1,0,1))</f>
        <v/>
      </c>
      <c r="B440" s="36"/>
      <c r="C440" s="36" t="str">
        <f>IF(Data!C430="","",(IF(ISNUMBER(MATCH("*@*.?*",Data!C430,0)),0,1)+IF(COUNTIFS(Data!C$1:'Data'!C430,Data!C430)&gt;1,1,0)))</f>
        <v/>
      </c>
      <c r="D440" s="36" t="str">
        <f>IF(Data!B430="","",IF(ISNUMBER(Data!D430),IF(AND(Data!D430&gt;999999999,Data!D430&lt;=9999999999),IF(COUNTIFS(Data!D$1:'Data'!D430,Data!D430)&lt;=1,0,1),1),1))</f>
        <v/>
      </c>
      <c r="E440" s="36" t="str">
        <f>IF(Data!B430="","",IF(ISNUMBER(MATCH(Data!E430,Data_Val!$A$2:$A$3,0)),0,1))</f>
        <v/>
      </c>
      <c r="F440" s="36" t="str">
        <f ca="1">IF(Data!B430="","",IF(ISNUMBER(Data!F430),IF(AND(Data!F430&gt;(TODAY()-(Data_Val!$H$3*365.25)),Data!F430&lt;=(TODAY()-(Data_Val!$H$2*365.25))),0,1),1))</f>
        <v/>
      </c>
      <c r="G440" s="12" t="str">
        <f>IF(Data!B430="","",IF(AND(Data!G430="",Data!H430&lt;&gt;""),1,IF(ISNUMBER(MATCH(Data!G430,Data_Val!$C$2:$C$5,0)),0,1)))</f>
        <v/>
      </c>
      <c r="H440" s="12" t="str">
        <f>IF(Data!B430="","",IF(AND(Data!G430&lt;&gt;"",Data!H430=""),1,IF(Data!G430="",1,IF(ISNUMBER(MATCH(Data!H430,Data_Val!$D$2:$D$35,0)),0,1))))</f>
        <v/>
      </c>
      <c r="I440" s="38" t="str">
        <f>IF(Data!G430="","",IF(Data!G430=Data_Val!$C$2,IF(Data!I430="",0,1),0))</f>
        <v/>
      </c>
      <c r="J440" s="38" t="str">
        <f>IF(Data!I430="","",IF(ISNUMBER(MATCH(Data!J430,Data_Val!$A$2:$A$3,0)),0,1))</f>
        <v/>
      </c>
      <c r="K440" s="38" t="str">
        <f ca="1">IF(Data!I430="","",IF(ISNUMBER(Data!K430),IF(AND(Data!K430&gt;(TODAY()-(Data_Val!$K$3*365.25)),Data!K430&lt;=(TODAY()-(Data_Val!$K$2*365.25))),0,1),1))</f>
        <v/>
      </c>
      <c r="L440" s="16" t="str">
        <f>IF(Data!G430="","",IF(Data!G430=Data_Val!$C$2,IF(Data!L430="",0,1),0))</f>
        <v/>
      </c>
      <c r="M440" s="16" t="str">
        <f>IF(Data!L430="","",IF(ISNUMBER(MATCH(Data!M430,Data_Val!$A$2:$A$3,0)),0,1))</f>
        <v/>
      </c>
      <c r="N440" s="43" t="str">
        <f ca="1">IF(Data!L430="","",IF(ISNUMBER(Data!N430),IF(AND(Data!N430&gt;(TODAY()-(Data_Val!$L$3*365.25)),Data!N430&lt;=(TODAY()-(Data_Val!$L$2*365.25))),0,1),1))</f>
        <v/>
      </c>
      <c r="O440" s="18" t="str">
        <f>IF(Data!$G430="","",IF(Data!$G430=Data_Val!$C$2,IF(Data!O430="",0,1),0))</f>
        <v/>
      </c>
      <c r="P440" s="18" t="str">
        <f>IF(Data!O430="","",IF(ISNUMBER(MATCH(Data!P430,Data_Val!$A$2:$A$3,0)),0,1))</f>
        <v/>
      </c>
      <c r="Q440" s="44" t="str">
        <f ca="1">IF(Data!O430="","",IF(ISNUMBER(Data!Q430),IF(AND(Data!Q430&gt;(TODAY()-(Data_Val!$L$3*365.25)),Data!Q430&lt;=(TODAY()-(Data_Val!$L$2*365.25))),0,1),1))</f>
        <v/>
      </c>
    </row>
    <row r="441" spans="1:17" ht="12" customHeight="1" x14ac:dyDescent="0.25">
      <c r="A441" s="36" t="str">
        <f>IF(Data!B431="","",IF(COUNTIFS(Data!A$1:'Data'!A431,Data!A431)&lt;=1,0,1))</f>
        <v/>
      </c>
      <c r="B441" s="36"/>
      <c r="C441" s="36" t="str">
        <f>IF(Data!C431="","",(IF(ISNUMBER(MATCH("*@*.?*",Data!C431,0)),0,1)+IF(COUNTIFS(Data!C$1:'Data'!C431,Data!C431)&gt;1,1,0)))</f>
        <v/>
      </c>
      <c r="D441" s="36" t="str">
        <f>IF(Data!B431="","",IF(ISNUMBER(Data!D431),IF(AND(Data!D431&gt;999999999,Data!D431&lt;=9999999999),IF(COUNTIFS(Data!D$1:'Data'!D431,Data!D431)&lt;=1,0,1),1),1))</f>
        <v/>
      </c>
      <c r="E441" s="36" t="str">
        <f>IF(Data!B431="","",IF(ISNUMBER(MATCH(Data!E431,Data_Val!$A$2:$A$3,0)),0,1))</f>
        <v/>
      </c>
      <c r="F441" s="36" t="str">
        <f ca="1">IF(Data!B431="","",IF(ISNUMBER(Data!F431),IF(AND(Data!F431&gt;(TODAY()-(Data_Val!$H$3*365.25)),Data!F431&lt;=(TODAY()-(Data_Val!$H$2*365.25))),0,1),1))</f>
        <v/>
      </c>
      <c r="G441" s="12" t="str">
        <f>IF(Data!B431="","",IF(AND(Data!G431="",Data!H431&lt;&gt;""),1,IF(ISNUMBER(MATCH(Data!G431,Data_Val!$C$2:$C$5,0)),0,1)))</f>
        <v/>
      </c>
      <c r="H441" s="12" t="str">
        <f>IF(Data!B431="","",IF(AND(Data!G431&lt;&gt;"",Data!H431=""),1,IF(Data!G431="",1,IF(ISNUMBER(MATCH(Data!H431,Data_Val!$D$2:$D$35,0)),0,1))))</f>
        <v/>
      </c>
      <c r="I441" s="38" t="str">
        <f>IF(Data!G431="","",IF(Data!G431=Data_Val!$C$2,IF(Data!I431="",0,1),0))</f>
        <v/>
      </c>
      <c r="J441" s="38" t="str">
        <f>IF(Data!I431="","",IF(ISNUMBER(MATCH(Data!J431,Data_Val!$A$2:$A$3,0)),0,1))</f>
        <v/>
      </c>
      <c r="K441" s="38" t="str">
        <f ca="1">IF(Data!I431="","",IF(ISNUMBER(Data!K431),IF(AND(Data!K431&gt;(TODAY()-(Data_Val!$K$3*365.25)),Data!K431&lt;=(TODAY()-(Data_Val!$K$2*365.25))),0,1),1))</f>
        <v/>
      </c>
      <c r="L441" s="16" t="str">
        <f>IF(Data!G431="","",IF(Data!G431=Data_Val!$C$2,IF(Data!L431="",0,1),0))</f>
        <v/>
      </c>
      <c r="M441" s="16" t="str">
        <f>IF(Data!L431="","",IF(ISNUMBER(MATCH(Data!M431,Data_Val!$A$2:$A$3,0)),0,1))</f>
        <v/>
      </c>
      <c r="N441" s="43" t="str">
        <f ca="1">IF(Data!L431="","",IF(ISNUMBER(Data!N431),IF(AND(Data!N431&gt;(TODAY()-(Data_Val!$L$3*365.25)),Data!N431&lt;=(TODAY()-(Data_Val!$L$2*365.25))),0,1),1))</f>
        <v/>
      </c>
      <c r="O441" s="18" t="str">
        <f>IF(Data!$G431="","",IF(Data!$G431=Data_Val!$C$2,IF(Data!O431="",0,1),0))</f>
        <v/>
      </c>
      <c r="P441" s="18" t="str">
        <f>IF(Data!O431="","",IF(ISNUMBER(MATCH(Data!P431,Data_Val!$A$2:$A$3,0)),0,1))</f>
        <v/>
      </c>
      <c r="Q441" s="44" t="str">
        <f ca="1">IF(Data!O431="","",IF(ISNUMBER(Data!Q431),IF(AND(Data!Q431&gt;(TODAY()-(Data_Val!$L$3*365.25)),Data!Q431&lt;=(TODAY()-(Data_Val!$L$2*365.25))),0,1),1))</f>
        <v/>
      </c>
    </row>
    <row r="442" spans="1:17" ht="12" customHeight="1" x14ac:dyDescent="0.25">
      <c r="A442" s="36" t="str">
        <f>IF(Data!B432="","",IF(COUNTIFS(Data!A$1:'Data'!A432,Data!A432)&lt;=1,0,1))</f>
        <v/>
      </c>
      <c r="B442" s="36"/>
      <c r="C442" s="36" t="str">
        <f>IF(Data!C432="","",(IF(ISNUMBER(MATCH("*@*.?*",Data!C432,0)),0,1)+IF(COUNTIFS(Data!C$1:'Data'!C432,Data!C432)&gt;1,1,0)))</f>
        <v/>
      </c>
      <c r="D442" s="36" t="str">
        <f>IF(Data!B432="","",IF(ISNUMBER(Data!D432),IF(AND(Data!D432&gt;999999999,Data!D432&lt;=9999999999),IF(COUNTIFS(Data!D$1:'Data'!D432,Data!D432)&lt;=1,0,1),1),1))</f>
        <v/>
      </c>
      <c r="E442" s="36" t="str">
        <f>IF(Data!B432="","",IF(ISNUMBER(MATCH(Data!E432,Data_Val!$A$2:$A$3,0)),0,1))</f>
        <v/>
      </c>
      <c r="F442" s="36" t="str">
        <f ca="1">IF(Data!B432="","",IF(ISNUMBER(Data!F432),IF(AND(Data!F432&gt;(TODAY()-(Data_Val!$H$3*365.25)),Data!F432&lt;=(TODAY()-(Data_Val!$H$2*365.25))),0,1),1))</f>
        <v/>
      </c>
      <c r="G442" s="12" t="str">
        <f>IF(Data!B432="","",IF(AND(Data!G432="",Data!H432&lt;&gt;""),1,IF(ISNUMBER(MATCH(Data!G432,Data_Val!$C$2:$C$5,0)),0,1)))</f>
        <v/>
      </c>
      <c r="H442" s="12" t="str">
        <f>IF(Data!B432="","",IF(AND(Data!G432&lt;&gt;"",Data!H432=""),1,IF(Data!G432="",1,IF(ISNUMBER(MATCH(Data!H432,Data_Val!$D$2:$D$35,0)),0,1))))</f>
        <v/>
      </c>
      <c r="I442" s="38" t="str">
        <f>IF(Data!G432="","",IF(Data!G432=Data_Val!$C$2,IF(Data!I432="",0,1),0))</f>
        <v/>
      </c>
      <c r="J442" s="38" t="str">
        <f>IF(Data!I432="","",IF(ISNUMBER(MATCH(Data!J432,Data_Val!$A$2:$A$3,0)),0,1))</f>
        <v/>
      </c>
      <c r="K442" s="38" t="str">
        <f ca="1">IF(Data!I432="","",IF(ISNUMBER(Data!K432),IF(AND(Data!K432&gt;(TODAY()-(Data_Val!$K$3*365.25)),Data!K432&lt;=(TODAY()-(Data_Val!$K$2*365.25))),0,1),1))</f>
        <v/>
      </c>
      <c r="L442" s="16" t="str">
        <f>IF(Data!G432="","",IF(Data!G432=Data_Val!$C$2,IF(Data!L432="",0,1),0))</f>
        <v/>
      </c>
      <c r="M442" s="16" t="str">
        <f>IF(Data!L432="","",IF(ISNUMBER(MATCH(Data!M432,Data_Val!$A$2:$A$3,0)),0,1))</f>
        <v/>
      </c>
      <c r="N442" s="43" t="str">
        <f ca="1">IF(Data!L432="","",IF(ISNUMBER(Data!N432),IF(AND(Data!N432&gt;(TODAY()-(Data_Val!$L$3*365.25)),Data!N432&lt;=(TODAY()-(Data_Val!$L$2*365.25))),0,1),1))</f>
        <v/>
      </c>
      <c r="O442" s="18" t="str">
        <f>IF(Data!$G432="","",IF(Data!$G432=Data_Val!$C$2,IF(Data!O432="",0,1),0))</f>
        <v/>
      </c>
      <c r="P442" s="18" t="str">
        <f>IF(Data!O432="","",IF(ISNUMBER(MATCH(Data!P432,Data_Val!$A$2:$A$3,0)),0,1))</f>
        <v/>
      </c>
      <c r="Q442" s="44" t="str">
        <f ca="1">IF(Data!O432="","",IF(ISNUMBER(Data!Q432),IF(AND(Data!Q432&gt;(TODAY()-(Data_Val!$L$3*365.25)),Data!Q432&lt;=(TODAY()-(Data_Val!$L$2*365.25))),0,1),1))</f>
        <v/>
      </c>
    </row>
    <row r="443" spans="1:17" ht="12" customHeight="1" x14ac:dyDescent="0.25">
      <c r="A443" s="36" t="str">
        <f>IF(Data!B433="","",IF(COUNTIFS(Data!A$1:'Data'!A433,Data!A433)&lt;=1,0,1))</f>
        <v/>
      </c>
      <c r="B443" s="36"/>
      <c r="C443" s="36" t="str">
        <f>IF(Data!C433="","",(IF(ISNUMBER(MATCH("*@*.?*",Data!C433,0)),0,1)+IF(COUNTIFS(Data!C$1:'Data'!C433,Data!C433)&gt;1,1,0)))</f>
        <v/>
      </c>
      <c r="D443" s="36" t="str">
        <f>IF(Data!B433="","",IF(ISNUMBER(Data!D433),IF(AND(Data!D433&gt;999999999,Data!D433&lt;=9999999999),IF(COUNTIFS(Data!D$1:'Data'!D433,Data!D433)&lt;=1,0,1),1),1))</f>
        <v/>
      </c>
      <c r="E443" s="36" t="str">
        <f>IF(Data!B433="","",IF(ISNUMBER(MATCH(Data!E433,Data_Val!$A$2:$A$3,0)),0,1))</f>
        <v/>
      </c>
      <c r="F443" s="36" t="str">
        <f ca="1">IF(Data!B433="","",IF(ISNUMBER(Data!F433),IF(AND(Data!F433&gt;(TODAY()-(Data_Val!$H$3*365.25)),Data!F433&lt;=(TODAY()-(Data_Val!$H$2*365.25))),0,1),1))</f>
        <v/>
      </c>
      <c r="G443" s="12" t="str">
        <f>IF(Data!B433="","",IF(AND(Data!G433="",Data!H433&lt;&gt;""),1,IF(ISNUMBER(MATCH(Data!G433,Data_Val!$C$2:$C$5,0)),0,1)))</f>
        <v/>
      </c>
      <c r="H443" s="12" t="str">
        <f>IF(Data!B433="","",IF(AND(Data!G433&lt;&gt;"",Data!H433=""),1,IF(Data!G433="",1,IF(ISNUMBER(MATCH(Data!H433,Data_Val!$D$2:$D$35,0)),0,1))))</f>
        <v/>
      </c>
      <c r="I443" s="38" t="str">
        <f>IF(Data!G433="","",IF(Data!G433=Data_Val!$C$2,IF(Data!I433="",0,1),0))</f>
        <v/>
      </c>
      <c r="J443" s="38" t="str">
        <f>IF(Data!I433="","",IF(ISNUMBER(MATCH(Data!J433,Data_Val!$A$2:$A$3,0)),0,1))</f>
        <v/>
      </c>
      <c r="K443" s="38" t="str">
        <f ca="1">IF(Data!I433="","",IF(ISNUMBER(Data!K433),IF(AND(Data!K433&gt;(TODAY()-(Data_Val!$K$3*365.25)),Data!K433&lt;=(TODAY()-(Data_Val!$K$2*365.25))),0,1),1))</f>
        <v/>
      </c>
      <c r="L443" s="16" t="str">
        <f>IF(Data!G433="","",IF(Data!G433=Data_Val!$C$2,IF(Data!L433="",0,1),0))</f>
        <v/>
      </c>
      <c r="M443" s="16" t="str">
        <f>IF(Data!L433="","",IF(ISNUMBER(MATCH(Data!M433,Data_Val!$A$2:$A$3,0)),0,1))</f>
        <v/>
      </c>
      <c r="N443" s="43" t="str">
        <f ca="1">IF(Data!L433="","",IF(ISNUMBER(Data!N433),IF(AND(Data!N433&gt;(TODAY()-(Data_Val!$L$3*365.25)),Data!N433&lt;=(TODAY()-(Data_Val!$L$2*365.25))),0,1),1))</f>
        <v/>
      </c>
      <c r="O443" s="18" t="str">
        <f>IF(Data!$G433="","",IF(Data!$G433=Data_Val!$C$2,IF(Data!O433="",0,1),0))</f>
        <v/>
      </c>
      <c r="P443" s="18" t="str">
        <f>IF(Data!O433="","",IF(ISNUMBER(MATCH(Data!P433,Data_Val!$A$2:$A$3,0)),0,1))</f>
        <v/>
      </c>
      <c r="Q443" s="44" t="str">
        <f ca="1">IF(Data!O433="","",IF(ISNUMBER(Data!Q433),IF(AND(Data!Q433&gt;(TODAY()-(Data_Val!$L$3*365.25)),Data!Q433&lt;=(TODAY()-(Data_Val!$L$2*365.25))),0,1),1))</f>
        <v/>
      </c>
    </row>
    <row r="444" spans="1:17" ht="12" customHeight="1" x14ac:dyDescent="0.25">
      <c r="A444" s="36" t="str">
        <f>IF(Data!B434="","",IF(COUNTIFS(Data!A$1:'Data'!A434,Data!A434)&lt;=1,0,1))</f>
        <v/>
      </c>
      <c r="B444" s="36"/>
      <c r="C444" s="36" t="str">
        <f>IF(Data!C434="","",(IF(ISNUMBER(MATCH("*@*.?*",Data!C434,0)),0,1)+IF(COUNTIFS(Data!C$1:'Data'!C434,Data!C434)&gt;1,1,0)))</f>
        <v/>
      </c>
      <c r="D444" s="36" t="str">
        <f>IF(Data!B434="","",IF(ISNUMBER(Data!D434),IF(AND(Data!D434&gt;999999999,Data!D434&lt;=9999999999),IF(COUNTIFS(Data!D$1:'Data'!D434,Data!D434)&lt;=1,0,1),1),1))</f>
        <v/>
      </c>
      <c r="E444" s="36" t="str">
        <f>IF(Data!B434="","",IF(ISNUMBER(MATCH(Data!E434,Data_Val!$A$2:$A$3,0)),0,1))</f>
        <v/>
      </c>
      <c r="F444" s="36" t="str">
        <f ca="1">IF(Data!B434="","",IF(ISNUMBER(Data!F434),IF(AND(Data!F434&gt;(TODAY()-(Data_Val!$H$3*365.25)),Data!F434&lt;=(TODAY()-(Data_Val!$H$2*365.25))),0,1),1))</f>
        <v/>
      </c>
      <c r="G444" s="12" t="str">
        <f>IF(Data!B434="","",IF(AND(Data!G434="",Data!H434&lt;&gt;""),1,IF(ISNUMBER(MATCH(Data!G434,Data_Val!$C$2:$C$5,0)),0,1)))</f>
        <v/>
      </c>
      <c r="H444" s="12" t="str">
        <f>IF(Data!B434="","",IF(AND(Data!G434&lt;&gt;"",Data!H434=""),1,IF(Data!G434="",1,IF(ISNUMBER(MATCH(Data!H434,Data_Val!$D$2:$D$35,0)),0,1))))</f>
        <v/>
      </c>
      <c r="I444" s="38" t="str">
        <f>IF(Data!G434="","",IF(Data!G434=Data_Val!$C$2,IF(Data!I434="",0,1),0))</f>
        <v/>
      </c>
      <c r="J444" s="38" t="str">
        <f>IF(Data!I434="","",IF(ISNUMBER(MATCH(Data!J434,Data_Val!$A$2:$A$3,0)),0,1))</f>
        <v/>
      </c>
      <c r="K444" s="38" t="str">
        <f ca="1">IF(Data!I434="","",IF(ISNUMBER(Data!K434),IF(AND(Data!K434&gt;(TODAY()-(Data_Val!$K$3*365.25)),Data!K434&lt;=(TODAY()-(Data_Val!$K$2*365.25))),0,1),1))</f>
        <v/>
      </c>
      <c r="L444" s="16" t="str">
        <f>IF(Data!G434="","",IF(Data!G434=Data_Val!$C$2,IF(Data!L434="",0,1),0))</f>
        <v/>
      </c>
      <c r="M444" s="16" t="str">
        <f>IF(Data!L434="","",IF(ISNUMBER(MATCH(Data!M434,Data_Val!$A$2:$A$3,0)),0,1))</f>
        <v/>
      </c>
      <c r="N444" s="43" t="str">
        <f ca="1">IF(Data!L434="","",IF(ISNUMBER(Data!N434),IF(AND(Data!N434&gt;(TODAY()-(Data_Val!$L$3*365.25)),Data!N434&lt;=(TODAY()-(Data_Val!$L$2*365.25))),0,1),1))</f>
        <v/>
      </c>
      <c r="O444" s="18" t="str">
        <f>IF(Data!$G434="","",IF(Data!$G434=Data_Val!$C$2,IF(Data!O434="",0,1),0))</f>
        <v/>
      </c>
      <c r="P444" s="18" t="str">
        <f>IF(Data!O434="","",IF(ISNUMBER(MATCH(Data!P434,Data_Val!$A$2:$A$3,0)),0,1))</f>
        <v/>
      </c>
      <c r="Q444" s="44" t="str">
        <f ca="1">IF(Data!O434="","",IF(ISNUMBER(Data!Q434),IF(AND(Data!Q434&gt;(TODAY()-(Data_Val!$L$3*365.25)),Data!Q434&lt;=(TODAY()-(Data_Val!$L$2*365.25))),0,1),1))</f>
        <v/>
      </c>
    </row>
    <row r="445" spans="1:17" ht="12" customHeight="1" x14ac:dyDescent="0.25">
      <c r="A445" s="36" t="str">
        <f>IF(Data!B435="","",IF(COUNTIFS(Data!A$1:'Data'!A435,Data!A435)&lt;=1,0,1))</f>
        <v/>
      </c>
      <c r="B445" s="36"/>
      <c r="C445" s="36" t="str">
        <f>IF(Data!C435="","",(IF(ISNUMBER(MATCH("*@*.?*",Data!C435,0)),0,1)+IF(COUNTIFS(Data!C$1:'Data'!C435,Data!C435)&gt;1,1,0)))</f>
        <v/>
      </c>
      <c r="D445" s="36" t="str">
        <f>IF(Data!B435="","",IF(ISNUMBER(Data!D435),IF(AND(Data!D435&gt;999999999,Data!D435&lt;=9999999999),IF(COUNTIFS(Data!D$1:'Data'!D435,Data!D435)&lt;=1,0,1),1),1))</f>
        <v/>
      </c>
      <c r="E445" s="36" t="str">
        <f>IF(Data!B435="","",IF(ISNUMBER(MATCH(Data!E435,Data_Val!$A$2:$A$3,0)),0,1))</f>
        <v/>
      </c>
      <c r="F445" s="36" t="str">
        <f ca="1">IF(Data!B435="","",IF(ISNUMBER(Data!F435),IF(AND(Data!F435&gt;(TODAY()-(Data_Val!$H$3*365.25)),Data!F435&lt;=(TODAY()-(Data_Val!$H$2*365.25))),0,1),1))</f>
        <v/>
      </c>
      <c r="G445" s="12" t="str">
        <f>IF(Data!B435="","",IF(AND(Data!G435="",Data!H435&lt;&gt;""),1,IF(ISNUMBER(MATCH(Data!G435,Data_Val!$C$2:$C$5,0)),0,1)))</f>
        <v/>
      </c>
      <c r="H445" s="12" t="str">
        <f>IF(Data!B435="","",IF(AND(Data!G435&lt;&gt;"",Data!H435=""),1,IF(Data!G435="",1,IF(ISNUMBER(MATCH(Data!H435,Data_Val!$D$2:$D$35,0)),0,1))))</f>
        <v/>
      </c>
      <c r="I445" s="38" t="str">
        <f>IF(Data!G435="","",IF(Data!G435=Data_Val!$C$2,IF(Data!I435="",0,1),0))</f>
        <v/>
      </c>
      <c r="J445" s="38" t="str">
        <f>IF(Data!I435="","",IF(ISNUMBER(MATCH(Data!J435,Data_Val!$A$2:$A$3,0)),0,1))</f>
        <v/>
      </c>
      <c r="K445" s="38" t="str">
        <f ca="1">IF(Data!I435="","",IF(ISNUMBER(Data!K435),IF(AND(Data!K435&gt;(TODAY()-(Data_Val!$K$3*365.25)),Data!K435&lt;=(TODAY()-(Data_Val!$K$2*365.25))),0,1),1))</f>
        <v/>
      </c>
      <c r="L445" s="16" t="str">
        <f>IF(Data!G435="","",IF(Data!G435=Data_Val!$C$2,IF(Data!L435="",0,1),0))</f>
        <v/>
      </c>
      <c r="M445" s="16" t="str">
        <f>IF(Data!L435="","",IF(ISNUMBER(MATCH(Data!M435,Data_Val!$A$2:$A$3,0)),0,1))</f>
        <v/>
      </c>
      <c r="N445" s="43" t="str">
        <f ca="1">IF(Data!L435="","",IF(ISNUMBER(Data!N435),IF(AND(Data!N435&gt;(TODAY()-(Data_Val!$L$3*365.25)),Data!N435&lt;=(TODAY()-(Data_Val!$L$2*365.25))),0,1),1))</f>
        <v/>
      </c>
      <c r="O445" s="18" t="str">
        <f>IF(Data!$G435="","",IF(Data!$G435=Data_Val!$C$2,IF(Data!O435="",0,1),0))</f>
        <v/>
      </c>
      <c r="P445" s="18" t="str">
        <f>IF(Data!O435="","",IF(ISNUMBER(MATCH(Data!P435,Data_Val!$A$2:$A$3,0)),0,1))</f>
        <v/>
      </c>
      <c r="Q445" s="44" t="str">
        <f ca="1">IF(Data!O435="","",IF(ISNUMBER(Data!Q435),IF(AND(Data!Q435&gt;(TODAY()-(Data_Val!$L$3*365.25)),Data!Q435&lt;=(TODAY()-(Data_Val!$L$2*365.25))),0,1),1))</f>
        <v/>
      </c>
    </row>
    <row r="446" spans="1:17" ht="12" customHeight="1" x14ac:dyDescent="0.25">
      <c r="A446" s="36" t="str">
        <f>IF(Data!B436="","",IF(COUNTIFS(Data!A$1:'Data'!A436,Data!A436)&lt;=1,0,1))</f>
        <v/>
      </c>
      <c r="B446" s="36"/>
      <c r="C446" s="36" t="str">
        <f>IF(Data!C436="","",(IF(ISNUMBER(MATCH("*@*.?*",Data!C436,0)),0,1)+IF(COUNTIFS(Data!C$1:'Data'!C436,Data!C436)&gt;1,1,0)))</f>
        <v/>
      </c>
      <c r="D446" s="36" t="str">
        <f>IF(Data!B436="","",IF(ISNUMBER(Data!D436),IF(AND(Data!D436&gt;999999999,Data!D436&lt;=9999999999),IF(COUNTIFS(Data!D$1:'Data'!D436,Data!D436)&lt;=1,0,1),1),1))</f>
        <v/>
      </c>
      <c r="E446" s="36" t="str">
        <f>IF(Data!B436="","",IF(ISNUMBER(MATCH(Data!E436,Data_Val!$A$2:$A$3,0)),0,1))</f>
        <v/>
      </c>
      <c r="F446" s="36" t="str">
        <f ca="1">IF(Data!B436="","",IF(ISNUMBER(Data!F436),IF(AND(Data!F436&gt;(TODAY()-(Data_Val!$H$3*365.25)),Data!F436&lt;=(TODAY()-(Data_Val!$H$2*365.25))),0,1),1))</f>
        <v/>
      </c>
      <c r="G446" s="12" t="str">
        <f>IF(Data!B436="","",IF(AND(Data!G436="",Data!H436&lt;&gt;""),1,IF(ISNUMBER(MATCH(Data!G436,Data_Val!$C$2:$C$5,0)),0,1)))</f>
        <v/>
      </c>
      <c r="H446" s="12" t="str">
        <f>IF(Data!B436="","",IF(AND(Data!G436&lt;&gt;"",Data!H436=""),1,IF(Data!G436="",1,IF(ISNUMBER(MATCH(Data!H436,Data_Val!$D$2:$D$35,0)),0,1))))</f>
        <v/>
      </c>
      <c r="I446" s="38" t="str">
        <f>IF(Data!G436="","",IF(Data!G436=Data_Val!$C$2,IF(Data!I436="",0,1),0))</f>
        <v/>
      </c>
      <c r="J446" s="38" t="str">
        <f>IF(Data!I436="","",IF(ISNUMBER(MATCH(Data!J436,Data_Val!$A$2:$A$3,0)),0,1))</f>
        <v/>
      </c>
      <c r="K446" s="38" t="str">
        <f ca="1">IF(Data!I436="","",IF(ISNUMBER(Data!K436),IF(AND(Data!K436&gt;(TODAY()-(Data_Val!$K$3*365.25)),Data!K436&lt;=(TODAY()-(Data_Val!$K$2*365.25))),0,1),1))</f>
        <v/>
      </c>
      <c r="L446" s="16" t="str">
        <f>IF(Data!G436="","",IF(Data!G436=Data_Val!$C$2,IF(Data!L436="",0,1),0))</f>
        <v/>
      </c>
      <c r="M446" s="16" t="str">
        <f>IF(Data!L436="","",IF(ISNUMBER(MATCH(Data!M436,Data_Val!$A$2:$A$3,0)),0,1))</f>
        <v/>
      </c>
      <c r="N446" s="43" t="str">
        <f ca="1">IF(Data!L436="","",IF(ISNUMBER(Data!N436),IF(AND(Data!N436&gt;(TODAY()-(Data_Val!$L$3*365.25)),Data!N436&lt;=(TODAY()-(Data_Val!$L$2*365.25))),0,1),1))</f>
        <v/>
      </c>
      <c r="O446" s="18" t="str">
        <f>IF(Data!$G436="","",IF(Data!$G436=Data_Val!$C$2,IF(Data!O436="",0,1),0))</f>
        <v/>
      </c>
      <c r="P446" s="18" t="str">
        <f>IF(Data!O436="","",IF(ISNUMBER(MATCH(Data!P436,Data_Val!$A$2:$A$3,0)),0,1))</f>
        <v/>
      </c>
      <c r="Q446" s="44" t="str">
        <f ca="1">IF(Data!O436="","",IF(ISNUMBER(Data!Q436),IF(AND(Data!Q436&gt;(TODAY()-(Data_Val!$L$3*365.25)),Data!Q436&lt;=(TODAY()-(Data_Val!$L$2*365.25))),0,1),1))</f>
        <v/>
      </c>
    </row>
    <row r="447" spans="1:17" ht="12" customHeight="1" x14ac:dyDescent="0.25">
      <c r="A447" s="36" t="str">
        <f>IF(Data!B437="","",IF(COUNTIFS(Data!A$1:'Data'!A437,Data!A437)&lt;=1,0,1))</f>
        <v/>
      </c>
      <c r="B447" s="36"/>
      <c r="C447" s="36" t="str">
        <f>IF(Data!C437="","",(IF(ISNUMBER(MATCH("*@*.?*",Data!C437,0)),0,1)+IF(COUNTIFS(Data!C$1:'Data'!C437,Data!C437)&gt;1,1,0)))</f>
        <v/>
      </c>
      <c r="D447" s="36" t="str">
        <f>IF(Data!B437="","",IF(ISNUMBER(Data!D437),IF(AND(Data!D437&gt;999999999,Data!D437&lt;=9999999999),IF(COUNTIFS(Data!D$1:'Data'!D437,Data!D437)&lt;=1,0,1),1),1))</f>
        <v/>
      </c>
      <c r="E447" s="36" t="str">
        <f>IF(Data!B437="","",IF(ISNUMBER(MATCH(Data!E437,Data_Val!$A$2:$A$3,0)),0,1))</f>
        <v/>
      </c>
      <c r="F447" s="36" t="str">
        <f ca="1">IF(Data!B437="","",IF(ISNUMBER(Data!F437),IF(AND(Data!F437&gt;(TODAY()-(Data_Val!$H$3*365.25)),Data!F437&lt;=(TODAY()-(Data_Val!$H$2*365.25))),0,1),1))</f>
        <v/>
      </c>
      <c r="G447" s="12" t="str">
        <f>IF(Data!B437="","",IF(AND(Data!G437="",Data!H437&lt;&gt;""),1,IF(ISNUMBER(MATCH(Data!G437,Data_Val!$C$2:$C$5,0)),0,1)))</f>
        <v/>
      </c>
      <c r="H447" s="12" t="str">
        <f>IF(Data!B437="","",IF(AND(Data!G437&lt;&gt;"",Data!H437=""),1,IF(Data!G437="",1,IF(ISNUMBER(MATCH(Data!H437,Data_Val!$D$2:$D$35,0)),0,1))))</f>
        <v/>
      </c>
      <c r="I447" s="38" t="str">
        <f>IF(Data!G437="","",IF(Data!G437=Data_Val!$C$2,IF(Data!I437="",0,1),0))</f>
        <v/>
      </c>
      <c r="J447" s="38" t="str">
        <f>IF(Data!I437="","",IF(ISNUMBER(MATCH(Data!J437,Data_Val!$A$2:$A$3,0)),0,1))</f>
        <v/>
      </c>
      <c r="K447" s="38" t="str">
        <f ca="1">IF(Data!I437="","",IF(ISNUMBER(Data!K437),IF(AND(Data!K437&gt;(TODAY()-(Data_Val!$K$3*365.25)),Data!K437&lt;=(TODAY()-(Data_Val!$K$2*365.25))),0,1),1))</f>
        <v/>
      </c>
      <c r="L447" s="16" t="str">
        <f>IF(Data!G437="","",IF(Data!G437=Data_Val!$C$2,IF(Data!L437="",0,1),0))</f>
        <v/>
      </c>
      <c r="M447" s="16" t="str">
        <f>IF(Data!L437="","",IF(ISNUMBER(MATCH(Data!M437,Data_Val!$A$2:$A$3,0)),0,1))</f>
        <v/>
      </c>
      <c r="N447" s="43" t="str">
        <f ca="1">IF(Data!L437="","",IF(ISNUMBER(Data!N437),IF(AND(Data!N437&gt;(TODAY()-(Data_Val!$L$3*365.25)),Data!N437&lt;=(TODAY()-(Data_Val!$L$2*365.25))),0,1),1))</f>
        <v/>
      </c>
      <c r="O447" s="18" t="str">
        <f>IF(Data!$G437="","",IF(Data!$G437=Data_Val!$C$2,IF(Data!O437="",0,1),0))</f>
        <v/>
      </c>
      <c r="P447" s="18" t="str">
        <f>IF(Data!O437="","",IF(ISNUMBER(MATCH(Data!P437,Data_Val!$A$2:$A$3,0)),0,1))</f>
        <v/>
      </c>
      <c r="Q447" s="44" t="str">
        <f ca="1">IF(Data!O437="","",IF(ISNUMBER(Data!Q437),IF(AND(Data!Q437&gt;(TODAY()-(Data_Val!$L$3*365.25)),Data!Q437&lt;=(TODAY()-(Data_Val!$L$2*365.25))),0,1),1))</f>
        <v/>
      </c>
    </row>
    <row r="448" spans="1:17" ht="12" customHeight="1" x14ac:dyDescent="0.25">
      <c r="A448" s="36" t="str">
        <f>IF(Data!B438="","",IF(COUNTIFS(Data!A$1:'Data'!A438,Data!A438)&lt;=1,0,1))</f>
        <v/>
      </c>
      <c r="B448" s="36"/>
      <c r="C448" s="36" t="str">
        <f>IF(Data!C438="","",(IF(ISNUMBER(MATCH("*@*.?*",Data!C438,0)),0,1)+IF(COUNTIFS(Data!C$1:'Data'!C438,Data!C438)&gt;1,1,0)))</f>
        <v/>
      </c>
      <c r="D448" s="36" t="str">
        <f>IF(Data!B438="","",IF(ISNUMBER(Data!D438),IF(AND(Data!D438&gt;999999999,Data!D438&lt;=9999999999),IF(COUNTIFS(Data!D$1:'Data'!D438,Data!D438)&lt;=1,0,1),1),1))</f>
        <v/>
      </c>
      <c r="E448" s="36" t="str">
        <f>IF(Data!B438="","",IF(ISNUMBER(MATCH(Data!E438,Data_Val!$A$2:$A$3,0)),0,1))</f>
        <v/>
      </c>
      <c r="F448" s="36" t="str">
        <f ca="1">IF(Data!B438="","",IF(ISNUMBER(Data!F438),IF(AND(Data!F438&gt;(TODAY()-(Data_Val!$H$3*365.25)),Data!F438&lt;=(TODAY()-(Data_Val!$H$2*365.25))),0,1),1))</f>
        <v/>
      </c>
      <c r="G448" s="12" t="str">
        <f>IF(Data!B438="","",IF(AND(Data!G438="",Data!H438&lt;&gt;""),1,IF(ISNUMBER(MATCH(Data!G438,Data_Val!$C$2:$C$5,0)),0,1)))</f>
        <v/>
      </c>
      <c r="H448" s="12" t="str">
        <f>IF(Data!B438="","",IF(AND(Data!G438&lt;&gt;"",Data!H438=""),1,IF(Data!G438="",1,IF(ISNUMBER(MATCH(Data!H438,Data_Val!$D$2:$D$35,0)),0,1))))</f>
        <v/>
      </c>
      <c r="I448" s="38" t="str">
        <f>IF(Data!G438="","",IF(Data!G438=Data_Val!$C$2,IF(Data!I438="",0,1),0))</f>
        <v/>
      </c>
      <c r="J448" s="38" t="str">
        <f>IF(Data!I438="","",IF(ISNUMBER(MATCH(Data!J438,Data_Val!$A$2:$A$3,0)),0,1))</f>
        <v/>
      </c>
      <c r="K448" s="38" t="str">
        <f ca="1">IF(Data!I438="","",IF(ISNUMBER(Data!K438),IF(AND(Data!K438&gt;(TODAY()-(Data_Val!$K$3*365.25)),Data!K438&lt;=(TODAY()-(Data_Val!$K$2*365.25))),0,1),1))</f>
        <v/>
      </c>
      <c r="L448" s="16" t="str">
        <f>IF(Data!G438="","",IF(Data!G438=Data_Val!$C$2,IF(Data!L438="",0,1),0))</f>
        <v/>
      </c>
      <c r="M448" s="16" t="str">
        <f>IF(Data!L438="","",IF(ISNUMBER(MATCH(Data!M438,Data_Val!$A$2:$A$3,0)),0,1))</f>
        <v/>
      </c>
      <c r="N448" s="43" t="str">
        <f ca="1">IF(Data!L438="","",IF(ISNUMBER(Data!N438),IF(AND(Data!N438&gt;(TODAY()-(Data_Val!$L$3*365.25)),Data!N438&lt;=(TODAY()-(Data_Val!$L$2*365.25))),0,1),1))</f>
        <v/>
      </c>
      <c r="O448" s="18" t="str">
        <f>IF(Data!$G438="","",IF(Data!$G438=Data_Val!$C$2,IF(Data!O438="",0,1),0))</f>
        <v/>
      </c>
      <c r="P448" s="18" t="str">
        <f>IF(Data!O438="","",IF(ISNUMBER(MATCH(Data!P438,Data_Val!$A$2:$A$3,0)),0,1))</f>
        <v/>
      </c>
      <c r="Q448" s="44" t="str">
        <f ca="1">IF(Data!O438="","",IF(ISNUMBER(Data!Q438),IF(AND(Data!Q438&gt;(TODAY()-(Data_Val!$L$3*365.25)),Data!Q438&lt;=(TODAY()-(Data_Val!$L$2*365.25))),0,1),1))</f>
        <v/>
      </c>
    </row>
    <row r="449" spans="1:17" ht="12" customHeight="1" x14ac:dyDescent="0.25">
      <c r="A449" s="36" t="str">
        <f>IF(Data!B439="","",IF(COUNTIFS(Data!A$1:'Data'!A439,Data!A439)&lt;=1,0,1))</f>
        <v/>
      </c>
      <c r="B449" s="36"/>
      <c r="C449" s="36" t="str">
        <f>IF(Data!C439="","",(IF(ISNUMBER(MATCH("*@*.?*",Data!C439,0)),0,1)+IF(COUNTIFS(Data!C$1:'Data'!C439,Data!C439)&gt;1,1,0)))</f>
        <v/>
      </c>
      <c r="D449" s="36" t="str">
        <f>IF(Data!B439="","",IF(ISNUMBER(Data!D439),IF(AND(Data!D439&gt;999999999,Data!D439&lt;=9999999999),IF(COUNTIFS(Data!D$1:'Data'!D439,Data!D439)&lt;=1,0,1),1),1))</f>
        <v/>
      </c>
      <c r="E449" s="36" t="str">
        <f>IF(Data!B439="","",IF(ISNUMBER(MATCH(Data!E439,Data_Val!$A$2:$A$3,0)),0,1))</f>
        <v/>
      </c>
      <c r="F449" s="36" t="str">
        <f ca="1">IF(Data!B439="","",IF(ISNUMBER(Data!F439),IF(AND(Data!F439&gt;(TODAY()-(Data_Val!$H$3*365.25)),Data!F439&lt;=(TODAY()-(Data_Val!$H$2*365.25))),0,1),1))</f>
        <v/>
      </c>
      <c r="G449" s="12" t="str">
        <f>IF(Data!B439="","",IF(AND(Data!G439="",Data!H439&lt;&gt;""),1,IF(ISNUMBER(MATCH(Data!G439,Data_Val!$C$2:$C$5,0)),0,1)))</f>
        <v/>
      </c>
      <c r="H449" s="12" t="str">
        <f>IF(Data!B439="","",IF(AND(Data!G439&lt;&gt;"",Data!H439=""),1,IF(Data!G439="",1,IF(ISNUMBER(MATCH(Data!H439,Data_Val!$D$2:$D$35,0)),0,1))))</f>
        <v/>
      </c>
      <c r="I449" s="38" t="str">
        <f>IF(Data!G439="","",IF(Data!G439=Data_Val!$C$2,IF(Data!I439="",0,1),0))</f>
        <v/>
      </c>
      <c r="J449" s="38" t="str">
        <f>IF(Data!I439="","",IF(ISNUMBER(MATCH(Data!J439,Data_Val!$A$2:$A$3,0)),0,1))</f>
        <v/>
      </c>
      <c r="K449" s="38" t="str">
        <f ca="1">IF(Data!I439="","",IF(ISNUMBER(Data!K439),IF(AND(Data!K439&gt;(TODAY()-(Data_Val!$K$3*365.25)),Data!K439&lt;=(TODAY()-(Data_Val!$K$2*365.25))),0,1),1))</f>
        <v/>
      </c>
      <c r="L449" s="16" t="str">
        <f>IF(Data!G439="","",IF(Data!G439=Data_Val!$C$2,IF(Data!L439="",0,1),0))</f>
        <v/>
      </c>
      <c r="M449" s="16" t="str">
        <f>IF(Data!L439="","",IF(ISNUMBER(MATCH(Data!M439,Data_Val!$A$2:$A$3,0)),0,1))</f>
        <v/>
      </c>
      <c r="N449" s="43" t="str">
        <f ca="1">IF(Data!L439="","",IF(ISNUMBER(Data!N439),IF(AND(Data!N439&gt;(TODAY()-(Data_Val!$L$3*365.25)),Data!N439&lt;=(TODAY()-(Data_Val!$L$2*365.25))),0,1),1))</f>
        <v/>
      </c>
      <c r="O449" s="18" t="str">
        <f>IF(Data!$G439="","",IF(Data!$G439=Data_Val!$C$2,IF(Data!O439="",0,1),0))</f>
        <v/>
      </c>
      <c r="P449" s="18" t="str">
        <f>IF(Data!O439="","",IF(ISNUMBER(MATCH(Data!P439,Data_Val!$A$2:$A$3,0)),0,1))</f>
        <v/>
      </c>
      <c r="Q449" s="44" t="str">
        <f ca="1">IF(Data!O439="","",IF(ISNUMBER(Data!Q439),IF(AND(Data!Q439&gt;(TODAY()-(Data_Val!$L$3*365.25)),Data!Q439&lt;=(TODAY()-(Data_Val!$L$2*365.25))),0,1),1))</f>
        <v/>
      </c>
    </row>
    <row r="450" spans="1:17" ht="12" customHeight="1" x14ac:dyDescent="0.25">
      <c r="A450" s="36" t="str">
        <f>IF(Data!B440="","",IF(COUNTIFS(Data!A$1:'Data'!A440,Data!A440)&lt;=1,0,1))</f>
        <v/>
      </c>
      <c r="B450" s="36"/>
      <c r="C450" s="36" t="str">
        <f>IF(Data!C440="","",(IF(ISNUMBER(MATCH("*@*.?*",Data!C440,0)),0,1)+IF(COUNTIFS(Data!C$1:'Data'!C440,Data!C440)&gt;1,1,0)))</f>
        <v/>
      </c>
      <c r="D450" s="36" t="str">
        <f>IF(Data!B440="","",IF(ISNUMBER(Data!D440),IF(AND(Data!D440&gt;999999999,Data!D440&lt;=9999999999),IF(COUNTIFS(Data!D$1:'Data'!D440,Data!D440)&lt;=1,0,1),1),1))</f>
        <v/>
      </c>
      <c r="E450" s="36" t="str">
        <f>IF(Data!B440="","",IF(ISNUMBER(MATCH(Data!E440,Data_Val!$A$2:$A$3,0)),0,1))</f>
        <v/>
      </c>
      <c r="F450" s="36" t="str">
        <f ca="1">IF(Data!B440="","",IF(ISNUMBER(Data!F440),IF(AND(Data!F440&gt;(TODAY()-(Data_Val!$H$3*365.25)),Data!F440&lt;=(TODAY()-(Data_Val!$H$2*365.25))),0,1),1))</f>
        <v/>
      </c>
      <c r="G450" s="12" t="str">
        <f>IF(Data!B440="","",IF(AND(Data!G440="",Data!H440&lt;&gt;""),1,IF(ISNUMBER(MATCH(Data!G440,Data_Val!$C$2:$C$5,0)),0,1)))</f>
        <v/>
      </c>
      <c r="H450" s="12" t="str">
        <f>IF(Data!B440="","",IF(AND(Data!G440&lt;&gt;"",Data!H440=""),1,IF(Data!G440="",1,IF(ISNUMBER(MATCH(Data!H440,Data_Val!$D$2:$D$35,0)),0,1))))</f>
        <v/>
      </c>
      <c r="I450" s="38" t="str">
        <f>IF(Data!G440="","",IF(Data!G440=Data_Val!$C$2,IF(Data!I440="",0,1),0))</f>
        <v/>
      </c>
      <c r="J450" s="38" t="str">
        <f>IF(Data!I440="","",IF(ISNUMBER(MATCH(Data!J440,Data_Val!$A$2:$A$3,0)),0,1))</f>
        <v/>
      </c>
      <c r="K450" s="38" t="str">
        <f ca="1">IF(Data!I440="","",IF(ISNUMBER(Data!K440),IF(AND(Data!K440&gt;(TODAY()-(Data_Val!$K$3*365.25)),Data!K440&lt;=(TODAY()-(Data_Val!$K$2*365.25))),0,1),1))</f>
        <v/>
      </c>
      <c r="L450" s="16" t="str">
        <f>IF(Data!G440="","",IF(Data!G440=Data_Val!$C$2,IF(Data!L440="",0,1),0))</f>
        <v/>
      </c>
      <c r="M450" s="16" t="str">
        <f>IF(Data!L440="","",IF(ISNUMBER(MATCH(Data!M440,Data_Val!$A$2:$A$3,0)),0,1))</f>
        <v/>
      </c>
      <c r="N450" s="43" t="str">
        <f ca="1">IF(Data!L440="","",IF(ISNUMBER(Data!N440),IF(AND(Data!N440&gt;(TODAY()-(Data_Val!$L$3*365.25)),Data!N440&lt;=(TODAY()-(Data_Val!$L$2*365.25))),0,1),1))</f>
        <v/>
      </c>
      <c r="O450" s="18" t="str">
        <f>IF(Data!$G440="","",IF(Data!$G440=Data_Val!$C$2,IF(Data!O440="",0,1),0))</f>
        <v/>
      </c>
      <c r="P450" s="18" t="str">
        <f>IF(Data!O440="","",IF(ISNUMBER(MATCH(Data!P440,Data_Val!$A$2:$A$3,0)),0,1))</f>
        <v/>
      </c>
      <c r="Q450" s="44" t="str">
        <f ca="1">IF(Data!O440="","",IF(ISNUMBER(Data!Q440),IF(AND(Data!Q440&gt;(TODAY()-(Data_Val!$L$3*365.25)),Data!Q440&lt;=(TODAY()-(Data_Val!$L$2*365.25))),0,1),1))</f>
        <v/>
      </c>
    </row>
    <row r="451" spans="1:17" ht="12" customHeight="1" x14ac:dyDescent="0.25">
      <c r="A451" s="36" t="str">
        <f>IF(Data!B441="","",IF(COUNTIFS(Data!A$1:'Data'!A441,Data!A441)&lt;=1,0,1))</f>
        <v/>
      </c>
      <c r="B451" s="36"/>
      <c r="C451" s="36" t="str">
        <f>IF(Data!C441="","",(IF(ISNUMBER(MATCH("*@*.?*",Data!C441,0)),0,1)+IF(COUNTIFS(Data!C$1:'Data'!C441,Data!C441)&gt;1,1,0)))</f>
        <v/>
      </c>
      <c r="D451" s="36" t="str">
        <f>IF(Data!B441="","",IF(ISNUMBER(Data!D441),IF(AND(Data!D441&gt;999999999,Data!D441&lt;=9999999999),IF(COUNTIFS(Data!D$1:'Data'!D441,Data!D441)&lt;=1,0,1),1),1))</f>
        <v/>
      </c>
      <c r="E451" s="36" t="str">
        <f>IF(Data!B441="","",IF(ISNUMBER(MATCH(Data!E441,Data_Val!$A$2:$A$3,0)),0,1))</f>
        <v/>
      </c>
      <c r="F451" s="36" t="str">
        <f ca="1">IF(Data!B441="","",IF(ISNUMBER(Data!F441),IF(AND(Data!F441&gt;(TODAY()-(Data_Val!$H$3*365.25)),Data!F441&lt;=(TODAY()-(Data_Val!$H$2*365.25))),0,1),1))</f>
        <v/>
      </c>
      <c r="G451" s="12" t="str">
        <f>IF(Data!B441="","",IF(AND(Data!G441="",Data!H441&lt;&gt;""),1,IF(ISNUMBER(MATCH(Data!G441,Data_Val!$C$2:$C$5,0)),0,1)))</f>
        <v/>
      </c>
      <c r="H451" s="12" t="str">
        <f>IF(Data!B441="","",IF(AND(Data!G441&lt;&gt;"",Data!H441=""),1,IF(Data!G441="",1,IF(ISNUMBER(MATCH(Data!H441,Data_Val!$D$2:$D$35,0)),0,1))))</f>
        <v/>
      </c>
      <c r="I451" s="38" t="str">
        <f>IF(Data!G441="","",IF(Data!G441=Data_Val!$C$2,IF(Data!I441="",0,1),0))</f>
        <v/>
      </c>
      <c r="J451" s="38" t="str">
        <f>IF(Data!I441="","",IF(ISNUMBER(MATCH(Data!J441,Data_Val!$A$2:$A$3,0)),0,1))</f>
        <v/>
      </c>
      <c r="K451" s="38" t="str">
        <f ca="1">IF(Data!I441="","",IF(ISNUMBER(Data!K441),IF(AND(Data!K441&gt;(TODAY()-(Data_Val!$K$3*365.25)),Data!K441&lt;=(TODAY()-(Data_Val!$K$2*365.25))),0,1),1))</f>
        <v/>
      </c>
      <c r="L451" s="16" t="str">
        <f>IF(Data!G441="","",IF(Data!G441=Data_Val!$C$2,IF(Data!L441="",0,1),0))</f>
        <v/>
      </c>
      <c r="M451" s="16" t="str">
        <f>IF(Data!L441="","",IF(ISNUMBER(MATCH(Data!M441,Data_Val!$A$2:$A$3,0)),0,1))</f>
        <v/>
      </c>
      <c r="N451" s="43" t="str">
        <f ca="1">IF(Data!L441="","",IF(ISNUMBER(Data!N441),IF(AND(Data!N441&gt;(TODAY()-(Data_Val!$L$3*365.25)),Data!N441&lt;=(TODAY()-(Data_Val!$L$2*365.25))),0,1),1))</f>
        <v/>
      </c>
      <c r="O451" s="18" t="str">
        <f>IF(Data!$G441="","",IF(Data!$G441=Data_Val!$C$2,IF(Data!O441="",0,1),0))</f>
        <v/>
      </c>
      <c r="P451" s="18" t="str">
        <f>IF(Data!O441="","",IF(ISNUMBER(MATCH(Data!P441,Data_Val!$A$2:$A$3,0)),0,1))</f>
        <v/>
      </c>
      <c r="Q451" s="44" t="str">
        <f ca="1">IF(Data!O441="","",IF(ISNUMBER(Data!Q441),IF(AND(Data!Q441&gt;(TODAY()-(Data_Val!$L$3*365.25)),Data!Q441&lt;=(TODAY()-(Data_Val!$L$2*365.25))),0,1),1))</f>
        <v/>
      </c>
    </row>
    <row r="452" spans="1:17" ht="12" customHeight="1" x14ac:dyDescent="0.25">
      <c r="A452" s="36" t="str">
        <f>IF(Data!B442="","",IF(COUNTIFS(Data!A$1:'Data'!A442,Data!A442)&lt;=1,0,1))</f>
        <v/>
      </c>
      <c r="B452" s="36"/>
      <c r="C452" s="36" t="str">
        <f>IF(Data!C442="","",(IF(ISNUMBER(MATCH("*@*.?*",Data!C442,0)),0,1)+IF(COUNTIFS(Data!C$1:'Data'!C442,Data!C442)&gt;1,1,0)))</f>
        <v/>
      </c>
      <c r="D452" s="36" t="str">
        <f>IF(Data!B442="","",IF(ISNUMBER(Data!D442),IF(AND(Data!D442&gt;999999999,Data!D442&lt;=9999999999),IF(COUNTIFS(Data!D$1:'Data'!D442,Data!D442)&lt;=1,0,1),1),1))</f>
        <v/>
      </c>
      <c r="E452" s="36" t="str">
        <f>IF(Data!B442="","",IF(ISNUMBER(MATCH(Data!E442,Data_Val!$A$2:$A$3,0)),0,1))</f>
        <v/>
      </c>
      <c r="F452" s="36" t="str">
        <f ca="1">IF(Data!B442="","",IF(ISNUMBER(Data!F442),IF(AND(Data!F442&gt;(TODAY()-(Data_Val!$H$3*365.25)),Data!F442&lt;=(TODAY()-(Data_Val!$H$2*365.25))),0,1),1))</f>
        <v/>
      </c>
      <c r="G452" s="12" t="str">
        <f>IF(Data!B442="","",IF(AND(Data!G442="",Data!H442&lt;&gt;""),1,IF(ISNUMBER(MATCH(Data!G442,Data_Val!$C$2:$C$5,0)),0,1)))</f>
        <v/>
      </c>
      <c r="H452" s="12" t="str">
        <f>IF(Data!B442="","",IF(AND(Data!G442&lt;&gt;"",Data!H442=""),1,IF(Data!G442="",1,IF(ISNUMBER(MATCH(Data!H442,Data_Val!$D$2:$D$35,0)),0,1))))</f>
        <v/>
      </c>
      <c r="I452" s="38" t="str">
        <f>IF(Data!G442="","",IF(Data!G442=Data_Val!$C$2,IF(Data!I442="",0,1),0))</f>
        <v/>
      </c>
      <c r="J452" s="38" t="str">
        <f>IF(Data!I442="","",IF(ISNUMBER(MATCH(Data!J442,Data_Val!$A$2:$A$3,0)),0,1))</f>
        <v/>
      </c>
      <c r="K452" s="38" t="str">
        <f ca="1">IF(Data!I442="","",IF(ISNUMBER(Data!K442),IF(AND(Data!K442&gt;(TODAY()-(Data_Val!$K$3*365.25)),Data!K442&lt;=(TODAY()-(Data_Val!$K$2*365.25))),0,1),1))</f>
        <v/>
      </c>
      <c r="L452" s="16" t="str">
        <f>IF(Data!G442="","",IF(Data!G442=Data_Val!$C$2,IF(Data!L442="",0,1),0))</f>
        <v/>
      </c>
      <c r="M452" s="16" t="str">
        <f>IF(Data!L442="","",IF(ISNUMBER(MATCH(Data!M442,Data_Val!$A$2:$A$3,0)),0,1))</f>
        <v/>
      </c>
      <c r="N452" s="43" t="str">
        <f ca="1">IF(Data!L442="","",IF(ISNUMBER(Data!N442),IF(AND(Data!N442&gt;(TODAY()-(Data_Val!$L$3*365.25)),Data!N442&lt;=(TODAY()-(Data_Val!$L$2*365.25))),0,1),1))</f>
        <v/>
      </c>
      <c r="O452" s="18" t="str">
        <f>IF(Data!$G442="","",IF(Data!$G442=Data_Val!$C$2,IF(Data!O442="",0,1),0))</f>
        <v/>
      </c>
      <c r="P452" s="18" t="str">
        <f>IF(Data!O442="","",IF(ISNUMBER(MATCH(Data!P442,Data_Val!$A$2:$A$3,0)),0,1))</f>
        <v/>
      </c>
      <c r="Q452" s="44" t="str">
        <f ca="1">IF(Data!O442="","",IF(ISNUMBER(Data!Q442),IF(AND(Data!Q442&gt;(TODAY()-(Data_Val!$L$3*365.25)),Data!Q442&lt;=(TODAY()-(Data_Val!$L$2*365.25))),0,1),1))</f>
        <v/>
      </c>
    </row>
    <row r="453" spans="1:17" ht="12" customHeight="1" x14ac:dyDescent="0.25">
      <c r="A453" s="36" t="str">
        <f>IF(Data!B443="","",IF(COUNTIFS(Data!A$1:'Data'!A443,Data!A443)&lt;=1,0,1))</f>
        <v/>
      </c>
      <c r="B453" s="36"/>
      <c r="C453" s="36" t="str">
        <f>IF(Data!C443="","",(IF(ISNUMBER(MATCH("*@*.?*",Data!C443,0)),0,1)+IF(COUNTIFS(Data!C$1:'Data'!C443,Data!C443)&gt;1,1,0)))</f>
        <v/>
      </c>
      <c r="D453" s="36" t="str">
        <f>IF(Data!B443="","",IF(ISNUMBER(Data!D443),IF(AND(Data!D443&gt;999999999,Data!D443&lt;=9999999999),IF(COUNTIFS(Data!D$1:'Data'!D443,Data!D443)&lt;=1,0,1),1),1))</f>
        <v/>
      </c>
      <c r="E453" s="36" t="str">
        <f>IF(Data!B443="","",IF(ISNUMBER(MATCH(Data!E443,Data_Val!$A$2:$A$3,0)),0,1))</f>
        <v/>
      </c>
      <c r="F453" s="36" t="str">
        <f ca="1">IF(Data!B443="","",IF(ISNUMBER(Data!F443),IF(AND(Data!F443&gt;(TODAY()-(Data_Val!$H$3*365.25)),Data!F443&lt;=(TODAY()-(Data_Val!$H$2*365.25))),0,1),1))</f>
        <v/>
      </c>
      <c r="G453" s="12" t="str">
        <f>IF(Data!B443="","",IF(AND(Data!G443="",Data!H443&lt;&gt;""),1,IF(ISNUMBER(MATCH(Data!G443,Data_Val!$C$2:$C$5,0)),0,1)))</f>
        <v/>
      </c>
      <c r="H453" s="12" t="str">
        <f>IF(Data!B443="","",IF(AND(Data!G443&lt;&gt;"",Data!H443=""),1,IF(Data!G443="",1,IF(ISNUMBER(MATCH(Data!H443,Data_Val!$D$2:$D$35,0)),0,1))))</f>
        <v/>
      </c>
      <c r="I453" s="38" t="str">
        <f>IF(Data!G443="","",IF(Data!G443=Data_Val!$C$2,IF(Data!I443="",0,1),0))</f>
        <v/>
      </c>
      <c r="J453" s="38" t="str">
        <f>IF(Data!I443="","",IF(ISNUMBER(MATCH(Data!J443,Data_Val!$A$2:$A$3,0)),0,1))</f>
        <v/>
      </c>
      <c r="K453" s="38" t="str">
        <f ca="1">IF(Data!I443="","",IF(ISNUMBER(Data!K443),IF(AND(Data!K443&gt;(TODAY()-(Data_Val!$K$3*365.25)),Data!K443&lt;=(TODAY()-(Data_Val!$K$2*365.25))),0,1),1))</f>
        <v/>
      </c>
      <c r="L453" s="16" t="str">
        <f>IF(Data!G443="","",IF(Data!G443=Data_Val!$C$2,IF(Data!L443="",0,1),0))</f>
        <v/>
      </c>
      <c r="M453" s="16" t="str">
        <f>IF(Data!L443="","",IF(ISNUMBER(MATCH(Data!M443,Data_Val!$A$2:$A$3,0)),0,1))</f>
        <v/>
      </c>
      <c r="N453" s="43" t="str">
        <f ca="1">IF(Data!L443="","",IF(ISNUMBER(Data!N443),IF(AND(Data!N443&gt;(TODAY()-(Data_Val!$L$3*365.25)),Data!N443&lt;=(TODAY()-(Data_Val!$L$2*365.25))),0,1),1))</f>
        <v/>
      </c>
      <c r="O453" s="18" t="str">
        <f>IF(Data!$G443="","",IF(Data!$G443=Data_Val!$C$2,IF(Data!O443="",0,1),0))</f>
        <v/>
      </c>
      <c r="P453" s="18" t="str">
        <f>IF(Data!O443="","",IF(ISNUMBER(MATCH(Data!P443,Data_Val!$A$2:$A$3,0)),0,1))</f>
        <v/>
      </c>
      <c r="Q453" s="44" t="str">
        <f ca="1">IF(Data!O443="","",IF(ISNUMBER(Data!Q443),IF(AND(Data!Q443&gt;(TODAY()-(Data_Val!$L$3*365.25)),Data!Q443&lt;=(TODAY()-(Data_Val!$L$2*365.25))),0,1),1))</f>
        <v/>
      </c>
    </row>
    <row r="454" spans="1:17" ht="12" customHeight="1" x14ac:dyDescent="0.25">
      <c r="A454" s="36" t="str">
        <f>IF(Data!B444="","",IF(COUNTIFS(Data!A$1:'Data'!A444,Data!A444)&lt;=1,0,1))</f>
        <v/>
      </c>
      <c r="B454" s="36"/>
      <c r="C454" s="36" t="str">
        <f>IF(Data!C444="","",(IF(ISNUMBER(MATCH("*@*.?*",Data!C444,0)),0,1)+IF(COUNTIFS(Data!C$1:'Data'!C444,Data!C444)&gt;1,1,0)))</f>
        <v/>
      </c>
      <c r="D454" s="36" t="str">
        <f>IF(Data!B444="","",IF(ISNUMBER(Data!D444),IF(AND(Data!D444&gt;999999999,Data!D444&lt;=9999999999),IF(COUNTIFS(Data!D$1:'Data'!D444,Data!D444)&lt;=1,0,1),1),1))</f>
        <v/>
      </c>
      <c r="E454" s="36" t="str">
        <f>IF(Data!B444="","",IF(ISNUMBER(MATCH(Data!E444,Data_Val!$A$2:$A$3,0)),0,1))</f>
        <v/>
      </c>
      <c r="F454" s="36" t="str">
        <f ca="1">IF(Data!B444="","",IF(ISNUMBER(Data!F444),IF(AND(Data!F444&gt;(TODAY()-(Data_Val!$H$3*365.25)),Data!F444&lt;=(TODAY()-(Data_Val!$H$2*365.25))),0,1),1))</f>
        <v/>
      </c>
      <c r="G454" s="12" t="str">
        <f>IF(Data!B444="","",IF(AND(Data!G444="",Data!H444&lt;&gt;""),1,IF(ISNUMBER(MATCH(Data!G444,Data_Val!$C$2:$C$5,0)),0,1)))</f>
        <v/>
      </c>
      <c r="H454" s="12" t="str">
        <f>IF(Data!B444="","",IF(AND(Data!G444&lt;&gt;"",Data!H444=""),1,IF(Data!G444="",1,IF(ISNUMBER(MATCH(Data!H444,Data_Val!$D$2:$D$35,0)),0,1))))</f>
        <v/>
      </c>
      <c r="I454" s="38" t="str">
        <f>IF(Data!G444="","",IF(Data!G444=Data_Val!$C$2,IF(Data!I444="",0,1),0))</f>
        <v/>
      </c>
      <c r="J454" s="38" t="str">
        <f>IF(Data!I444="","",IF(ISNUMBER(MATCH(Data!J444,Data_Val!$A$2:$A$3,0)),0,1))</f>
        <v/>
      </c>
      <c r="K454" s="38" t="str">
        <f ca="1">IF(Data!I444="","",IF(ISNUMBER(Data!K444),IF(AND(Data!K444&gt;(TODAY()-(Data_Val!$K$3*365.25)),Data!K444&lt;=(TODAY()-(Data_Val!$K$2*365.25))),0,1),1))</f>
        <v/>
      </c>
      <c r="L454" s="16" t="str">
        <f>IF(Data!G444="","",IF(Data!G444=Data_Val!$C$2,IF(Data!L444="",0,1),0))</f>
        <v/>
      </c>
      <c r="M454" s="16" t="str">
        <f>IF(Data!L444="","",IF(ISNUMBER(MATCH(Data!M444,Data_Val!$A$2:$A$3,0)),0,1))</f>
        <v/>
      </c>
      <c r="N454" s="43" t="str">
        <f ca="1">IF(Data!L444="","",IF(ISNUMBER(Data!N444),IF(AND(Data!N444&gt;(TODAY()-(Data_Val!$L$3*365.25)),Data!N444&lt;=(TODAY()-(Data_Val!$L$2*365.25))),0,1),1))</f>
        <v/>
      </c>
      <c r="O454" s="18" t="str">
        <f>IF(Data!$G444="","",IF(Data!$G444=Data_Val!$C$2,IF(Data!O444="",0,1),0))</f>
        <v/>
      </c>
      <c r="P454" s="18" t="str">
        <f>IF(Data!O444="","",IF(ISNUMBER(MATCH(Data!P444,Data_Val!$A$2:$A$3,0)),0,1))</f>
        <v/>
      </c>
      <c r="Q454" s="44" t="str">
        <f ca="1">IF(Data!O444="","",IF(ISNUMBER(Data!Q444),IF(AND(Data!Q444&gt;(TODAY()-(Data_Val!$L$3*365.25)),Data!Q444&lt;=(TODAY()-(Data_Val!$L$2*365.25))),0,1),1))</f>
        <v/>
      </c>
    </row>
    <row r="455" spans="1:17" ht="12" customHeight="1" x14ac:dyDescent="0.25">
      <c r="A455" s="36" t="str">
        <f>IF(Data!B445="","",IF(COUNTIFS(Data!A$1:'Data'!A445,Data!A445)&lt;=1,0,1))</f>
        <v/>
      </c>
      <c r="B455" s="36"/>
      <c r="C455" s="36" t="str">
        <f>IF(Data!C445="","",(IF(ISNUMBER(MATCH("*@*.?*",Data!C445,0)),0,1)+IF(COUNTIFS(Data!C$1:'Data'!C445,Data!C445)&gt;1,1,0)))</f>
        <v/>
      </c>
      <c r="D455" s="36" t="str">
        <f>IF(Data!B445="","",IF(ISNUMBER(Data!D445),IF(AND(Data!D445&gt;999999999,Data!D445&lt;=9999999999),IF(COUNTIFS(Data!D$1:'Data'!D445,Data!D445)&lt;=1,0,1),1),1))</f>
        <v/>
      </c>
      <c r="E455" s="36" t="str">
        <f>IF(Data!B445="","",IF(ISNUMBER(MATCH(Data!E445,Data_Val!$A$2:$A$3,0)),0,1))</f>
        <v/>
      </c>
      <c r="F455" s="36" t="str">
        <f ca="1">IF(Data!B445="","",IF(ISNUMBER(Data!F445),IF(AND(Data!F445&gt;(TODAY()-(Data_Val!$H$3*365.25)),Data!F445&lt;=(TODAY()-(Data_Val!$H$2*365.25))),0,1),1))</f>
        <v/>
      </c>
      <c r="G455" s="12" t="str">
        <f>IF(Data!B445="","",IF(AND(Data!G445="",Data!H445&lt;&gt;""),1,IF(ISNUMBER(MATCH(Data!G445,Data_Val!$C$2:$C$5,0)),0,1)))</f>
        <v/>
      </c>
      <c r="H455" s="12" t="str">
        <f>IF(Data!B445="","",IF(AND(Data!G445&lt;&gt;"",Data!H445=""),1,IF(Data!G445="",1,IF(ISNUMBER(MATCH(Data!H445,Data_Val!$D$2:$D$35,0)),0,1))))</f>
        <v/>
      </c>
      <c r="I455" s="38" t="str">
        <f>IF(Data!G445="","",IF(Data!G445=Data_Val!$C$2,IF(Data!I445="",0,1),0))</f>
        <v/>
      </c>
      <c r="J455" s="38" t="str">
        <f>IF(Data!I445="","",IF(ISNUMBER(MATCH(Data!J445,Data_Val!$A$2:$A$3,0)),0,1))</f>
        <v/>
      </c>
      <c r="K455" s="38" t="str">
        <f ca="1">IF(Data!I445="","",IF(ISNUMBER(Data!K445),IF(AND(Data!K445&gt;(TODAY()-(Data_Val!$K$3*365.25)),Data!K445&lt;=(TODAY()-(Data_Val!$K$2*365.25))),0,1),1))</f>
        <v/>
      </c>
      <c r="L455" s="16" t="str">
        <f>IF(Data!G445="","",IF(Data!G445=Data_Val!$C$2,IF(Data!L445="",0,1),0))</f>
        <v/>
      </c>
      <c r="M455" s="16" t="str">
        <f>IF(Data!L445="","",IF(ISNUMBER(MATCH(Data!M445,Data_Val!$A$2:$A$3,0)),0,1))</f>
        <v/>
      </c>
      <c r="N455" s="43" t="str">
        <f ca="1">IF(Data!L445="","",IF(ISNUMBER(Data!N445),IF(AND(Data!N445&gt;(TODAY()-(Data_Val!$L$3*365.25)),Data!N445&lt;=(TODAY()-(Data_Val!$L$2*365.25))),0,1),1))</f>
        <v/>
      </c>
      <c r="O455" s="18" t="str">
        <f>IF(Data!$G445="","",IF(Data!$G445=Data_Val!$C$2,IF(Data!O445="",0,1),0))</f>
        <v/>
      </c>
      <c r="P455" s="18" t="str">
        <f>IF(Data!O445="","",IF(ISNUMBER(MATCH(Data!P445,Data_Val!$A$2:$A$3,0)),0,1))</f>
        <v/>
      </c>
      <c r="Q455" s="44" t="str">
        <f ca="1">IF(Data!O445="","",IF(ISNUMBER(Data!Q445),IF(AND(Data!Q445&gt;(TODAY()-(Data_Val!$L$3*365.25)),Data!Q445&lt;=(TODAY()-(Data_Val!$L$2*365.25))),0,1),1))</f>
        <v/>
      </c>
    </row>
    <row r="456" spans="1:17" ht="12" customHeight="1" x14ac:dyDescent="0.25">
      <c r="A456" s="36" t="str">
        <f>IF(Data!B446="","",IF(COUNTIFS(Data!A$1:'Data'!A446,Data!A446)&lt;=1,0,1))</f>
        <v/>
      </c>
      <c r="B456" s="36"/>
      <c r="C456" s="36" t="str">
        <f>IF(Data!C446="","",(IF(ISNUMBER(MATCH("*@*.?*",Data!C446,0)),0,1)+IF(COUNTIFS(Data!C$1:'Data'!C446,Data!C446)&gt;1,1,0)))</f>
        <v/>
      </c>
      <c r="D456" s="36" t="str">
        <f>IF(Data!B446="","",IF(ISNUMBER(Data!D446),IF(AND(Data!D446&gt;999999999,Data!D446&lt;=9999999999),IF(COUNTIFS(Data!D$1:'Data'!D446,Data!D446)&lt;=1,0,1),1),1))</f>
        <v/>
      </c>
      <c r="E456" s="36" t="str">
        <f>IF(Data!B446="","",IF(ISNUMBER(MATCH(Data!E446,Data_Val!$A$2:$A$3,0)),0,1))</f>
        <v/>
      </c>
      <c r="F456" s="36" t="str">
        <f ca="1">IF(Data!B446="","",IF(ISNUMBER(Data!F446),IF(AND(Data!F446&gt;(TODAY()-(Data_Val!$H$3*365.25)),Data!F446&lt;=(TODAY()-(Data_Val!$H$2*365.25))),0,1),1))</f>
        <v/>
      </c>
      <c r="G456" s="12" t="str">
        <f>IF(Data!B446="","",IF(AND(Data!G446="",Data!H446&lt;&gt;""),1,IF(ISNUMBER(MATCH(Data!G446,Data_Val!$C$2:$C$5,0)),0,1)))</f>
        <v/>
      </c>
      <c r="H456" s="12" t="str">
        <f>IF(Data!B446="","",IF(AND(Data!G446&lt;&gt;"",Data!H446=""),1,IF(Data!G446="",1,IF(ISNUMBER(MATCH(Data!H446,Data_Val!$D$2:$D$35,0)),0,1))))</f>
        <v/>
      </c>
      <c r="I456" s="38" t="str">
        <f>IF(Data!G446="","",IF(Data!G446=Data_Val!$C$2,IF(Data!I446="",0,1),0))</f>
        <v/>
      </c>
      <c r="J456" s="38" t="str">
        <f>IF(Data!I446="","",IF(ISNUMBER(MATCH(Data!J446,Data_Val!$A$2:$A$3,0)),0,1))</f>
        <v/>
      </c>
      <c r="K456" s="38" t="str">
        <f ca="1">IF(Data!I446="","",IF(ISNUMBER(Data!K446),IF(AND(Data!K446&gt;(TODAY()-(Data_Val!$K$3*365.25)),Data!K446&lt;=(TODAY()-(Data_Val!$K$2*365.25))),0,1),1))</f>
        <v/>
      </c>
      <c r="L456" s="16" t="str">
        <f>IF(Data!G446="","",IF(Data!G446=Data_Val!$C$2,IF(Data!L446="",0,1),0))</f>
        <v/>
      </c>
      <c r="M456" s="16" t="str">
        <f>IF(Data!L446="","",IF(ISNUMBER(MATCH(Data!M446,Data_Val!$A$2:$A$3,0)),0,1))</f>
        <v/>
      </c>
      <c r="N456" s="43" t="str">
        <f ca="1">IF(Data!L446="","",IF(ISNUMBER(Data!N446),IF(AND(Data!N446&gt;(TODAY()-(Data_Val!$L$3*365.25)),Data!N446&lt;=(TODAY()-(Data_Val!$L$2*365.25))),0,1),1))</f>
        <v/>
      </c>
      <c r="O456" s="18" t="str">
        <f>IF(Data!$G446="","",IF(Data!$G446=Data_Val!$C$2,IF(Data!O446="",0,1),0))</f>
        <v/>
      </c>
      <c r="P456" s="18" t="str">
        <f>IF(Data!O446="","",IF(ISNUMBER(MATCH(Data!P446,Data_Val!$A$2:$A$3,0)),0,1))</f>
        <v/>
      </c>
      <c r="Q456" s="44" t="str">
        <f ca="1">IF(Data!O446="","",IF(ISNUMBER(Data!Q446),IF(AND(Data!Q446&gt;(TODAY()-(Data_Val!$L$3*365.25)),Data!Q446&lt;=(TODAY()-(Data_Val!$L$2*365.25))),0,1),1))</f>
        <v/>
      </c>
    </row>
    <row r="457" spans="1:17" ht="12" customHeight="1" x14ac:dyDescent="0.25">
      <c r="A457" s="36" t="str">
        <f>IF(Data!B447="","",IF(COUNTIFS(Data!A$1:'Data'!A447,Data!A447)&lt;=1,0,1))</f>
        <v/>
      </c>
      <c r="B457" s="36"/>
      <c r="C457" s="36" t="str">
        <f>IF(Data!C447="","",(IF(ISNUMBER(MATCH("*@*.?*",Data!C447,0)),0,1)+IF(COUNTIFS(Data!C$1:'Data'!C447,Data!C447)&gt;1,1,0)))</f>
        <v/>
      </c>
      <c r="D457" s="36" t="str">
        <f>IF(Data!B447="","",IF(ISNUMBER(Data!D447),IF(AND(Data!D447&gt;999999999,Data!D447&lt;=9999999999),IF(COUNTIFS(Data!D$1:'Data'!D447,Data!D447)&lt;=1,0,1),1),1))</f>
        <v/>
      </c>
      <c r="E457" s="36" t="str">
        <f>IF(Data!B447="","",IF(ISNUMBER(MATCH(Data!E447,Data_Val!$A$2:$A$3,0)),0,1))</f>
        <v/>
      </c>
      <c r="F457" s="36" t="str">
        <f ca="1">IF(Data!B447="","",IF(ISNUMBER(Data!F447),IF(AND(Data!F447&gt;(TODAY()-(Data_Val!$H$3*365.25)),Data!F447&lt;=(TODAY()-(Data_Val!$H$2*365.25))),0,1),1))</f>
        <v/>
      </c>
      <c r="G457" s="12" t="str">
        <f>IF(Data!B447="","",IF(AND(Data!G447="",Data!H447&lt;&gt;""),1,IF(ISNUMBER(MATCH(Data!G447,Data_Val!$C$2:$C$5,0)),0,1)))</f>
        <v/>
      </c>
      <c r="H457" s="12" t="str">
        <f>IF(Data!B447="","",IF(AND(Data!G447&lt;&gt;"",Data!H447=""),1,IF(Data!G447="",1,IF(ISNUMBER(MATCH(Data!H447,Data_Val!$D$2:$D$35,0)),0,1))))</f>
        <v/>
      </c>
      <c r="I457" s="38" t="str">
        <f>IF(Data!G447="","",IF(Data!G447=Data_Val!$C$2,IF(Data!I447="",0,1),0))</f>
        <v/>
      </c>
      <c r="J457" s="38" t="str">
        <f>IF(Data!I447="","",IF(ISNUMBER(MATCH(Data!J447,Data_Val!$A$2:$A$3,0)),0,1))</f>
        <v/>
      </c>
      <c r="K457" s="38" t="str">
        <f ca="1">IF(Data!I447="","",IF(ISNUMBER(Data!K447),IF(AND(Data!K447&gt;(TODAY()-(Data_Val!$K$3*365.25)),Data!K447&lt;=(TODAY()-(Data_Val!$K$2*365.25))),0,1),1))</f>
        <v/>
      </c>
      <c r="L457" s="16" t="str">
        <f>IF(Data!G447="","",IF(Data!G447=Data_Val!$C$2,IF(Data!L447="",0,1),0))</f>
        <v/>
      </c>
      <c r="M457" s="16" t="str">
        <f>IF(Data!L447="","",IF(ISNUMBER(MATCH(Data!M447,Data_Val!$A$2:$A$3,0)),0,1))</f>
        <v/>
      </c>
      <c r="N457" s="43" t="str">
        <f ca="1">IF(Data!L447="","",IF(ISNUMBER(Data!N447),IF(AND(Data!N447&gt;(TODAY()-(Data_Val!$L$3*365.25)),Data!N447&lt;=(TODAY()-(Data_Val!$L$2*365.25))),0,1),1))</f>
        <v/>
      </c>
      <c r="O457" s="18" t="str">
        <f>IF(Data!$G447="","",IF(Data!$G447=Data_Val!$C$2,IF(Data!O447="",0,1),0))</f>
        <v/>
      </c>
      <c r="P457" s="18" t="str">
        <f>IF(Data!O447="","",IF(ISNUMBER(MATCH(Data!P447,Data_Val!$A$2:$A$3,0)),0,1))</f>
        <v/>
      </c>
      <c r="Q457" s="44" t="str">
        <f ca="1">IF(Data!O447="","",IF(ISNUMBER(Data!Q447),IF(AND(Data!Q447&gt;(TODAY()-(Data_Val!$L$3*365.25)),Data!Q447&lt;=(TODAY()-(Data_Val!$L$2*365.25))),0,1),1))</f>
        <v/>
      </c>
    </row>
    <row r="458" spans="1:17" ht="12" customHeight="1" x14ac:dyDescent="0.25">
      <c r="A458" s="36" t="str">
        <f>IF(Data!B448="","",IF(COUNTIFS(Data!A$1:'Data'!A448,Data!A448)&lt;=1,0,1))</f>
        <v/>
      </c>
      <c r="B458" s="36"/>
      <c r="C458" s="36" t="str">
        <f>IF(Data!C448="","",(IF(ISNUMBER(MATCH("*@*.?*",Data!C448,0)),0,1)+IF(COUNTIFS(Data!C$1:'Data'!C448,Data!C448)&gt;1,1,0)))</f>
        <v/>
      </c>
      <c r="D458" s="36" t="str">
        <f>IF(Data!B448="","",IF(ISNUMBER(Data!D448),IF(AND(Data!D448&gt;999999999,Data!D448&lt;=9999999999),IF(COUNTIFS(Data!D$1:'Data'!D448,Data!D448)&lt;=1,0,1),1),1))</f>
        <v/>
      </c>
      <c r="E458" s="36" t="str">
        <f>IF(Data!B448="","",IF(ISNUMBER(MATCH(Data!E448,Data_Val!$A$2:$A$3,0)),0,1))</f>
        <v/>
      </c>
      <c r="F458" s="36" t="str">
        <f ca="1">IF(Data!B448="","",IF(ISNUMBER(Data!F448),IF(AND(Data!F448&gt;(TODAY()-(Data_Val!$H$3*365.25)),Data!F448&lt;=(TODAY()-(Data_Val!$H$2*365.25))),0,1),1))</f>
        <v/>
      </c>
      <c r="G458" s="12" t="str">
        <f>IF(Data!B448="","",IF(AND(Data!G448="",Data!H448&lt;&gt;""),1,IF(ISNUMBER(MATCH(Data!G448,Data_Val!$C$2:$C$5,0)),0,1)))</f>
        <v/>
      </c>
      <c r="H458" s="12" t="str">
        <f>IF(Data!B448="","",IF(AND(Data!G448&lt;&gt;"",Data!H448=""),1,IF(Data!G448="",1,IF(ISNUMBER(MATCH(Data!H448,Data_Val!$D$2:$D$35,0)),0,1))))</f>
        <v/>
      </c>
      <c r="I458" s="38" t="str">
        <f>IF(Data!G448="","",IF(Data!G448=Data_Val!$C$2,IF(Data!I448="",0,1),0))</f>
        <v/>
      </c>
      <c r="J458" s="38" t="str">
        <f>IF(Data!I448="","",IF(ISNUMBER(MATCH(Data!J448,Data_Val!$A$2:$A$3,0)),0,1))</f>
        <v/>
      </c>
      <c r="K458" s="38" t="str">
        <f ca="1">IF(Data!I448="","",IF(ISNUMBER(Data!K448),IF(AND(Data!K448&gt;(TODAY()-(Data_Val!$K$3*365.25)),Data!K448&lt;=(TODAY()-(Data_Val!$K$2*365.25))),0,1),1))</f>
        <v/>
      </c>
      <c r="L458" s="16" t="str">
        <f>IF(Data!G448="","",IF(Data!G448=Data_Val!$C$2,IF(Data!L448="",0,1),0))</f>
        <v/>
      </c>
      <c r="M458" s="16" t="str">
        <f>IF(Data!L448="","",IF(ISNUMBER(MATCH(Data!M448,Data_Val!$A$2:$A$3,0)),0,1))</f>
        <v/>
      </c>
      <c r="N458" s="43" t="str">
        <f ca="1">IF(Data!L448="","",IF(ISNUMBER(Data!N448),IF(AND(Data!N448&gt;(TODAY()-(Data_Val!$L$3*365.25)),Data!N448&lt;=(TODAY()-(Data_Val!$L$2*365.25))),0,1),1))</f>
        <v/>
      </c>
      <c r="O458" s="18" t="str">
        <f>IF(Data!$G448="","",IF(Data!$G448=Data_Val!$C$2,IF(Data!O448="",0,1),0))</f>
        <v/>
      </c>
      <c r="P458" s="18" t="str">
        <f>IF(Data!O448="","",IF(ISNUMBER(MATCH(Data!P448,Data_Val!$A$2:$A$3,0)),0,1))</f>
        <v/>
      </c>
      <c r="Q458" s="44" t="str">
        <f ca="1">IF(Data!O448="","",IF(ISNUMBER(Data!Q448),IF(AND(Data!Q448&gt;(TODAY()-(Data_Val!$L$3*365.25)),Data!Q448&lt;=(TODAY()-(Data_Val!$L$2*365.25))),0,1),1))</f>
        <v/>
      </c>
    </row>
    <row r="459" spans="1:17" ht="12" customHeight="1" x14ac:dyDescent="0.25">
      <c r="A459" s="36" t="str">
        <f>IF(Data!B449="","",IF(COUNTIFS(Data!A$1:'Data'!A449,Data!A449)&lt;=1,0,1))</f>
        <v/>
      </c>
      <c r="B459" s="36"/>
      <c r="C459" s="36" t="str">
        <f>IF(Data!C449="","",(IF(ISNUMBER(MATCH("*@*.?*",Data!C449,0)),0,1)+IF(COUNTIFS(Data!C$1:'Data'!C449,Data!C449)&gt;1,1,0)))</f>
        <v/>
      </c>
      <c r="D459" s="36" t="str">
        <f>IF(Data!B449="","",IF(ISNUMBER(Data!D449),IF(AND(Data!D449&gt;999999999,Data!D449&lt;=9999999999),IF(COUNTIFS(Data!D$1:'Data'!D449,Data!D449)&lt;=1,0,1),1),1))</f>
        <v/>
      </c>
      <c r="E459" s="36" t="str">
        <f>IF(Data!B449="","",IF(ISNUMBER(MATCH(Data!E449,Data_Val!$A$2:$A$3,0)),0,1))</f>
        <v/>
      </c>
      <c r="F459" s="36" t="str">
        <f ca="1">IF(Data!B449="","",IF(ISNUMBER(Data!F449),IF(AND(Data!F449&gt;(TODAY()-(Data_Val!$H$3*365.25)),Data!F449&lt;=(TODAY()-(Data_Val!$H$2*365.25))),0,1),1))</f>
        <v/>
      </c>
      <c r="G459" s="12" t="str">
        <f>IF(Data!B449="","",IF(AND(Data!G449="",Data!H449&lt;&gt;""),1,IF(ISNUMBER(MATCH(Data!G449,Data_Val!$C$2:$C$5,0)),0,1)))</f>
        <v/>
      </c>
      <c r="H459" s="12" t="str">
        <f>IF(Data!B449="","",IF(AND(Data!G449&lt;&gt;"",Data!H449=""),1,IF(Data!G449="",1,IF(ISNUMBER(MATCH(Data!H449,Data_Val!$D$2:$D$35,0)),0,1))))</f>
        <v/>
      </c>
      <c r="I459" s="38" t="str">
        <f>IF(Data!G449="","",IF(Data!G449=Data_Val!$C$2,IF(Data!I449="",0,1),0))</f>
        <v/>
      </c>
      <c r="J459" s="38" t="str">
        <f>IF(Data!I449="","",IF(ISNUMBER(MATCH(Data!J449,Data_Val!$A$2:$A$3,0)),0,1))</f>
        <v/>
      </c>
      <c r="K459" s="38" t="str">
        <f ca="1">IF(Data!I449="","",IF(ISNUMBER(Data!K449),IF(AND(Data!K449&gt;(TODAY()-(Data_Val!$K$3*365.25)),Data!K449&lt;=(TODAY()-(Data_Val!$K$2*365.25))),0,1),1))</f>
        <v/>
      </c>
      <c r="L459" s="16" t="str">
        <f>IF(Data!G449="","",IF(Data!G449=Data_Val!$C$2,IF(Data!L449="",0,1),0))</f>
        <v/>
      </c>
      <c r="M459" s="16" t="str">
        <f>IF(Data!L449="","",IF(ISNUMBER(MATCH(Data!M449,Data_Val!$A$2:$A$3,0)),0,1))</f>
        <v/>
      </c>
      <c r="N459" s="43" t="str">
        <f ca="1">IF(Data!L449="","",IF(ISNUMBER(Data!N449),IF(AND(Data!N449&gt;(TODAY()-(Data_Val!$L$3*365.25)),Data!N449&lt;=(TODAY()-(Data_Val!$L$2*365.25))),0,1),1))</f>
        <v/>
      </c>
      <c r="O459" s="18" t="str">
        <f>IF(Data!$G449="","",IF(Data!$G449=Data_Val!$C$2,IF(Data!O449="",0,1),0))</f>
        <v/>
      </c>
      <c r="P459" s="18" t="str">
        <f>IF(Data!O449="","",IF(ISNUMBER(MATCH(Data!P449,Data_Val!$A$2:$A$3,0)),0,1))</f>
        <v/>
      </c>
      <c r="Q459" s="44" t="str">
        <f ca="1">IF(Data!O449="","",IF(ISNUMBER(Data!Q449),IF(AND(Data!Q449&gt;(TODAY()-(Data_Val!$L$3*365.25)),Data!Q449&lt;=(TODAY()-(Data_Val!$L$2*365.25))),0,1),1))</f>
        <v/>
      </c>
    </row>
    <row r="460" spans="1:17" ht="12" customHeight="1" x14ac:dyDescent="0.25">
      <c r="A460" s="36" t="str">
        <f>IF(Data!B450="","",IF(COUNTIFS(Data!A$1:'Data'!A450,Data!A450)&lt;=1,0,1))</f>
        <v/>
      </c>
      <c r="B460" s="36"/>
      <c r="C460" s="36" t="str">
        <f>IF(Data!C450="","",(IF(ISNUMBER(MATCH("*@*.?*",Data!C450,0)),0,1)+IF(COUNTIFS(Data!C$1:'Data'!C450,Data!C450)&gt;1,1,0)))</f>
        <v/>
      </c>
      <c r="D460" s="36" t="str">
        <f>IF(Data!B450="","",IF(ISNUMBER(Data!D450),IF(AND(Data!D450&gt;999999999,Data!D450&lt;=9999999999),IF(COUNTIFS(Data!D$1:'Data'!D450,Data!D450)&lt;=1,0,1),1),1))</f>
        <v/>
      </c>
      <c r="E460" s="36" t="str">
        <f>IF(Data!B450="","",IF(ISNUMBER(MATCH(Data!E450,Data_Val!$A$2:$A$3,0)),0,1))</f>
        <v/>
      </c>
      <c r="F460" s="36" t="str">
        <f ca="1">IF(Data!B450="","",IF(ISNUMBER(Data!F450),IF(AND(Data!F450&gt;(TODAY()-(Data_Val!$H$3*365.25)),Data!F450&lt;=(TODAY()-(Data_Val!$H$2*365.25))),0,1),1))</f>
        <v/>
      </c>
      <c r="G460" s="12" t="str">
        <f>IF(Data!B450="","",IF(AND(Data!G450="",Data!H450&lt;&gt;""),1,IF(ISNUMBER(MATCH(Data!G450,Data_Val!$C$2:$C$5,0)),0,1)))</f>
        <v/>
      </c>
      <c r="H460" s="12" t="str">
        <f>IF(Data!B450="","",IF(AND(Data!G450&lt;&gt;"",Data!H450=""),1,IF(Data!G450="",1,IF(ISNUMBER(MATCH(Data!H450,Data_Val!$D$2:$D$35,0)),0,1))))</f>
        <v/>
      </c>
      <c r="I460" s="38" t="str">
        <f>IF(Data!G450="","",IF(Data!G450=Data_Val!$C$2,IF(Data!I450="",0,1),0))</f>
        <v/>
      </c>
      <c r="J460" s="38" t="str">
        <f>IF(Data!I450="","",IF(ISNUMBER(MATCH(Data!J450,Data_Val!$A$2:$A$3,0)),0,1))</f>
        <v/>
      </c>
      <c r="K460" s="38" t="str">
        <f ca="1">IF(Data!I450="","",IF(ISNUMBER(Data!K450),IF(AND(Data!K450&gt;(TODAY()-(Data_Val!$K$3*365.25)),Data!K450&lt;=(TODAY()-(Data_Val!$K$2*365.25))),0,1),1))</f>
        <v/>
      </c>
      <c r="L460" s="16" t="str">
        <f>IF(Data!G450="","",IF(Data!G450=Data_Val!$C$2,IF(Data!L450="",0,1),0))</f>
        <v/>
      </c>
      <c r="M460" s="16" t="str">
        <f>IF(Data!L450="","",IF(ISNUMBER(MATCH(Data!M450,Data_Val!$A$2:$A$3,0)),0,1))</f>
        <v/>
      </c>
      <c r="N460" s="43" t="str">
        <f ca="1">IF(Data!L450="","",IF(ISNUMBER(Data!N450),IF(AND(Data!N450&gt;(TODAY()-(Data_Val!$L$3*365.25)),Data!N450&lt;=(TODAY()-(Data_Val!$L$2*365.25))),0,1),1))</f>
        <v/>
      </c>
      <c r="O460" s="18" t="str">
        <f>IF(Data!$G450="","",IF(Data!$G450=Data_Val!$C$2,IF(Data!O450="",0,1),0))</f>
        <v/>
      </c>
      <c r="P460" s="18" t="str">
        <f>IF(Data!O450="","",IF(ISNUMBER(MATCH(Data!P450,Data_Val!$A$2:$A$3,0)),0,1))</f>
        <v/>
      </c>
      <c r="Q460" s="44" t="str">
        <f ca="1">IF(Data!O450="","",IF(ISNUMBER(Data!Q450),IF(AND(Data!Q450&gt;(TODAY()-(Data_Val!$L$3*365.25)),Data!Q450&lt;=(TODAY()-(Data_Val!$L$2*365.25))),0,1),1))</f>
        <v/>
      </c>
    </row>
    <row r="461" spans="1:17" ht="12" customHeight="1" x14ac:dyDescent="0.25">
      <c r="A461" s="36" t="str">
        <f>IF(Data!B451="","",IF(COUNTIFS(Data!A$1:'Data'!A451,Data!A451)&lt;=1,0,1))</f>
        <v/>
      </c>
      <c r="B461" s="36"/>
      <c r="C461" s="36" t="str">
        <f>IF(Data!C451="","",(IF(ISNUMBER(MATCH("*@*.?*",Data!C451,0)),0,1)+IF(COUNTIFS(Data!C$1:'Data'!C451,Data!C451)&gt;1,1,0)))</f>
        <v/>
      </c>
      <c r="D461" s="36" t="str">
        <f>IF(Data!B451="","",IF(ISNUMBER(Data!D451),IF(AND(Data!D451&gt;999999999,Data!D451&lt;=9999999999),IF(COUNTIFS(Data!D$1:'Data'!D451,Data!D451)&lt;=1,0,1),1),1))</f>
        <v/>
      </c>
      <c r="E461" s="36" t="str">
        <f>IF(Data!B451="","",IF(ISNUMBER(MATCH(Data!E451,Data_Val!$A$2:$A$3,0)),0,1))</f>
        <v/>
      </c>
      <c r="F461" s="36" t="str">
        <f ca="1">IF(Data!B451="","",IF(ISNUMBER(Data!F451),IF(AND(Data!F451&gt;(TODAY()-(Data_Val!$H$3*365.25)),Data!F451&lt;=(TODAY()-(Data_Val!$H$2*365.25))),0,1),1))</f>
        <v/>
      </c>
      <c r="G461" s="12" t="str">
        <f>IF(Data!B451="","",IF(AND(Data!G451="",Data!H451&lt;&gt;""),1,IF(ISNUMBER(MATCH(Data!G451,Data_Val!$C$2:$C$5,0)),0,1)))</f>
        <v/>
      </c>
      <c r="H461" s="12" t="str">
        <f>IF(Data!B451="","",IF(AND(Data!G451&lt;&gt;"",Data!H451=""),1,IF(Data!G451="",1,IF(ISNUMBER(MATCH(Data!H451,Data_Val!$D$2:$D$35,0)),0,1))))</f>
        <v/>
      </c>
      <c r="I461" s="38" t="str">
        <f>IF(Data!G451="","",IF(Data!G451=Data_Val!$C$2,IF(Data!I451="",0,1),0))</f>
        <v/>
      </c>
      <c r="J461" s="38" t="str">
        <f>IF(Data!I451="","",IF(ISNUMBER(MATCH(Data!J451,Data_Val!$A$2:$A$3,0)),0,1))</f>
        <v/>
      </c>
      <c r="K461" s="38" t="str">
        <f ca="1">IF(Data!I451="","",IF(ISNUMBER(Data!K451),IF(AND(Data!K451&gt;(TODAY()-(Data_Val!$K$3*365.25)),Data!K451&lt;=(TODAY()-(Data_Val!$K$2*365.25))),0,1),1))</f>
        <v/>
      </c>
      <c r="L461" s="16" t="str">
        <f>IF(Data!G451="","",IF(Data!G451=Data_Val!$C$2,IF(Data!L451="",0,1),0))</f>
        <v/>
      </c>
      <c r="M461" s="16" t="str">
        <f>IF(Data!L451="","",IF(ISNUMBER(MATCH(Data!M451,Data_Val!$A$2:$A$3,0)),0,1))</f>
        <v/>
      </c>
      <c r="N461" s="43" t="str">
        <f ca="1">IF(Data!L451="","",IF(ISNUMBER(Data!N451),IF(AND(Data!N451&gt;(TODAY()-(Data_Val!$L$3*365.25)),Data!N451&lt;=(TODAY()-(Data_Val!$L$2*365.25))),0,1),1))</f>
        <v/>
      </c>
      <c r="O461" s="18" t="str">
        <f>IF(Data!$G451="","",IF(Data!$G451=Data_Val!$C$2,IF(Data!O451="",0,1),0))</f>
        <v/>
      </c>
      <c r="P461" s="18" t="str">
        <f>IF(Data!O451="","",IF(ISNUMBER(MATCH(Data!P451,Data_Val!$A$2:$A$3,0)),0,1))</f>
        <v/>
      </c>
      <c r="Q461" s="44" t="str">
        <f ca="1">IF(Data!O451="","",IF(ISNUMBER(Data!Q451),IF(AND(Data!Q451&gt;(TODAY()-(Data_Val!$L$3*365.25)),Data!Q451&lt;=(TODAY()-(Data_Val!$L$2*365.25))),0,1),1))</f>
        <v/>
      </c>
    </row>
    <row r="462" spans="1:17" ht="12" customHeight="1" x14ac:dyDescent="0.25">
      <c r="A462" s="36" t="str">
        <f>IF(Data!B452="","",IF(COUNTIFS(Data!A$1:'Data'!A452,Data!A452)&lt;=1,0,1))</f>
        <v/>
      </c>
      <c r="B462" s="36"/>
      <c r="C462" s="36" t="str">
        <f>IF(Data!C452="","",(IF(ISNUMBER(MATCH("*@*.?*",Data!C452,0)),0,1)+IF(COUNTIFS(Data!C$1:'Data'!C452,Data!C452)&gt;1,1,0)))</f>
        <v/>
      </c>
      <c r="D462" s="36" t="str">
        <f>IF(Data!B452="","",IF(ISNUMBER(Data!D452),IF(AND(Data!D452&gt;999999999,Data!D452&lt;=9999999999),IF(COUNTIFS(Data!D$1:'Data'!D452,Data!D452)&lt;=1,0,1),1),1))</f>
        <v/>
      </c>
      <c r="E462" s="36" t="str">
        <f>IF(Data!B452="","",IF(ISNUMBER(MATCH(Data!E452,Data_Val!$A$2:$A$3,0)),0,1))</f>
        <v/>
      </c>
      <c r="F462" s="36" t="str">
        <f ca="1">IF(Data!B452="","",IF(ISNUMBER(Data!F452),IF(AND(Data!F452&gt;(TODAY()-(Data_Val!$H$3*365.25)),Data!F452&lt;=(TODAY()-(Data_Val!$H$2*365.25))),0,1),1))</f>
        <v/>
      </c>
      <c r="G462" s="12" t="str">
        <f>IF(Data!B452="","",IF(AND(Data!G452="",Data!H452&lt;&gt;""),1,IF(ISNUMBER(MATCH(Data!G452,Data_Val!$C$2:$C$5,0)),0,1)))</f>
        <v/>
      </c>
      <c r="H462" s="12" t="str">
        <f>IF(Data!B452="","",IF(AND(Data!G452&lt;&gt;"",Data!H452=""),1,IF(Data!G452="",1,IF(ISNUMBER(MATCH(Data!H452,Data_Val!$D$2:$D$35,0)),0,1))))</f>
        <v/>
      </c>
      <c r="I462" s="38" t="str">
        <f>IF(Data!G452="","",IF(Data!G452=Data_Val!$C$2,IF(Data!I452="",0,1),0))</f>
        <v/>
      </c>
      <c r="J462" s="38" t="str">
        <f>IF(Data!I452="","",IF(ISNUMBER(MATCH(Data!J452,Data_Val!$A$2:$A$3,0)),0,1))</f>
        <v/>
      </c>
      <c r="K462" s="38" t="str">
        <f ca="1">IF(Data!I452="","",IF(ISNUMBER(Data!K452),IF(AND(Data!K452&gt;(TODAY()-(Data_Val!$K$3*365.25)),Data!K452&lt;=(TODAY()-(Data_Val!$K$2*365.25))),0,1),1))</f>
        <v/>
      </c>
      <c r="L462" s="16" t="str">
        <f>IF(Data!G452="","",IF(Data!G452=Data_Val!$C$2,IF(Data!L452="",0,1),0))</f>
        <v/>
      </c>
      <c r="M462" s="16" t="str">
        <f>IF(Data!L452="","",IF(ISNUMBER(MATCH(Data!M452,Data_Val!$A$2:$A$3,0)),0,1))</f>
        <v/>
      </c>
      <c r="N462" s="43" t="str">
        <f ca="1">IF(Data!L452="","",IF(ISNUMBER(Data!N452),IF(AND(Data!N452&gt;(TODAY()-(Data_Val!$L$3*365.25)),Data!N452&lt;=(TODAY()-(Data_Val!$L$2*365.25))),0,1),1))</f>
        <v/>
      </c>
      <c r="O462" s="18" t="str">
        <f>IF(Data!$G452="","",IF(Data!$G452=Data_Val!$C$2,IF(Data!O452="",0,1),0))</f>
        <v/>
      </c>
      <c r="P462" s="18" t="str">
        <f>IF(Data!O452="","",IF(ISNUMBER(MATCH(Data!P452,Data_Val!$A$2:$A$3,0)),0,1))</f>
        <v/>
      </c>
      <c r="Q462" s="44" t="str">
        <f ca="1">IF(Data!O452="","",IF(ISNUMBER(Data!Q452),IF(AND(Data!Q452&gt;(TODAY()-(Data_Val!$L$3*365.25)),Data!Q452&lt;=(TODAY()-(Data_Val!$L$2*365.25))),0,1),1))</f>
        <v/>
      </c>
    </row>
    <row r="463" spans="1:17" ht="12" customHeight="1" x14ac:dyDescent="0.25">
      <c r="A463" s="36" t="str">
        <f>IF(Data!B453="","",IF(COUNTIFS(Data!A$1:'Data'!A453,Data!A453)&lt;=1,0,1))</f>
        <v/>
      </c>
      <c r="B463" s="36"/>
      <c r="C463" s="36" t="str">
        <f>IF(Data!C453="","",(IF(ISNUMBER(MATCH("*@*.?*",Data!C453,0)),0,1)+IF(COUNTIFS(Data!C$1:'Data'!C453,Data!C453)&gt;1,1,0)))</f>
        <v/>
      </c>
      <c r="D463" s="36" t="str">
        <f>IF(Data!B453="","",IF(ISNUMBER(Data!D453),IF(AND(Data!D453&gt;999999999,Data!D453&lt;=9999999999),IF(COUNTIFS(Data!D$1:'Data'!D453,Data!D453)&lt;=1,0,1),1),1))</f>
        <v/>
      </c>
      <c r="E463" s="36" t="str">
        <f>IF(Data!B453="","",IF(ISNUMBER(MATCH(Data!E453,Data_Val!$A$2:$A$3,0)),0,1))</f>
        <v/>
      </c>
      <c r="F463" s="36" t="str">
        <f ca="1">IF(Data!B453="","",IF(ISNUMBER(Data!F453),IF(AND(Data!F453&gt;(TODAY()-(Data_Val!$H$3*365.25)),Data!F453&lt;=(TODAY()-(Data_Val!$H$2*365.25))),0,1),1))</f>
        <v/>
      </c>
      <c r="G463" s="12" t="str">
        <f>IF(Data!B453="","",IF(AND(Data!G453="",Data!H453&lt;&gt;""),1,IF(ISNUMBER(MATCH(Data!G453,Data_Val!$C$2:$C$5,0)),0,1)))</f>
        <v/>
      </c>
      <c r="H463" s="12" t="str">
        <f>IF(Data!B453="","",IF(AND(Data!G453&lt;&gt;"",Data!H453=""),1,IF(Data!G453="",1,IF(ISNUMBER(MATCH(Data!H453,Data_Val!$D$2:$D$35,0)),0,1))))</f>
        <v/>
      </c>
      <c r="I463" s="38" t="str">
        <f>IF(Data!G453="","",IF(Data!G453=Data_Val!$C$2,IF(Data!I453="",0,1),0))</f>
        <v/>
      </c>
      <c r="J463" s="38" t="str">
        <f>IF(Data!I453="","",IF(ISNUMBER(MATCH(Data!J453,Data_Val!$A$2:$A$3,0)),0,1))</f>
        <v/>
      </c>
      <c r="K463" s="38" t="str">
        <f ca="1">IF(Data!I453="","",IF(ISNUMBER(Data!K453),IF(AND(Data!K453&gt;(TODAY()-(Data_Val!$K$3*365.25)),Data!K453&lt;=(TODAY()-(Data_Val!$K$2*365.25))),0,1),1))</f>
        <v/>
      </c>
      <c r="L463" s="16" t="str">
        <f>IF(Data!G453="","",IF(Data!G453=Data_Val!$C$2,IF(Data!L453="",0,1),0))</f>
        <v/>
      </c>
      <c r="M463" s="16" t="str">
        <f>IF(Data!L453="","",IF(ISNUMBER(MATCH(Data!M453,Data_Val!$A$2:$A$3,0)),0,1))</f>
        <v/>
      </c>
      <c r="N463" s="43" t="str">
        <f ca="1">IF(Data!L453="","",IF(ISNUMBER(Data!N453),IF(AND(Data!N453&gt;(TODAY()-(Data_Val!$L$3*365.25)),Data!N453&lt;=(TODAY()-(Data_Val!$L$2*365.25))),0,1),1))</f>
        <v/>
      </c>
      <c r="O463" s="18" t="str">
        <f>IF(Data!$G453="","",IF(Data!$G453=Data_Val!$C$2,IF(Data!O453="",0,1),0))</f>
        <v/>
      </c>
      <c r="P463" s="18" t="str">
        <f>IF(Data!O453="","",IF(ISNUMBER(MATCH(Data!P453,Data_Val!$A$2:$A$3,0)),0,1))</f>
        <v/>
      </c>
      <c r="Q463" s="44" t="str">
        <f ca="1">IF(Data!O453="","",IF(ISNUMBER(Data!Q453),IF(AND(Data!Q453&gt;(TODAY()-(Data_Val!$L$3*365.25)),Data!Q453&lt;=(TODAY()-(Data_Val!$L$2*365.25))),0,1),1))</f>
        <v/>
      </c>
    </row>
    <row r="464" spans="1:17" ht="12" customHeight="1" x14ac:dyDescent="0.25">
      <c r="A464" s="36" t="str">
        <f>IF(Data!B454="","",IF(COUNTIFS(Data!A$1:'Data'!A454,Data!A454)&lt;=1,0,1))</f>
        <v/>
      </c>
      <c r="B464" s="36"/>
      <c r="C464" s="36" t="str">
        <f>IF(Data!C454="","",(IF(ISNUMBER(MATCH("*@*.?*",Data!C454,0)),0,1)+IF(COUNTIFS(Data!C$1:'Data'!C454,Data!C454)&gt;1,1,0)))</f>
        <v/>
      </c>
      <c r="D464" s="36" t="str">
        <f>IF(Data!B454="","",IF(ISNUMBER(Data!D454),IF(AND(Data!D454&gt;999999999,Data!D454&lt;=9999999999),IF(COUNTIFS(Data!D$1:'Data'!D454,Data!D454)&lt;=1,0,1),1),1))</f>
        <v/>
      </c>
      <c r="E464" s="36" t="str">
        <f>IF(Data!B454="","",IF(ISNUMBER(MATCH(Data!E454,Data_Val!$A$2:$A$3,0)),0,1))</f>
        <v/>
      </c>
      <c r="F464" s="36" t="str">
        <f ca="1">IF(Data!B454="","",IF(ISNUMBER(Data!F454),IF(AND(Data!F454&gt;(TODAY()-(Data_Val!$H$3*365.25)),Data!F454&lt;=(TODAY()-(Data_Val!$H$2*365.25))),0,1),1))</f>
        <v/>
      </c>
      <c r="G464" s="12" t="str">
        <f>IF(Data!B454="","",IF(AND(Data!G454="",Data!H454&lt;&gt;""),1,IF(ISNUMBER(MATCH(Data!G454,Data_Val!$C$2:$C$5,0)),0,1)))</f>
        <v/>
      </c>
      <c r="H464" s="12" t="str">
        <f>IF(Data!B454="","",IF(AND(Data!G454&lt;&gt;"",Data!H454=""),1,IF(Data!G454="",1,IF(ISNUMBER(MATCH(Data!H454,Data_Val!$D$2:$D$35,0)),0,1))))</f>
        <v/>
      </c>
      <c r="I464" s="38" t="str">
        <f>IF(Data!G454="","",IF(Data!G454=Data_Val!$C$2,IF(Data!I454="",0,1),0))</f>
        <v/>
      </c>
      <c r="J464" s="38" t="str">
        <f>IF(Data!I454="","",IF(ISNUMBER(MATCH(Data!J454,Data_Val!$A$2:$A$3,0)),0,1))</f>
        <v/>
      </c>
      <c r="K464" s="38" t="str">
        <f ca="1">IF(Data!I454="","",IF(ISNUMBER(Data!K454),IF(AND(Data!K454&gt;(TODAY()-(Data_Val!$K$3*365.25)),Data!K454&lt;=(TODAY()-(Data_Val!$K$2*365.25))),0,1),1))</f>
        <v/>
      </c>
      <c r="L464" s="16" t="str">
        <f>IF(Data!G454="","",IF(Data!G454=Data_Val!$C$2,IF(Data!L454="",0,1),0))</f>
        <v/>
      </c>
      <c r="M464" s="16" t="str">
        <f>IF(Data!L454="","",IF(ISNUMBER(MATCH(Data!M454,Data_Val!$A$2:$A$3,0)),0,1))</f>
        <v/>
      </c>
      <c r="N464" s="43" t="str">
        <f ca="1">IF(Data!L454="","",IF(ISNUMBER(Data!N454),IF(AND(Data!N454&gt;(TODAY()-(Data_Val!$L$3*365.25)),Data!N454&lt;=(TODAY()-(Data_Val!$L$2*365.25))),0,1),1))</f>
        <v/>
      </c>
      <c r="O464" s="18" t="str">
        <f>IF(Data!$G454="","",IF(Data!$G454=Data_Val!$C$2,IF(Data!O454="",0,1),0))</f>
        <v/>
      </c>
      <c r="P464" s="18" t="str">
        <f>IF(Data!O454="","",IF(ISNUMBER(MATCH(Data!P454,Data_Val!$A$2:$A$3,0)),0,1))</f>
        <v/>
      </c>
      <c r="Q464" s="44" t="str">
        <f ca="1">IF(Data!O454="","",IF(ISNUMBER(Data!Q454),IF(AND(Data!Q454&gt;(TODAY()-(Data_Val!$L$3*365.25)),Data!Q454&lt;=(TODAY()-(Data_Val!$L$2*365.25))),0,1),1))</f>
        <v/>
      </c>
    </row>
    <row r="465" spans="1:17" ht="12" customHeight="1" x14ac:dyDescent="0.25">
      <c r="A465" s="36" t="str">
        <f>IF(Data!B455="","",IF(COUNTIFS(Data!A$1:'Data'!A455,Data!A455)&lt;=1,0,1))</f>
        <v/>
      </c>
      <c r="B465" s="36"/>
      <c r="C465" s="36" t="str">
        <f>IF(Data!C455="","",(IF(ISNUMBER(MATCH("*@*.?*",Data!C455,0)),0,1)+IF(COUNTIFS(Data!C$1:'Data'!C455,Data!C455)&gt;1,1,0)))</f>
        <v/>
      </c>
      <c r="D465" s="36" t="str">
        <f>IF(Data!B455="","",IF(ISNUMBER(Data!D455),IF(AND(Data!D455&gt;999999999,Data!D455&lt;=9999999999),IF(COUNTIFS(Data!D$1:'Data'!D455,Data!D455)&lt;=1,0,1),1),1))</f>
        <v/>
      </c>
      <c r="E465" s="36" t="str">
        <f>IF(Data!B455="","",IF(ISNUMBER(MATCH(Data!E455,Data_Val!$A$2:$A$3,0)),0,1))</f>
        <v/>
      </c>
      <c r="F465" s="36" t="str">
        <f ca="1">IF(Data!B455="","",IF(ISNUMBER(Data!F455),IF(AND(Data!F455&gt;(TODAY()-(Data_Val!$H$3*365.25)),Data!F455&lt;=(TODAY()-(Data_Val!$H$2*365.25))),0,1),1))</f>
        <v/>
      </c>
      <c r="G465" s="12" t="str">
        <f>IF(Data!B455="","",IF(AND(Data!G455="",Data!H455&lt;&gt;""),1,IF(ISNUMBER(MATCH(Data!G455,Data_Val!$C$2:$C$5,0)),0,1)))</f>
        <v/>
      </c>
      <c r="H465" s="12" t="str">
        <f>IF(Data!B455="","",IF(AND(Data!G455&lt;&gt;"",Data!H455=""),1,IF(Data!G455="",1,IF(ISNUMBER(MATCH(Data!H455,Data_Val!$D$2:$D$35,0)),0,1))))</f>
        <v/>
      </c>
      <c r="I465" s="38" t="str">
        <f>IF(Data!G455="","",IF(Data!G455=Data_Val!$C$2,IF(Data!I455="",0,1),0))</f>
        <v/>
      </c>
      <c r="J465" s="38" t="str">
        <f>IF(Data!I455="","",IF(ISNUMBER(MATCH(Data!J455,Data_Val!$A$2:$A$3,0)),0,1))</f>
        <v/>
      </c>
      <c r="K465" s="38" t="str">
        <f ca="1">IF(Data!I455="","",IF(ISNUMBER(Data!K455),IF(AND(Data!K455&gt;(TODAY()-(Data_Val!$K$3*365.25)),Data!K455&lt;=(TODAY()-(Data_Val!$K$2*365.25))),0,1),1))</f>
        <v/>
      </c>
      <c r="L465" s="16" t="str">
        <f>IF(Data!G455="","",IF(Data!G455=Data_Val!$C$2,IF(Data!L455="",0,1),0))</f>
        <v/>
      </c>
      <c r="M465" s="16" t="str">
        <f>IF(Data!L455="","",IF(ISNUMBER(MATCH(Data!M455,Data_Val!$A$2:$A$3,0)),0,1))</f>
        <v/>
      </c>
      <c r="N465" s="43" t="str">
        <f ca="1">IF(Data!L455="","",IF(ISNUMBER(Data!N455),IF(AND(Data!N455&gt;(TODAY()-(Data_Val!$L$3*365.25)),Data!N455&lt;=(TODAY()-(Data_Val!$L$2*365.25))),0,1),1))</f>
        <v/>
      </c>
      <c r="O465" s="18" t="str">
        <f>IF(Data!$G455="","",IF(Data!$G455=Data_Val!$C$2,IF(Data!O455="",0,1),0))</f>
        <v/>
      </c>
      <c r="P465" s="18" t="str">
        <f>IF(Data!O455="","",IF(ISNUMBER(MATCH(Data!P455,Data_Val!$A$2:$A$3,0)),0,1))</f>
        <v/>
      </c>
      <c r="Q465" s="44" t="str">
        <f ca="1">IF(Data!O455="","",IF(ISNUMBER(Data!Q455),IF(AND(Data!Q455&gt;(TODAY()-(Data_Val!$L$3*365.25)),Data!Q455&lt;=(TODAY()-(Data_Val!$L$2*365.25))),0,1),1))</f>
        <v/>
      </c>
    </row>
    <row r="466" spans="1:17" ht="12" customHeight="1" x14ac:dyDescent="0.25">
      <c r="A466" s="36" t="str">
        <f>IF(Data!B456="","",IF(COUNTIFS(Data!A$1:'Data'!A456,Data!A456)&lt;=1,0,1))</f>
        <v/>
      </c>
      <c r="B466" s="36"/>
      <c r="C466" s="36" t="str">
        <f>IF(Data!C456="","",(IF(ISNUMBER(MATCH("*@*.?*",Data!C456,0)),0,1)+IF(COUNTIFS(Data!C$1:'Data'!C456,Data!C456)&gt;1,1,0)))</f>
        <v/>
      </c>
      <c r="D466" s="36" t="str">
        <f>IF(Data!B456="","",IF(ISNUMBER(Data!D456),IF(AND(Data!D456&gt;999999999,Data!D456&lt;=9999999999),IF(COUNTIFS(Data!D$1:'Data'!D456,Data!D456)&lt;=1,0,1),1),1))</f>
        <v/>
      </c>
      <c r="E466" s="36" t="str">
        <f>IF(Data!B456="","",IF(ISNUMBER(MATCH(Data!E456,Data_Val!$A$2:$A$3,0)),0,1))</f>
        <v/>
      </c>
      <c r="F466" s="36" t="str">
        <f ca="1">IF(Data!B456="","",IF(ISNUMBER(Data!F456),IF(AND(Data!F456&gt;(TODAY()-(Data_Val!$H$3*365.25)),Data!F456&lt;=(TODAY()-(Data_Val!$H$2*365.25))),0,1),1))</f>
        <v/>
      </c>
      <c r="G466" s="12" t="str">
        <f>IF(Data!B456="","",IF(AND(Data!G456="",Data!H456&lt;&gt;""),1,IF(ISNUMBER(MATCH(Data!G456,Data_Val!$C$2:$C$5,0)),0,1)))</f>
        <v/>
      </c>
      <c r="H466" s="12" t="str">
        <f>IF(Data!B456="","",IF(AND(Data!G456&lt;&gt;"",Data!H456=""),1,IF(Data!G456="",1,IF(ISNUMBER(MATCH(Data!H456,Data_Val!$D$2:$D$35,0)),0,1))))</f>
        <v/>
      </c>
      <c r="I466" s="38" t="str">
        <f>IF(Data!G456="","",IF(Data!G456=Data_Val!$C$2,IF(Data!I456="",0,1),0))</f>
        <v/>
      </c>
      <c r="J466" s="38" t="str">
        <f>IF(Data!I456="","",IF(ISNUMBER(MATCH(Data!J456,Data_Val!$A$2:$A$3,0)),0,1))</f>
        <v/>
      </c>
      <c r="K466" s="38" t="str">
        <f ca="1">IF(Data!I456="","",IF(ISNUMBER(Data!K456),IF(AND(Data!K456&gt;(TODAY()-(Data_Val!$K$3*365.25)),Data!K456&lt;=(TODAY()-(Data_Val!$K$2*365.25))),0,1),1))</f>
        <v/>
      </c>
      <c r="L466" s="16" t="str">
        <f>IF(Data!G456="","",IF(Data!G456=Data_Val!$C$2,IF(Data!L456="",0,1),0))</f>
        <v/>
      </c>
      <c r="M466" s="16" t="str">
        <f>IF(Data!L456="","",IF(ISNUMBER(MATCH(Data!M456,Data_Val!$A$2:$A$3,0)),0,1))</f>
        <v/>
      </c>
      <c r="N466" s="43" t="str">
        <f ca="1">IF(Data!L456="","",IF(ISNUMBER(Data!N456),IF(AND(Data!N456&gt;(TODAY()-(Data_Val!$L$3*365.25)),Data!N456&lt;=(TODAY()-(Data_Val!$L$2*365.25))),0,1),1))</f>
        <v/>
      </c>
      <c r="O466" s="18" t="str">
        <f>IF(Data!$G456="","",IF(Data!$G456=Data_Val!$C$2,IF(Data!O456="",0,1),0))</f>
        <v/>
      </c>
      <c r="P466" s="18" t="str">
        <f>IF(Data!O456="","",IF(ISNUMBER(MATCH(Data!P456,Data_Val!$A$2:$A$3,0)),0,1))</f>
        <v/>
      </c>
      <c r="Q466" s="44" t="str">
        <f ca="1">IF(Data!O456="","",IF(ISNUMBER(Data!Q456),IF(AND(Data!Q456&gt;(TODAY()-(Data_Val!$L$3*365.25)),Data!Q456&lt;=(TODAY()-(Data_Val!$L$2*365.25))),0,1),1))</f>
        <v/>
      </c>
    </row>
    <row r="467" spans="1:17" ht="12" customHeight="1" x14ac:dyDescent="0.25">
      <c r="A467" s="36" t="str">
        <f>IF(Data!B457="","",IF(COUNTIFS(Data!A$1:'Data'!A457,Data!A457)&lt;=1,0,1))</f>
        <v/>
      </c>
      <c r="B467" s="36"/>
      <c r="C467" s="36" t="str">
        <f>IF(Data!C457="","",(IF(ISNUMBER(MATCH("*@*.?*",Data!C457,0)),0,1)+IF(COUNTIFS(Data!C$1:'Data'!C457,Data!C457)&gt;1,1,0)))</f>
        <v/>
      </c>
      <c r="D467" s="36" t="str">
        <f>IF(Data!B457="","",IF(ISNUMBER(Data!D457),IF(AND(Data!D457&gt;999999999,Data!D457&lt;=9999999999),IF(COUNTIFS(Data!D$1:'Data'!D457,Data!D457)&lt;=1,0,1),1),1))</f>
        <v/>
      </c>
      <c r="E467" s="36" t="str">
        <f>IF(Data!B457="","",IF(ISNUMBER(MATCH(Data!E457,Data_Val!$A$2:$A$3,0)),0,1))</f>
        <v/>
      </c>
      <c r="F467" s="36" t="str">
        <f ca="1">IF(Data!B457="","",IF(ISNUMBER(Data!F457),IF(AND(Data!F457&gt;(TODAY()-(Data_Val!$H$3*365.25)),Data!F457&lt;=(TODAY()-(Data_Val!$H$2*365.25))),0,1),1))</f>
        <v/>
      </c>
      <c r="G467" s="12" t="str">
        <f>IF(Data!B457="","",IF(AND(Data!G457="",Data!H457&lt;&gt;""),1,IF(ISNUMBER(MATCH(Data!G457,Data_Val!$C$2:$C$5,0)),0,1)))</f>
        <v/>
      </c>
      <c r="H467" s="12" t="str">
        <f>IF(Data!B457="","",IF(AND(Data!G457&lt;&gt;"",Data!H457=""),1,IF(Data!G457="",1,IF(ISNUMBER(MATCH(Data!H457,Data_Val!$D$2:$D$35,0)),0,1))))</f>
        <v/>
      </c>
      <c r="I467" s="38" t="str">
        <f>IF(Data!G457="","",IF(Data!G457=Data_Val!$C$2,IF(Data!I457="",0,1),0))</f>
        <v/>
      </c>
      <c r="J467" s="38" t="str">
        <f>IF(Data!I457="","",IF(ISNUMBER(MATCH(Data!J457,Data_Val!$A$2:$A$3,0)),0,1))</f>
        <v/>
      </c>
      <c r="K467" s="38" t="str">
        <f ca="1">IF(Data!I457="","",IF(ISNUMBER(Data!K457),IF(AND(Data!K457&gt;(TODAY()-(Data_Val!$K$3*365.25)),Data!K457&lt;=(TODAY()-(Data_Val!$K$2*365.25))),0,1),1))</f>
        <v/>
      </c>
      <c r="L467" s="16" t="str">
        <f>IF(Data!G457="","",IF(Data!G457=Data_Val!$C$2,IF(Data!L457="",0,1),0))</f>
        <v/>
      </c>
      <c r="M467" s="16" t="str">
        <f>IF(Data!L457="","",IF(ISNUMBER(MATCH(Data!M457,Data_Val!$A$2:$A$3,0)),0,1))</f>
        <v/>
      </c>
      <c r="N467" s="43" t="str">
        <f ca="1">IF(Data!L457="","",IF(ISNUMBER(Data!N457),IF(AND(Data!N457&gt;(TODAY()-(Data_Val!$L$3*365.25)),Data!N457&lt;=(TODAY()-(Data_Val!$L$2*365.25))),0,1),1))</f>
        <v/>
      </c>
      <c r="O467" s="18" t="str">
        <f>IF(Data!$G457="","",IF(Data!$G457=Data_Val!$C$2,IF(Data!O457="",0,1),0))</f>
        <v/>
      </c>
      <c r="P467" s="18" t="str">
        <f>IF(Data!O457="","",IF(ISNUMBER(MATCH(Data!P457,Data_Val!$A$2:$A$3,0)),0,1))</f>
        <v/>
      </c>
      <c r="Q467" s="44" t="str">
        <f ca="1">IF(Data!O457="","",IF(ISNUMBER(Data!Q457),IF(AND(Data!Q457&gt;(TODAY()-(Data_Val!$L$3*365.25)),Data!Q457&lt;=(TODAY()-(Data_Val!$L$2*365.25))),0,1),1))</f>
        <v/>
      </c>
    </row>
    <row r="468" spans="1:17" ht="12" customHeight="1" x14ac:dyDescent="0.25">
      <c r="A468" s="36" t="str">
        <f>IF(Data!B458="","",IF(COUNTIFS(Data!A$1:'Data'!A458,Data!A458)&lt;=1,0,1))</f>
        <v/>
      </c>
      <c r="B468" s="36"/>
      <c r="C468" s="36" t="str">
        <f>IF(Data!C458="","",(IF(ISNUMBER(MATCH("*@*.?*",Data!C458,0)),0,1)+IF(COUNTIFS(Data!C$1:'Data'!C458,Data!C458)&gt;1,1,0)))</f>
        <v/>
      </c>
      <c r="D468" s="36" t="str">
        <f>IF(Data!B458="","",IF(ISNUMBER(Data!D458),IF(AND(Data!D458&gt;999999999,Data!D458&lt;=9999999999),IF(COUNTIFS(Data!D$1:'Data'!D458,Data!D458)&lt;=1,0,1),1),1))</f>
        <v/>
      </c>
      <c r="E468" s="36" t="str">
        <f>IF(Data!B458="","",IF(ISNUMBER(MATCH(Data!E458,Data_Val!$A$2:$A$3,0)),0,1))</f>
        <v/>
      </c>
      <c r="F468" s="36" t="str">
        <f ca="1">IF(Data!B458="","",IF(ISNUMBER(Data!F458),IF(AND(Data!F458&gt;(TODAY()-(Data_Val!$H$3*365.25)),Data!F458&lt;=(TODAY()-(Data_Val!$H$2*365.25))),0,1),1))</f>
        <v/>
      </c>
      <c r="G468" s="12" t="str">
        <f>IF(Data!B458="","",IF(AND(Data!G458="",Data!H458&lt;&gt;""),1,IF(ISNUMBER(MATCH(Data!G458,Data_Val!$C$2:$C$5,0)),0,1)))</f>
        <v/>
      </c>
      <c r="H468" s="12" t="str">
        <f>IF(Data!B458="","",IF(AND(Data!G458&lt;&gt;"",Data!H458=""),1,IF(Data!G458="",1,IF(ISNUMBER(MATCH(Data!H458,Data_Val!$D$2:$D$35,0)),0,1))))</f>
        <v/>
      </c>
      <c r="I468" s="38" t="str">
        <f>IF(Data!G458="","",IF(Data!G458=Data_Val!$C$2,IF(Data!I458="",0,1),0))</f>
        <v/>
      </c>
      <c r="J468" s="38" t="str">
        <f>IF(Data!I458="","",IF(ISNUMBER(MATCH(Data!J458,Data_Val!$A$2:$A$3,0)),0,1))</f>
        <v/>
      </c>
      <c r="K468" s="38" t="str">
        <f ca="1">IF(Data!I458="","",IF(ISNUMBER(Data!K458),IF(AND(Data!K458&gt;(TODAY()-(Data_Val!$K$3*365.25)),Data!K458&lt;=(TODAY()-(Data_Val!$K$2*365.25))),0,1),1))</f>
        <v/>
      </c>
      <c r="L468" s="16" t="str">
        <f>IF(Data!G458="","",IF(Data!G458=Data_Val!$C$2,IF(Data!L458="",0,1),0))</f>
        <v/>
      </c>
      <c r="M468" s="16" t="str">
        <f>IF(Data!L458="","",IF(ISNUMBER(MATCH(Data!M458,Data_Val!$A$2:$A$3,0)),0,1))</f>
        <v/>
      </c>
      <c r="N468" s="43" t="str">
        <f ca="1">IF(Data!L458="","",IF(ISNUMBER(Data!N458),IF(AND(Data!N458&gt;(TODAY()-(Data_Val!$L$3*365.25)),Data!N458&lt;=(TODAY()-(Data_Val!$L$2*365.25))),0,1),1))</f>
        <v/>
      </c>
      <c r="O468" s="18" t="str">
        <f>IF(Data!$G458="","",IF(Data!$G458=Data_Val!$C$2,IF(Data!O458="",0,1),0))</f>
        <v/>
      </c>
      <c r="P468" s="18" t="str">
        <f>IF(Data!O458="","",IF(ISNUMBER(MATCH(Data!P458,Data_Val!$A$2:$A$3,0)),0,1))</f>
        <v/>
      </c>
      <c r="Q468" s="44" t="str">
        <f ca="1">IF(Data!O458="","",IF(ISNUMBER(Data!Q458),IF(AND(Data!Q458&gt;(TODAY()-(Data_Val!$L$3*365.25)),Data!Q458&lt;=(TODAY()-(Data_Val!$L$2*365.25))),0,1),1))</f>
        <v/>
      </c>
    </row>
    <row r="469" spans="1:17" ht="12" customHeight="1" x14ac:dyDescent="0.25">
      <c r="A469" s="36" t="str">
        <f>IF(Data!B459="","",IF(COUNTIFS(Data!A$1:'Data'!A459,Data!A459)&lt;=1,0,1))</f>
        <v/>
      </c>
      <c r="B469" s="36"/>
      <c r="C469" s="36" t="str">
        <f>IF(Data!C459="","",(IF(ISNUMBER(MATCH("*@*.?*",Data!C459,0)),0,1)+IF(COUNTIFS(Data!C$1:'Data'!C459,Data!C459)&gt;1,1,0)))</f>
        <v/>
      </c>
      <c r="D469" s="36" t="str">
        <f>IF(Data!B459="","",IF(ISNUMBER(Data!D459),IF(AND(Data!D459&gt;999999999,Data!D459&lt;=9999999999),IF(COUNTIFS(Data!D$1:'Data'!D459,Data!D459)&lt;=1,0,1),1),1))</f>
        <v/>
      </c>
      <c r="E469" s="36" t="str">
        <f>IF(Data!B459="","",IF(ISNUMBER(MATCH(Data!E459,Data_Val!$A$2:$A$3,0)),0,1))</f>
        <v/>
      </c>
      <c r="F469" s="36" t="str">
        <f ca="1">IF(Data!B459="","",IF(ISNUMBER(Data!F459),IF(AND(Data!F459&gt;(TODAY()-(Data_Val!$H$3*365.25)),Data!F459&lt;=(TODAY()-(Data_Val!$H$2*365.25))),0,1),1))</f>
        <v/>
      </c>
      <c r="G469" s="12" t="str">
        <f>IF(Data!B459="","",IF(AND(Data!G459="",Data!H459&lt;&gt;""),1,IF(ISNUMBER(MATCH(Data!G459,Data_Val!$C$2:$C$5,0)),0,1)))</f>
        <v/>
      </c>
      <c r="H469" s="12" t="str">
        <f>IF(Data!B459="","",IF(AND(Data!G459&lt;&gt;"",Data!H459=""),1,IF(Data!G459="",1,IF(ISNUMBER(MATCH(Data!H459,Data_Val!$D$2:$D$35,0)),0,1))))</f>
        <v/>
      </c>
      <c r="I469" s="38" t="str">
        <f>IF(Data!G459="","",IF(Data!G459=Data_Val!$C$2,IF(Data!I459="",0,1),0))</f>
        <v/>
      </c>
      <c r="J469" s="38" t="str">
        <f>IF(Data!I459="","",IF(ISNUMBER(MATCH(Data!J459,Data_Val!$A$2:$A$3,0)),0,1))</f>
        <v/>
      </c>
      <c r="K469" s="38" t="str">
        <f ca="1">IF(Data!I459="","",IF(ISNUMBER(Data!K459),IF(AND(Data!K459&gt;(TODAY()-(Data_Val!$K$3*365.25)),Data!K459&lt;=(TODAY()-(Data_Val!$K$2*365.25))),0,1),1))</f>
        <v/>
      </c>
      <c r="L469" s="16" t="str">
        <f>IF(Data!G459="","",IF(Data!G459=Data_Val!$C$2,IF(Data!L459="",0,1),0))</f>
        <v/>
      </c>
      <c r="M469" s="16" t="str">
        <f>IF(Data!L459="","",IF(ISNUMBER(MATCH(Data!M459,Data_Val!$A$2:$A$3,0)),0,1))</f>
        <v/>
      </c>
      <c r="N469" s="43" t="str">
        <f ca="1">IF(Data!L459="","",IF(ISNUMBER(Data!N459),IF(AND(Data!N459&gt;(TODAY()-(Data_Val!$L$3*365.25)),Data!N459&lt;=(TODAY()-(Data_Val!$L$2*365.25))),0,1),1))</f>
        <v/>
      </c>
      <c r="O469" s="18" t="str">
        <f>IF(Data!$G459="","",IF(Data!$G459=Data_Val!$C$2,IF(Data!O459="",0,1),0))</f>
        <v/>
      </c>
      <c r="P469" s="18" t="str">
        <f>IF(Data!O459="","",IF(ISNUMBER(MATCH(Data!P459,Data_Val!$A$2:$A$3,0)),0,1))</f>
        <v/>
      </c>
      <c r="Q469" s="44" t="str">
        <f ca="1">IF(Data!O459="","",IF(ISNUMBER(Data!Q459),IF(AND(Data!Q459&gt;(TODAY()-(Data_Val!$L$3*365.25)),Data!Q459&lt;=(TODAY()-(Data_Val!$L$2*365.25))),0,1),1))</f>
        <v/>
      </c>
    </row>
    <row r="470" spans="1:17" ht="12" customHeight="1" x14ac:dyDescent="0.25">
      <c r="A470" s="36" t="str">
        <f>IF(Data!B460="","",IF(COUNTIFS(Data!A$1:'Data'!A460,Data!A460)&lt;=1,0,1))</f>
        <v/>
      </c>
      <c r="B470" s="36"/>
      <c r="C470" s="36" t="str">
        <f>IF(Data!C460="","",(IF(ISNUMBER(MATCH("*@*.?*",Data!C460,0)),0,1)+IF(COUNTIFS(Data!C$1:'Data'!C460,Data!C460)&gt;1,1,0)))</f>
        <v/>
      </c>
      <c r="D470" s="36" t="str">
        <f>IF(Data!B460="","",IF(ISNUMBER(Data!D460),IF(AND(Data!D460&gt;999999999,Data!D460&lt;=9999999999),IF(COUNTIFS(Data!D$1:'Data'!D460,Data!D460)&lt;=1,0,1),1),1))</f>
        <v/>
      </c>
      <c r="E470" s="36" t="str">
        <f>IF(Data!B460="","",IF(ISNUMBER(MATCH(Data!E460,Data_Val!$A$2:$A$3,0)),0,1))</f>
        <v/>
      </c>
      <c r="F470" s="36" t="str">
        <f ca="1">IF(Data!B460="","",IF(ISNUMBER(Data!F460),IF(AND(Data!F460&gt;(TODAY()-(Data_Val!$H$3*365.25)),Data!F460&lt;=(TODAY()-(Data_Val!$H$2*365.25))),0,1),1))</f>
        <v/>
      </c>
      <c r="G470" s="12" t="str">
        <f>IF(Data!B460="","",IF(AND(Data!G460="",Data!H460&lt;&gt;""),1,IF(ISNUMBER(MATCH(Data!G460,Data_Val!$C$2:$C$5,0)),0,1)))</f>
        <v/>
      </c>
      <c r="H470" s="12" t="str">
        <f>IF(Data!B460="","",IF(AND(Data!G460&lt;&gt;"",Data!H460=""),1,IF(Data!G460="",1,IF(ISNUMBER(MATCH(Data!H460,Data_Val!$D$2:$D$35,0)),0,1))))</f>
        <v/>
      </c>
      <c r="I470" s="38" t="str">
        <f>IF(Data!G460="","",IF(Data!G460=Data_Val!$C$2,IF(Data!I460="",0,1),0))</f>
        <v/>
      </c>
      <c r="J470" s="38" t="str">
        <f>IF(Data!I460="","",IF(ISNUMBER(MATCH(Data!J460,Data_Val!$A$2:$A$3,0)),0,1))</f>
        <v/>
      </c>
      <c r="K470" s="38" t="str">
        <f ca="1">IF(Data!I460="","",IF(ISNUMBER(Data!K460),IF(AND(Data!K460&gt;(TODAY()-(Data_Val!$K$3*365.25)),Data!K460&lt;=(TODAY()-(Data_Val!$K$2*365.25))),0,1),1))</f>
        <v/>
      </c>
      <c r="L470" s="16" t="str">
        <f>IF(Data!G460="","",IF(Data!G460=Data_Val!$C$2,IF(Data!L460="",0,1),0))</f>
        <v/>
      </c>
      <c r="M470" s="16" t="str">
        <f>IF(Data!L460="","",IF(ISNUMBER(MATCH(Data!M460,Data_Val!$A$2:$A$3,0)),0,1))</f>
        <v/>
      </c>
      <c r="N470" s="43" t="str">
        <f ca="1">IF(Data!L460="","",IF(ISNUMBER(Data!N460),IF(AND(Data!N460&gt;(TODAY()-(Data_Val!$L$3*365.25)),Data!N460&lt;=(TODAY()-(Data_Val!$L$2*365.25))),0,1),1))</f>
        <v/>
      </c>
      <c r="O470" s="18" t="str">
        <f>IF(Data!$G460="","",IF(Data!$G460=Data_Val!$C$2,IF(Data!O460="",0,1),0))</f>
        <v/>
      </c>
      <c r="P470" s="18" t="str">
        <f>IF(Data!O460="","",IF(ISNUMBER(MATCH(Data!P460,Data_Val!$A$2:$A$3,0)),0,1))</f>
        <v/>
      </c>
      <c r="Q470" s="44" t="str">
        <f ca="1">IF(Data!O460="","",IF(ISNUMBER(Data!Q460),IF(AND(Data!Q460&gt;(TODAY()-(Data_Val!$L$3*365.25)),Data!Q460&lt;=(TODAY()-(Data_Val!$L$2*365.25))),0,1),1))</f>
        <v/>
      </c>
    </row>
    <row r="471" spans="1:17" ht="12" customHeight="1" x14ac:dyDescent="0.25">
      <c r="A471" s="36" t="str">
        <f>IF(Data!B461="","",IF(COUNTIFS(Data!A$1:'Data'!A461,Data!A461)&lt;=1,0,1))</f>
        <v/>
      </c>
      <c r="B471" s="36"/>
      <c r="C471" s="36" t="str">
        <f>IF(Data!C461="","",(IF(ISNUMBER(MATCH("*@*.?*",Data!C461,0)),0,1)+IF(COUNTIFS(Data!C$1:'Data'!C461,Data!C461)&gt;1,1,0)))</f>
        <v/>
      </c>
      <c r="D471" s="36" t="str">
        <f>IF(Data!B461="","",IF(ISNUMBER(Data!D461),IF(AND(Data!D461&gt;999999999,Data!D461&lt;=9999999999),IF(COUNTIFS(Data!D$1:'Data'!D461,Data!D461)&lt;=1,0,1),1),1))</f>
        <v/>
      </c>
      <c r="E471" s="36" t="str">
        <f>IF(Data!B461="","",IF(ISNUMBER(MATCH(Data!E461,Data_Val!$A$2:$A$3,0)),0,1))</f>
        <v/>
      </c>
      <c r="F471" s="36" t="str">
        <f ca="1">IF(Data!B461="","",IF(ISNUMBER(Data!F461),IF(AND(Data!F461&gt;(TODAY()-(Data_Val!$H$3*365.25)),Data!F461&lt;=(TODAY()-(Data_Val!$H$2*365.25))),0,1),1))</f>
        <v/>
      </c>
      <c r="G471" s="12" t="str">
        <f>IF(Data!B461="","",IF(AND(Data!G461="",Data!H461&lt;&gt;""),1,IF(ISNUMBER(MATCH(Data!G461,Data_Val!$C$2:$C$5,0)),0,1)))</f>
        <v/>
      </c>
      <c r="H471" s="12" t="str">
        <f>IF(Data!B461="","",IF(AND(Data!G461&lt;&gt;"",Data!H461=""),1,IF(Data!G461="",1,IF(ISNUMBER(MATCH(Data!H461,Data_Val!$D$2:$D$35,0)),0,1))))</f>
        <v/>
      </c>
      <c r="I471" s="38" t="str">
        <f>IF(Data!G461="","",IF(Data!G461=Data_Val!$C$2,IF(Data!I461="",0,1),0))</f>
        <v/>
      </c>
      <c r="J471" s="38" t="str">
        <f>IF(Data!I461="","",IF(ISNUMBER(MATCH(Data!J461,Data_Val!$A$2:$A$3,0)),0,1))</f>
        <v/>
      </c>
      <c r="K471" s="38" t="str">
        <f ca="1">IF(Data!I461="","",IF(ISNUMBER(Data!K461),IF(AND(Data!K461&gt;(TODAY()-(Data_Val!$K$3*365.25)),Data!K461&lt;=(TODAY()-(Data_Val!$K$2*365.25))),0,1),1))</f>
        <v/>
      </c>
      <c r="L471" s="16" t="str">
        <f>IF(Data!G461="","",IF(Data!G461=Data_Val!$C$2,IF(Data!L461="",0,1),0))</f>
        <v/>
      </c>
      <c r="M471" s="16" t="str">
        <f>IF(Data!L461="","",IF(ISNUMBER(MATCH(Data!M461,Data_Val!$A$2:$A$3,0)),0,1))</f>
        <v/>
      </c>
      <c r="N471" s="43" t="str">
        <f ca="1">IF(Data!L461="","",IF(ISNUMBER(Data!N461),IF(AND(Data!N461&gt;(TODAY()-(Data_Val!$L$3*365.25)),Data!N461&lt;=(TODAY()-(Data_Val!$L$2*365.25))),0,1),1))</f>
        <v/>
      </c>
      <c r="O471" s="18" t="str">
        <f>IF(Data!$G461="","",IF(Data!$G461=Data_Val!$C$2,IF(Data!O461="",0,1),0))</f>
        <v/>
      </c>
      <c r="P471" s="18" t="str">
        <f>IF(Data!O461="","",IF(ISNUMBER(MATCH(Data!P461,Data_Val!$A$2:$A$3,0)),0,1))</f>
        <v/>
      </c>
      <c r="Q471" s="44" t="str">
        <f ca="1">IF(Data!O461="","",IF(ISNUMBER(Data!Q461),IF(AND(Data!Q461&gt;(TODAY()-(Data_Val!$L$3*365.25)),Data!Q461&lt;=(TODAY()-(Data_Val!$L$2*365.25))),0,1),1))</f>
        <v/>
      </c>
    </row>
    <row r="472" spans="1:17" ht="12" customHeight="1" x14ac:dyDescent="0.25">
      <c r="A472" s="36" t="str">
        <f>IF(Data!B462="","",IF(COUNTIFS(Data!A$1:'Data'!A462,Data!A462)&lt;=1,0,1))</f>
        <v/>
      </c>
      <c r="B472" s="36"/>
      <c r="C472" s="36" t="str">
        <f>IF(Data!C462="","",(IF(ISNUMBER(MATCH("*@*.?*",Data!C462,0)),0,1)+IF(COUNTIFS(Data!C$1:'Data'!C462,Data!C462)&gt;1,1,0)))</f>
        <v/>
      </c>
      <c r="D472" s="36" t="str">
        <f>IF(Data!B462="","",IF(ISNUMBER(Data!D462),IF(AND(Data!D462&gt;999999999,Data!D462&lt;=9999999999),IF(COUNTIFS(Data!D$1:'Data'!D462,Data!D462)&lt;=1,0,1),1),1))</f>
        <v/>
      </c>
      <c r="E472" s="36" t="str">
        <f>IF(Data!B462="","",IF(ISNUMBER(MATCH(Data!E462,Data_Val!$A$2:$A$3,0)),0,1))</f>
        <v/>
      </c>
      <c r="F472" s="36" t="str">
        <f ca="1">IF(Data!B462="","",IF(ISNUMBER(Data!F462),IF(AND(Data!F462&gt;(TODAY()-(Data_Val!$H$3*365.25)),Data!F462&lt;=(TODAY()-(Data_Val!$H$2*365.25))),0,1),1))</f>
        <v/>
      </c>
      <c r="G472" s="12" t="str">
        <f>IF(Data!B462="","",IF(AND(Data!G462="",Data!H462&lt;&gt;""),1,IF(ISNUMBER(MATCH(Data!G462,Data_Val!$C$2:$C$5,0)),0,1)))</f>
        <v/>
      </c>
      <c r="H472" s="12" t="str">
        <f>IF(Data!B462="","",IF(AND(Data!G462&lt;&gt;"",Data!H462=""),1,IF(Data!G462="",1,IF(ISNUMBER(MATCH(Data!H462,Data_Val!$D$2:$D$35,0)),0,1))))</f>
        <v/>
      </c>
      <c r="I472" s="38" t="str">
        <f>IF(Data!G462="","",IF(Data!G462=Data_Val!$C$2,IF(Data!I462="",0,1),0))</f>
        <v/>
      </c>
      <c r="J472" s="38" t="str">
        <f>IF(Data!I462="","",IF(ISNUMBER(MATCH(Data!J462,Data_Val!$A$2:$A$3,0)),0,1))</f>
        <v/>
      </c>
      <c r="K472" s="38" t="str">
        <f ca="1">IF(Data!I462="","",IF(ISNUMBER(Data!K462),IF(AND(Data!K462&gt;(TODAY()-(Data_Val!$K$3*365.25)),Data!K462&lt;=(TODAY()-(Data_Val!$K$2*365.25))),0,1),1))</f>
        <v/>
      </c>
      <c r="L472" s="16" t="str">
        <f>IF(Data!G462="","",IF(Data!G462=Data_Val!$C$2,IF(Data!L462="",0,1),0))</f>
        <v/>
      </c>
      <c r="M472" s="16" t="str">
        <f>IF(Data!L462="","",IF(ISNUMBER(MATCH(Data!M462,Data_Val!$A$2:$A$3,0)),0,1))</f>
        <v/>
      </c>
      <c r="N472" s="43" t="str">
        <f ca="1">IF(Data!L462="","",IF(ISNUMBER(Data!N462),IF(AND(Data!N462&gt;(TODAY()-(Data_Val!$L$3*365.25)),Data!N462&lt;=(TODAY()-(Data_Val!$L$2*365.25))),0,1),1))</f>
        <v/>
      </c>
      <c r="O472" s="18" t="str">
        <f>IF(Data!$G462="","",IF(Data!$G462=Data_Val!$C$2,IF(Data!O462="",0,1),0))</f>
        <v/>
      </c>
      <c r="P472" s="18" t="str">
        <f>IF(Data!O462="","",IF(ISNUMBER(MATCH(Data!P462,Data_Val!$A$2:$A$3,0)),0,1))</f>
        <v/>
      </c>
      <c r="Q472" s="44" t="str">
        <f ca="1">IF(Data!O462="","",IF(ISNUMBER(Data!Q462),IF(AND(Data!Q462&gt;(TODAY()-(Data_Val!$L$3*365.25)),Data!Q462&lt;=(TODAY()-(Data_Val!$L$2*365.25))),0,1),1))</f>
        <v/>
      </c>
    </row>
    <row r="473" spans="1:17" ht="12" customHeight="1" x14ac:dyDescent="0.25">
      <c r="A473" s="36" t="str">
        <f>IF(Data!B463="","",IF(COUNTIFS(Data!A$1:'Data'!A463,Data!A463)&lt;=1,0,1))</f>
        <v/>
      </c>
      <c r="B473" s="36"/>
      <c r="C473" s="36" t="str">
        <f>IF(Data!C463="","",(IF(ISNUMBER(MATCH("*@*.?*",Data!C463,0)),0,1)+IF(COUNTIFS(Data!C$1:'Data'!C463,Data!C463)&gt;1,1,0)))</f>
        <v/>
      </c>
      <c r="D473" s="36" t="str">
        <f>IF(Data!B463="","",IF(ISNUMBER(Data!D463),IF(AND(Data!D463&gt;999999999,Data!D463&lt;=9999999999),IF(COUNTIFS(Data!D$1:'Data'!D463,Data!D463)&lt;=1,0,1),1),1))</f>
        <v/>
      </c>
      <c r="E473" s="36" t="str">
        <f>IF(Data!B463="","",IF(ISNUMBER(MATCH(Data!E463,Data_Val!$A$2:$A$3,0)),0,1))</f>
        <v/>
      </c>
      <c r="F473" s="36" t="str">
        <f ca="1">IF(Data!B463="","",IF(ISNUMBER(Data!F463),IF(AND(Data!F463&gt;(TODAY()-(Data_Val!$H$3*365.25)),Data!F463&lt;=(TODAY()-(Data_Val!$H$2*365.25))),0,1),1))</f>
        <v/>
      </c>
      <c r="G473" s="12" t="str">
        <f>IF(Data!B463="","",IF(AND(Data!G463="",Data!H463&lt;&gt;""),1,IF(ISNUMBER(MATCH(Data!G463,Data_Val!$C$2:$C$5,0)),0,1)))</f>
        <v/>
      </c>
      <c r="H473" s="12" t="str">
        <f>IF(Data!B463="","",IF(AND(Data!G463&lt;&gt;"",Data!H463=""),1,IF(Data!G463="",1,IF(ISNUMBER(MATCH(Data!H463,Data_Val!$D$2:$D$35,0)),0,1))))</f>
        <v/>
      </c>
      <c r="I473" s="38" t="str">
        <f>IF(Data!G463="","",IF(Data!G463=Data_Val!$C$2,IF(Data!I463="",0,1),0))</f>
        <v/>
      </c>
      <c r="J473" s="38" t="str">
        <f>IF(Data!I463="","",IF(ISNUMBER(MATCH(Data!J463,Data_Val!$A$2:$A$3,0)),0,1))</f>
        <v/>
      </c>
      <c r="K473" s="38" t="str">
        <f ca="1">IF(Data!I463="","",IF(ISNUMBER(Data!K463),IF(AND(Data!K463&gt;(TODAY()-(Data_Val!$K$3*365.25)),Data!K463&lt;=(TODAY()-(Data_Val!$K$2*365.25))),0,1),1))</f>
        <v/>
      </c>
      <c r="L473" s="16" t="str">
        <f>IF(Data!G463="","",IF(Data!G463=Data_Val!$C$2,IF(Data!L463="",0,1),0))</f>
        <v/>
      </c>
      <c r="M473" s="16" t="str">
        <f>IF(Data!L463="","",IF(ISNUMBER(MATCH(Data!M463,Data_Val!$A$2:$A$3,0)),0,1))</f>
        <v/>
      </c>
      <c r="N473" s="43" t="str">
        <f ca="1">IF(Data!L463="","",IF(ISNUMBER(Data!N463),IF(AND(Data!N463&gt;(TODAY()-(Data_Val!$L$3*365.25)),Data!N463&lt;=(TODAY()-(Data_Val!$L$2*365.25))),0,1),1))</f>
        <v/>
      </c>
      <c r="O473" s="18" t="str">
        <f>IF(Data!$G463="","",IF(Data!$G463=Data_Val!$C$2,IF(Data!O463="",0,1),0))</f>
        <v/>
      </c>
      <c r="P473" s="18" t="str">
        <f>IF(Data!O463="","",IF(ISNUMBER(MATCH(Data!P463,Data_Val!$A$2:$A$3,0)),0,1))</f>
        <v/>
      </c>
      <c r="Q473" s="44" t="str">
        <f ca="1">IF(Data!O463="","",IF(ISNUMBER(Data!Q463),IF(AND(Data!Q463&gt;(TODAY()-(Data_Val!$L$3*365.25)),Data!Q463&lt;=(TODAY()-(Data_Val!$L$2*365.25))),0,1),1))</f>
        <v/>
      </c>
    </row>
    <row r="474" spans="1:17" ht="12" customHeight="1" x14ac:dyDescent="0.25">
      <c r="A474" s="36" t="str">
        <f>IF(Data!B464="","",IF(COUNTIFS(Data!A$1:'Data'!A464,Data!A464)&lt;=1,0,1))</f>
        <v/>
      </c>
      <c r="B474" s="36"/>
      <c r="C474" s="36" t="str">
        <f>IF(Data!C464="","",(IF(ISNUMBER(MATCH("*@*.?*",Data!C464,0)),0,1)+IF(COUNTIFS(Data!C$1:'Data'!C464,Data!C464)&gt;1,1,0)))</f>
        <v/>
      </c>
      <c r="D474" s="36" t="str">
        <f>IF(Data!B464="","",IF(ISNUMBER(Data!D464),IF(AND(Data!D464&gt;999999999,Data!D464&lt;=9999999999),IF(COUNTIFS(Data!D$1:'Data'!D464,Data!D464)&lt;=1,0,1),1),1))</f>
        <v/>
      </c>
      <c r="E474" s="36" t="str">
        <f>IF(Data!B464="","",IF(ISNUMBER(MATCH(Data!E464,Data_Val!$A$2:$A$3,0)),0,1))</f>
        <v/>
      </c>
      <c r="F474" s="36" t="str">
        <f ca="1">IF(Data!B464="","",IF(ISNUMBER(Data!F464),IF(AND(Data!F464&gt;(TODAY()-(Data_Val!$H$3*365.25)),Data!F464&lt;=(TODAY()-(Data_Val!$H$2*365.25))),0,1),1))</f>
        <v/>
      </c>
      <c r="G474" s="12" t="str">
        <f>IF(Data!B464="","",IF(AND(Data!G464="",Data!H464&lt;&gt;""),1,IF(ISNUMBER(MATCH(Data!G464,Data_Val!$C$2:$C$5,0)),0,1)))</f>
        <v/>
      </c>
      <c r="H474" s="12" t="str">
        <f>IF(Data!B464="","",IF(AND(Data!G464&lt;&gt;"",Data!H464=""),1,IF(Data!G464="",1,IF(ISNUMBER(MATCH(Data!H464,Data_Val!$D$2:$D$35,0)),0,1))))</f>
        <v/>
      </c>
      <c r="I474" s="38" t="str">
        <f>IF(Data!G464="","",IF(Data!G464=Data_Val!$C$2,IF(Data!I464="",0,1),0))</f>
        <v/>
      </c>
      <c r="J474" s="38" t="str">
        <f>IF(Data!I464="","",IF(ISNUMBER(MATCH(Data!J464,Data_Val!$A$2:$A$3,0)),0,1))</f>
        <v/>
      </c>
      <c r="K474" s="38" t="str">
        <f ca="1">IF(Data!I464="","",IF(ISNUMBER(Data!K464),IF(AND(Data!K464&gt;(TODAY()-(Data_Val!$K$3*365.25)),Data!K464&lt;=(TODAY()-(Data_Val!$K$2*365.25))),0,1),1))</f>
        <v/>
      </c>
      <c r="L474" s="16" t="str">
        <f>IF(Data!G464="","",IF(Data!G464=Data_Val!$C$2,IF(Data!L464="",0,1),0))</f>
        <v/>
      </c>
      <c r="M474" s="16" t="str">
        <f>IF(Data!L464="","",IF(ISNUMBER(MATCH(Data!M464,Data_Val!$A$2:$A$3,0)),0,1))</f>
        <v/>
      </c>
      <c r="N474" s="43" t="str">
        <f ca="1">IF(Data!L464="","",IF(ISNUMBER(Data!N464),IF(AND(Data!N464&gt;(TODAY()-(Data_Val!$L$3*365.25)),Data!N464&lt;=(TODAY()-(Data_Val!$L$2*365.25))),0,1),1))</f>
        <v/>
      </c>
      <c r="O474" s="18" t="str">
        <f>IF(Data!$G464="","",IF(Data!$G464=Data_Val!$C$2,IF(Data!O464="",0,1),0))</f>
        <v/>
      </c>
      <c r="P474" s="18" t="str">
        <f>IF(Data!O464="","",IF(ISNUMBER(MATCH(Data!P464,Data_Val!$A$2:$A$3,0)),0,1))</f>
        <v/>
      </c>
      <c r="Q474" s="44" t="str">
        <f ca="1">IF(Data!O464="","",IF(ISNUMBER(Data!Q464),IF(AND(Data!Q464&gt;(TODAY()-(Data_Val!$L$3*365.25)),Data!Q464&lt;=(TODAY()-(Data_Val!$L$2*365.25))),0,1),1))</f>
        <v/>
      </c>
    </row>
    <row r="475" spans="1:17" ht="12" customHeight="1" x14ac:dyDescent="0.25">
      <c r="A475" s="36" t="str">
        <f>IF(Data!B465="","",IF(COUNTIFS(Data!A$1:'Data'!A465,Data!A465)&lt;=1,0,1))</f>
        <v/>
      </c>
      <c r="B475" s="36"/>
      <c r="C475" s="36" t="str">
        <f>IF(Data!C465="","",(IF(ISNUMBER(MATCH("*@*.?*",Data!C465,0)),0,1)+IF(COUNTIFS(Data!C$1:'Data'!C465,Data!C465)&gt;1,1,0)))</f>
        <v/>
      </c>
      <c r="D475" s="36" t="str">
        <f>IF(Data!B465="","",IF(ISNUMBER(Data!D465),IF(AND(Data!D465&gt;999999999,Data!D465&lt;=9999999999),IF(COUNTIFS(Data!D$1:'Data'!D465,Data!D465)&lt;=1,0,1),1),1))</f>
        <v/>
      </c>
      <c r="E475" s="36" t="str">
        <f>IF(Data!B465="","",IF(ISNUMBER(MATCH(Data!E465,Data_Val!$A$2:$A$3,0)),0,1))</f>
        <v/>
      </c>
      <c r="F475" s="36" t="str">
        <f ca="1">IF(Data!B465="","",IF(ISNUMBER(Data!F465),IF(AND(Data!F465&gt;(TODAY()-(Data_Val!$H$3*365.25)),Data!F465&lt;=(TODAY()-(Data_Val!$H$2*365.25))),0,1),1))</f>
        <v/>
      </c>
      <c r="G475" s="12" t="str">
        <f>IF(Data!B465="","",IF(AND(Data!G465="",Data!H465&lt;&gt;""),1,IF(ISNUMBER(MATCH(Data!G465,Data_Val!$C$2:$C$5,0)),0,1)))</f>
        <v/>
      </c>
      <c r="H475" s="12" t="str">
        <f>IF(Data!B465="","",IF(AND(Data!G465&lt;&gt;"",Data!H465=""),1,IF(Data!G465="",1,IF(ISNUMBER(MATCH(Data!H465,Data_Val!$D$2:$D$35,0)),0,1))))</f>
        <v/>
      </c>
      <c r="I475" s="38" t="str">
        <f>IF(Data!G465="","",IF(Data!G465=Data_Val!$C$2,IF(Data!I465="",0,1),0))</f>
        <v/>
      </c>
      <c r="J475" s="38" t="str">
        <f>IF(Data!I465="","",IF(ISNUMBER(MATCH(Data!J465,Data_Val!$A$2:$A$3,0)),0,1))</f>
        <v/>
      </c>
      <c r="K475" s="38" t="str">
        <f ca="1">IF(Data!I465="","",IF(ISNUMBER(Data!K465),IF(AND(Data!K465&gt;(TODAY()-(Data_Val!$K$3*365.25)),Data!K465&lt;=(TODAY()-(Data_Val!$K$2*365.25))),0,1),1))</f>
        <v/>
      </c>
      <c r="L475" s="16" t="str">
        <f>IF(Data!G465="","",IF(Data!G465=Data_Val!$C$2,IF(Data!L465="",0,1),0))</f>
        <v/>
      </c>
      <c r="M475" s="16" t="str">
        <f>IF(Data!L465="","",IF(ISNUMBER(MATCH(Data!M465,Data_Val!$A$2:$A$3,0)),0,1))</f>
        <v/>
      </c>
      <c r="N475" s="43" t="str">
        <f ca="1">IF(Data!L465="","",IF(ISNUMBER(Data!N465),IF(AND(Data!N465&gt;(TODAY()-(Data_Val!$L$3*365.25)),Data!N465&lt;=(TODAY()-(Data_Val!$L$2*365.25))),0,1),1))</f>
        <v/>
      </c>
      <c r="O475" s="18" t="str">
        <f>IF(Data!$G465="","",IF(Data!$G465=Data_Val!$C$2,IF(Data!O465="",0,1),0))</f>
        <v/>
      </c>
      <c r="P475" s="18" t="str">
        <f>IF(Data!O465="","",IF(ISNUMBER(MATCH(Data!P465,Data_Val!$A$2:$A$3,0)),0,1))</f>
        <v/>
      </c>
      <c r="Q475" s="44" t="str">
        <f ca="1">IF(Data!O465="","",IF(ISNUMBER(Data!Q465),IF(AND(Data!Q465&gt;(TODAY()-(Data_Val!$L$3*365.25)),Data!Q465&lt;=(TODAY()-(Data_Val!$L$2*365.25))),0,1),1))</f>
        <v/>
      </c>
    </row>
    <row r="476" spans="1:17" ht="12" customHeight="1" x14ac:dyDescent="0.25">
      <c r="A476" s="36" t="str">
        <f>IF(Data!B466="","",IF(COUNTIFS(Data!A$1:'Data'!A466,Data!A466)&lt;=1,0,1))</f>
        <v/>
      </c>
      <c r="B476" s="36"/>
      <c r="C476" s="36" t="str">
        <f>IF(Data!C466="","",(IF(ISNUMBER(MATCH("*@*.?*",Data!C466,0)),0,1)+IF(COUNTIFS(Data!C$1:'Data'!C466,Data!C466)&gt;1,1,0)))</f>
        <v/>
      </c>
      <c r="D476" s="36" t="str">
        <f>IF(Data!B466="","",IF(ISNUMBER(Data!D466),IF(AND(Data!D466&gt;999999999,Data!D466&lt;=9999999999),IF(COUNTIFS(Data!D$1:'Data'!D466,Data!D466)&lt;=1,0,1),1),1))</f>
        <v/>
      </c>
      <c r="E476" s="36" t="str">
        <f>IF(Data!B466="","",IF(ISNUMBER(MATCH(Data!E466,Data_Val!$A$2:$A$3,0)),0,1))</f>
        <v/>
      </c>
      <c r="F476" s="36" t="str">
        <f ca="1">IF(Data!B466="","",IF(ISNUMBER(Data!F466),IF(AND(Data!F466&gt;(TODAY()-(Data_Val!$H$3*365.25)),Data!F466&lt;=(TODAY()-(Data_Val!$H$2*365.25))),0,1),1))</f>
        <v/>
      </c>
      <c r="G476" s="12" t="str">
        <f>IF(Data!B466="","",IF(AND(Data!G466="",Data!H466&lt;&gt;""),1,IF(ISNUMBER(MATCH(Data!G466,Data_Val!$C$2:$C$5,0)),0,1)))</f>
        <v/>
      </c>
      <c r="H476" s="12" t="str">
        <f>IF(Data!B466="","",IF(AND(Data!G466&lt;&gt;"",Data!H466=""),1,IF(Data!G466="",1,IF(ISNUMBER(MATCH(Data!H466,Data_Val!$D$2:$D$35,0)),0,1))))</f>
        <v/>
      </c>
      <c r="I476" s="38" t="str">
        <f>IF(Data!G466="","",IF(Data!G466=Data_Val!$C$2,IF(Data!I466="",0,1),0))</f>
        <v/>
      </c>
      <c r="J476" s="38" t="str">
        <f>IF(Data!I466="","",IF(ISNUMBER(MATCH(Data!J466,Data_Val!$A$2:$A$3,0)),0,1))</f>
        <v/>
      </c>
      <c r="K476" s="38" t="str">
        <f ca="1">IF(Data!I466="","",IF(ISNUMBER(Data!K466),IF(AND(Data!K466&gt;(TODAY()-(Data_Val!$K$3*365.25)),Data!K466&lt;=(TODAY()-(Data_Val!$K$2*365.25))),0,1),1))</f>
        <v/>
      </c>
      <c r="L476" s="16" t="str">
        <f>IF(Data!G466="","",IF(Data!G466=Data_Val!$C$2,IF(Data!L466="",0,1),0))</f>
        <v/>
      </c>
      <c r="M476" s="16" t="str">
        <f>IF(Data!L466="","",IF(ISNUMBER(MATCH(Data!M466,Data_Val!$A$2:$A$3,0)),0,1))</f>
        <v/>
      </c>
      <c r="N476" s="43" t="str">
        <f ca="1">IF(Data!L466="","",IF(ISNUMBER(Data!N466),IF(AND(Data!N466&gt;(TODAY()-(Data_Val!$L$3*365.25)),Data!N466&lt;=(TODAY()-(Data_Val!$L$2*365.25))),0,1),1))</f>
        <v/>
      </c>
      <c r="O476" s="18" t="str">
        <f>IF(Data!$G466="","",IF(Data!$G466=Data_Val!$C$2,IF(Data!O466="",0,1),0))</f>
        <v/>
      </c>
      <c r="P476" s="18" t="str">
        <f>IF(Data!O466="","",IF(ISNUMBER(MATCH(Data!P466,Data_Val!$A$2:$A$3,0)),0,1))</f>
        <v/>
      </c>
      <c r="Q476" s="44" t="str">
        <f ca="1">IF(Data!O466="","",IF(ISNUMBER(Data!Q466),IF(AND(Data!Q466&gt;(TODAY()-(Data_Val!$L$3*365.25)),Data!Q466&lt;=(TODAY()-(Data_Val!$L$2*365.25))),0,1),1))</f>
        <v/>
      </c>
    </row>
    <row r="477" spans="1:17" ht="12" customHeight="1" x14ac:dyDescent="0.25">
      <c r="A477" s="36" t="str">
        <f>IF(Data!B467="","",IF(COUNTIFS(Data!A$1:'Data'!A467,Data!A467)&lt;=1,0,1))</f>
        <v/>
      </c>
      <c r="B477" s="36"/>
      <c r="C477" s="36" t="str">
        <f>IF(Data!C467="","",(IF(ISNUMBER(MATCH("*@*.?*",Data!C467,0)),0,1)+IF(COUNTIFS(Data!C$1:'Data'!C467,Data!C467)&gt;1,1,0)))</f>
        <v/>
      </c>
      <c r="D477" s="36" t="str">
        <f>IF(Data!B467="","",IF(ISNUMBER(Data!D467),IF(AND(Data!D467&gt;999999999,Data!D467&lt;=9999999999),IF(COUNTIFS(Data!D$1:'Data'!D467,Data!D467)&lt;=1,0,1),1),1))</f>
        <v/>
      </c>
      <c r="E477" s="36" t="str">
        <f>IF(Data!B467="","",IF(ISNUMBER(MATCH(Data!E467,Data_Val!$A$2:$A$3,0)),0,1))</f>
        <v/>
      </c>
      <c r="F477" s="36" t="str">
        <f ca="1">IF(Data!B467="","",IF(ISNUMBER(Data!F467),IF(AND(Data!F467&gt;(TODAY()-(Data_Val!$H$3*365.25)),Data!F467&lt;=(TODAY()-(Data_Val!$H$2*365.25))),0,1),1))</f>
        <v/>
      </c>
      <c r="G477" s="12" t="str">
        <f>IF(Data!B467="","",IF(AND(Data!G467="",Data!H467&lt;&gt;""),1,IF(ISNUMBER(MATCH(Data!G467,Data_Val!$C$2:$C$5,0)),0,1)))</f>
        <v/>
      </c>
      <c r="H477" s="12" t="str">
        <f>IF(Data!B467="","",IF(AND(Data!G467&lt;&gt;"",Data!H467=""),1,IF(Data!G467="",1,IF(ISNUMBER(MATCH(Data!H467,Data_Val!$D$2:$D$35,0)),0,1))))</f>
        <v/>
      </c>
      <c r="I477" s="38" t="str">
        <f>IF(Data!G467="","",IF(Data!G467=Data_Val!$C$2,IF(Data!I467="",0,1),0))</f>
        <v/>
      </c>
      <c r="J477" s="38" t="str">
        <f>IF(Data!I467="","",IF(ISNUMBER(MATCH(Data!J467,Data_Val!$A$2:$A$3,0)),0,1))</f>
        <v/>
      </c>
      <c r="K477" s="38" t="str">
        <f ca="1">IF(Data!I467="","",IF(ISNUMBER(Data!K467),IF(AND(Data!K467&gt;(TODAY()-(Data_Val!$K$3*365.25)),Data!K467&lt;=(TODAY()-(Data_Val!$K$2*365.25))),0,1),1))</f>
        <v/>
      </c>
      <c r="L477" s="16" t="str">
        <f>IF(Data!G467="","",IF(Data!G467=Data_Val!$C$2,IF(Data!L467="",0,1),0))</f>
        <v/>
      </c>
      <c r="M477" s="16" t="str">
        <f>IF(Data!L467="","",IF(ISNUMBER(MATCH(Data!M467,Data_Val!$A$2:$A$3,0)),0,1))</f>
        <v/>
      </c>
      <c r="N477" s="43" t="str">
        <f ca="1">IF(Data!L467="","",IF(ISNUMBER(Data!N467),IF(AND(Data!N467&gt;(TODAY()-(Data_Val!$L$3*365.25)),Data!N467&lt;=(TODAY()-(Data_Val!$L$2*365.25))),0,1),1))</f>
        <v/>
      </c>
      <c r="O477" s="18" t="str">
        <f>IF(Data!$G467="","",IF(Data!$G467=Data_Val!$C$2,IF(Data!O467="",0,1),0))</f>
        <v/>
      </c>
      <c r="P477" s="18" t="str">
        <f>IF(Data!O467="","",IF(ISNUMBER(MATCH(Data!P467,Data_Val!$A$2:$A$3,0)),0,1))</f>
        <v/>
      </c>
      <c r="Q477" s="44" t="str">
        <f ca="1">IF(Data!O467="","",IF(ISNUMBER(Data!Q467),IF(AND(Data!Q467&gt;(TODAY()-(Data_Val!$L$3*365.25)),Data!Q467&lt;=(TODAY()-(Data_Val!$L$2*365.25))),0,1),1))</f>
        <v/>
      </c>
    </row>
    <row r="478" spans="1:17" ht="12" customHeight="1" x14ac:dyDescent="0.25">
      <c r="A478" s="36" t="str">
        <f>IF(Data!B468="","",IF(COUNTIFS(Data!A$1:'Data'!A468,Data!A468)&lt;=1,0,1))</f>
        <v/>
      </c>
      <c r="B478" s="36"/>
      <c r="C478" s="36" t="str">
        <f>IF(Data!C468="","",(IF(ISNUMBER(MATCH("*@*.?*",Data!C468,0)),0,1)+IF(COUNTIFS(Data!C$1:'Data'!C468,Data!C468)&gt;1,1,0)))</f>
        <v/>
      </c>
      <c r="D478" s="36" t="str">
        <f>IF(Data!B468="","",IF(ISNUMBER(Data!D468),IF(AND(Data!D468&gt;999999999,Data!D468&lt;=9999999999),IF(COUNTIFS(Data!D$1:'Data'!D468,Data!D468)&lt;=1,0,1),1),1))</f>
        <v/>
      </c>
      <c r="E478" s="36" t="str">
        <f>IF(Data!B468="","",IF(ISNUMBER(MATCH(Data!E468,Data_Val!$A$2:$A$3,0)),0,1))</f>
        <v/>
      </c>
      <c r="F478" s="36" t="str">
        <f ca="1">IF(Data!B468="","",IF(ISNUMBER(Data!F468),IF(AND(Data!F468&gt;(TODAY()-(Data_Val!$H$3*365.25)),Data!F468&lt;=(TODAY()-(Data_Val!$H$2*365.25))),0,1),1))</f>
        <v/>
      </c>
      <c r="G478" s="12" t="str">
        <f>IF(Data!B468="","",IF(AND(Data!G468="",Data!H468&lt;&gt;""),1,IF(ISNUMBER(MATCH(Data!G468,Data_Val!$C$2:$C$5,0)),0,1)))</f>
        <v/>
      </c>
      <c r="H478" s="12" t="str">
        <f>IF(Data!B468="","",IF(AND(Data!G468&lt;&gt;"",Data!H468=""),1,IF(Data!G468="",1,IF(ISNUMBER(MATCH(Data!H468,Data_Val!$D$2:$D$35,0)),0,1))))</f>
        <v/>
      </c>
      <c r="I478" s="38" t="str">
        <f>IF(Data!G468="","",IF(Data!G468=Data_Val!$C$2,IF(Data!I468="",0,1),0))</f>
        <v/>
      </c>
      <c r="J478" s="38" t="str">
        <f>IF(Data!I468="","",IF(ISNUMBER(MATCH(Data!J468,Data_Val!$A$2:$A$3,0)),0,1))</f>
        <v/>
      </c>
      <c r="K478" s="38" t="str">
        <f ca="1">IF(Data!I468="","",IF(ISNUMBER(Data!K468),IF(AND(Data!K468&gt;(TODAY()-(Data_Val!$K$3*365.25)),Data!K468&lt;=(TODAY()-(Data_Val!$K$2*365.25))),0,1),1))</f>
        <v/>
      </c>
      <c r="L478" s="16" t="str">
        <f>IF(Data!G468="","",IF(Data!G468=Data_Val!$C$2,IF(Data!L468="",0,1),0))</f>
        <v/>
      </c>
      <c r="M478" s="16" t="str">
        <f>IF(Data!L468="","",IF(ISNUMBER(MATCH(Data!M468,Data_Val!$A$2:$A$3,0)),0,1))</f>
        <v/>
      </c>
      <c r="N478" s="43" t="str">
        <f ca="1">IF(Data!L468="","",IF(ISNUMBER(Data!N468),IF(AND(Data!N468&gt;(TODAY()-(Data_Val!$L$3*365.25)),Data!N468&lt;=(TODAY()-(Data_Val!$L$2*365.25))),0,1),1))</f>
        <v/>
      </c>
      <c r="O478" s="18" t="str">
        <f>IF(Data!$G468="","",IF(Data!$G468=Data_Val!$C$2,IF(Data!O468="",0,1),0))</f>
        <v/>
      </c>
      <c r="P478" s="18" t="str">
        <f>IF(Data!O468="","",IF(ISNUMBER(MATCH(Data!P468,Data_Val!$A$2:$A$3,0)),0,1))</f>
        <v/>
      </c>
      <c r="Q478" s="44" t="str">
        <f ca="1">IF(Data!O468="","",IF(ISNUMBER(Data!Q468),IF(AND(Data!Q468&gt;(TODAY()-(Data_Val!$L$3*365.25)),Data!Q468&lt;=(TODAY()-(Data_Val!$L$2*365.25))),0,1),1))</f>
        <v/>
      </c>
    </row>
    <row r="479" spans="1:17" ht="12" customHeight="1" x14ac:dyDescent="0.25">
      <c r="A479" s="36" t="str">
        <f>IF(Data!B469="","",IF(COUNTIFS(Data!A$1:'Data'!A469,Data!A469)&lt;=1,0,1))</f>
        <v/>
      </c>
      <c r="B479" s="36"/>
      <c r="C479" s="36" t="str">
        <f>IF(Data!C469="","",(IF(ISNUMBER(MATCH("*@*.?*",Data!C469,0)),0,1)+IF(COUNTIFS(Data!C$1:'Data'!C469,Data!C469)&gt;1,1,0)))</f>
        <v/>
      </c>
      <c r="D479" s="36" t="str">
        <f>IF(Data!B469="","",IF(ISNUMBER(Data!D469),IF(AND(Data!D469&gt;999999999,Data!D469&lt;=9999999999),IF(COUNTIFS(Data!D$1:'Data'!D469,Data!D469)&lt;=1,0,1),1),1))</f>
        <v/>
      </c>
      <c r="E479" s="36" t="str">
        <f>IF(Data!B469="","",IF(ISNUMBER(MATCH(Data!E469,Data_Val!$A$2:$A$3,0)),0,1))</f>
        <v/>
      </c>
      <c r="F479" s="36" t="str">
        <f ca="1">IF(Data!B469="","",IF(ISNUMBER(Data!F469),IF(AND(Data!F469&gt;(TODAY()-(Data_Val!$H$3*365.25)),Data!F469&lt;=(TODAY()-(Data_Val!$H$2*365.25))),0,1),1))</f>
        <v/>
      </c>
      <c r="G479" s="12" t="str">
        <f>IF(Data!B469="","",IF(AND(Data!G469="",Data!H469&lt;&gt;""),1,IF(ISNUMBER(MATCH(Data!G469,Data_Val!$C$2:$C$5,0)),0,1)))</f>
        <v/>
      </c>
      <c r="H479" s="12" t="str">
        <f>IF(Data!B469="","",IF(AND(Data!G469&lt;&gt;"",Data!H469=""),1,IF(Data!G469="",1,IF(ISNUMBER(MATCH(Data!H469,Data_Val!$D$2:$D$35,0)),0,1))))</f>
        <v/>
      </c>
      <c r="I479" s="38" t="str">
        <f>IF(Data!G469="","",IF(Data!G469=Data_Val!$C$2,IF(Data!I469="",0,1),0))</f>
        <v/>
      </c>
      <c r="J479" s="38" t="str">
        <f>IF(Data!I469="","",IF(ISNUMBER(MATCH(Data!J469,Data_Val!$A$2:$A$3,0)),0,1))</f>
        <v/>
      </c>
      <c r="K479" s="38" t="str">
        <f ca="1">IF(Data!I469="","",IF(ISNUMBER(Data!K469),IF(AND(Data!K469&gt;(TODAY()-(Data_Val!$K$3*365.25)),Data!K469&lt;=(TODAY()-(Data_Val!$K$2*365.25))),0,1),1))</f>
        <v/>
      </c>
      <c r="L479" s="16" t="str">
        <f>IF(Data!G469="","",IF(Data!G469=Data_Val!$C$2,IF(Data!L469="",0,1),0))</f>
        <v/>
      </c>
      <c r="M479" s="16" t="str">
        <f>IF(Data!L469="","",IF(ISNUMBER(MATCH(Data!M469,Data_Val!$A$2:$A$3,0)),0,1))</f>
        <v/>
      </c>
      <c r="N479" s="43" t="str">
        <f ca="1">IF(Data!L469="","",IF(ISNUMBER(Data!N469),IF(AND(Data!N469&gt;(TODAY()-(Data_Val!$L$3*365.25)),Data!N469&lt;=(TODAY()-(Data_Val!$L$2*365.25))),0,1),1))</f>
        <v/>
      </c>
      <c r="O479" s="18" t="str">
        <f>IF(Data!$G469="","",IF(Data!$G469=Data_Val!$C$2,IF(Data!O469="",0,1),0))</f>
        <v/>
      </c>
      <c r="P479" s="18" t="str">
        <f>IF(Data!O469="","",IF(ISNUMBER(MATCH(Data!P469,Data_Val!$A$2:$A$3,0)),0,1))</f>
        <v/>
      </c>
      <c r="Q479" s="44" t="str">
        <f ca="1">IF(Data!O469="","",IF(ISNUMBER(Data!Q469),IF(AND(Data!Q469&gt;(TODAY()-(Data_Val!$L$3*365.25)),Data!Q469&lt;=(TODAY()-(Data_Val!$L$2*365.25))),0,1),1))</f>
        <v/>
      </c>
    </row>
    <row r="480" spans="1:17" ht="12" customHeight="1" x14ac:dyDescent="0.25">
      <c r="A480" s="36" t="str">
        <f>IF(Data!B470="","",IF(COUNTIFS(Data!A$1:'Data'!A470,Data!A470)&lt;=1,0,1))</f>
        <v/>
      </c>
      <c r="B480" s="36"/>
      <c r="C480" s="36" t="str">
        <f>IF(Data!C470="","",(IF(ISNUMBER(MATCH("*@*.?*",Data!C470,0)),0,1)+IF(COUNTIFS(Data!C$1:'Data'!C470,Data!C470)&gt;1,1,0)))</f>
        <v/>
      </c>
      <c r="D480" s="36" t="str">
        <f>IF(Data!B470="","",IF(ISNUMBER(Data!D470),IF(AND(Data!D470&gt;999999999,Data!D470&lt;=9999999999),IF(COUNTIFS(Data!D$1:'Data'!D470,Data!D470)&lt;=1,0,1),1),1))</f>
        <v/>
      </c>
      <c r="E480" s="36" t="str">
        <f>IF(Data!B470="","",IF(ISNUMBER(MATCH(Data!E470,Data_Val!$A$2:$A$3,0)),0,1))</f>
        <v/>
      </c>
      <c r="F480" s="36" t="str">
        <f ca="1">IF(Data!B470="","",IF(ISNUMBER(Data!F470),IF(AND(Data!F470&gt;(TODAY()-(Data_Val!$H$3*365.25)),Data!F470&lt;=(TODAY()-(Data_Val!$H$2*365.25))),0,1),1))</f>
        <v/>
      </c>
      <c r="G480" s="12" t="str">
        <f>IF(Data!B470="","",IF(AND(Data!G470="",Data!H470&lt;&gt;""),1,IF(ISNUMBER(MATCH(Data!G470,Data_Val!$C$2:$C$5,0)),0,1)))</f>
        <v/>
      </c>
      <c r="H480" s="12" t="str">
        <f>IF(Data!B470="","",IF(AND(Data!G470&lt;&gt;"",Data!H470=""),1,IF(Data!G470="",1,IF(ISNUMBER(MATCH(Data!H470,Data_Val!$D$2:$D$35,0)),0,1))))</f>
        <v/>
      </c>
      <c r="I480" s="38" t="str">
        <f>IF(Data!G470="","",IF(Data!G470=Data_Val!$C$2,IF(Data!I470="",0,1),0))</f>
        <v/>
      </c>
      <c r="J480" s="38" t="str">
        <f>IF(Data!I470="","",IF(ISNUMBER(MATCH(Data!J470,Data_Val!$A$2:$A$3,0)),0,1))</f>
        <v/>
      </c>
      <c r="K480" s="38" t="str">
        <f ca="1">IF(Data!I470="","",IF(ISNUMBER(Data!K470),IF(AND(Data!K470&gt;(TODAY()-(Data_Val!$K$3*365.25)),Data!K470&lt;=(TODAY()-(Data_Val!$K$2*365.25))),0,1),1))</f>
        <v/>
      </c>
      <c r="L480" s="16" t="str">
        <f>IF(Data!G470="","",IF(Data!G470=Data_Val!$C$2,IF(Data!L470="",0,1),0))</f>
        <v/>
      </c>
      <c r="M480" s="16" t="str">
        <f>IF(Data!L470="","",IF(ISNUMBER(MATCH(Data!M470,Data_Val!$A$2:$A$3,0)),0,1))</f>
        <v/>
      </c>
      <c r="N480" s="43" t="str">
        <f ca="1">IF(Data!L470="","",IF(ISNUMBER(Data!N470),IF(AND(Data!N470&gt;(TODAY()-(Data_Val!$L$3*365.25)),Data!N470&lt;=(TODAY()-(Data_Val!$L$2*365.25))),0,1),1))</f>
        <v/>
      </c>
      <c r="O480" s="18" t="str">
        <f>IF(Data!$G470="","",IF(Data!$G470=Data_Val!$C$2,IF(Data!O470="",0,1),0))</f>
        <v/>
      </c>
      <c r="P480" s="18" t="str">
        <f>IF(Data!O470="","",IF(ISNUMBER(MATCH(Data!P470,Data_Val!$A$2:$A$3,0)),0,1))</f>
        <v/>
      </c>
      <c r="Q480" s="44" t="str">
        <f ca="1">IF(Data!O470="","",IF(ISNUMBER(Data!Q470),IF(AND(Data!Q470&gt;(TODAY()-(Data_Val!$L$3*365.25)),Data!Q470&lt;=(TODAY()-(Data_Val!$L$2*365.25))),0,1),1))</f>
        <v/>
      </c>
    </row>
    <row r="481" spans="1:17" ht="12" customHeight="1" x14ac:dyDescent="0.25">
      <c r="A481" s="36" t="str">
        <f>IF(Data!B471="","",IF(COUNTIFS(Data!A$1:'Data'!A471,Data!A471)&lt;=1,0,1))</f>
        <v/>
      </c>
      <c r="B481" s="36"/>
      <c r="C481" s="36" t="str">
        <f>IF(Data!C471="","",(IF(ISNUMBER(MATCH("*@*.?*",Data!C471,0)),0,1)+IF(COUNTIFS(Data!C$1:'Data'!C471,Data!C471)&gt;1,1,0)))</f>
        <v/>
      </c>
      <c r="D481" s="36" t="str">
        <f>IF(Data!B471="","",IF(ISNUMBER(Data!D471),IF(AND(Data!D471&gt;999999999,Data!D471&lt;=9999999999),IF(COUNTIFS(Data!D$1:'Data'!D471,Data!D471)&lt;=1,0,1),1),1))</f>
        <v/>
      </c>
      <c r="E481" s="36" t="str">
        <f>IF(Data!B471="","",IF(ISNUMBER(MATCH(Data!E471,Data_Val!$A$2:$A$3,0)),0,1))</f>
        <v/>
      </c>
      <c r="F481" s="36" t="str">
        <f ca="1">IF(Data!B471="","",IF(ISNUMBER(Data!F471),IF(AND(Data!F471&gt;(TODAY()-(Data_Val!$H$3*365.25)),Data!F471&lt;=(TODAY()-(Data_Val!$H$2*365.25))),0,1),1))</f>
        <v/>
      </c>
      <c r="G481" s="12" t="str">
        <f>IF(Data!B471="","",IF(AND(Data!G471="",Data!H471&lt;&gt;""),1,IF(ISNUMBER(MATCH(Data!G471,Data_Val!$C$2:$C$5,0)),0,1)))</f>
        <v/>
      </c>
      <c r="H481" s="12" t="str">
        <f>IF(Data!B471="","",IF(AND(Data!G471&lt;&gt;"",Data!H471=""),1,IF(Data!G471="",1,IF(ISNUMBER(MATCH(Data!H471,Data_Val!$D$2:$D$35,0)),0,1))))</f>
        <v/>
      </c>
      <c r="I481" s="38" t="str">
        <f>IF(Data!G471="","",IF(Data!G471=Data_Val!$C$2,IF(Data!I471="",0,1),0))</f>
        <v/>
      </c>
      <c r="J481" s="38" t="str">
        <f>IF(Data!I471="","",IF(ISNUMBER(MATCH(Data!J471,Data_Val!$A$2:$A$3,0)),0,1))</f>
        <v/>
      </c>
      <c r="K481" s="38" t="str">
        <f ca="1">IF(Data!I471="","",IF(ISNUMBER(Data!K471),IF(AND(Data!K471&gt;(TODAY()-(Data_Val!$K$3*365.25)),Data!K471&lt;=(TODAY()-(Data_Val!$K$2*365.25))),0,1),1))</f>
        <v/>
      </c>
      <c r="L481" s="16" t="str">
        <f>IF(Data!G471="","",IF(Data!G471=Data_Val!$C$2,IF(Data!L471="",0,1),0))</f>
        <v/>
      </c>
      <c r="M481" s="16" t="str">
        <f>IF(Data!L471="","",IF(ISNUMBER(MATCH(Data!M471,Data_Val!$A$2:$A$3,0)),0,1))</f>
        <v/>
      </c>
      <c r="N481" s="43" t="str">
        <f ca="1">IF(Data!L471="","",IF(ISNUMBER(Data!N471),IF(AND(Data!N471&gt;(TODAY()-(Data_Val!$L$3*365.25)),Data!N471&lt;=(TODAY()-(Data_Val!$L$2*365.25))),0,1),1))</f>
        <v/>
      </c>
      <c r="O481" s="18" t="str">
        <f>IF(Data!$G471="","",IF(Data!$G471=Data_Val!$C$2,IF(Data!O471="",0,1),0))</f>
        <v/>
      </c>
      <c r="P481" s="18" t="str">
        <f>IF(Data!O471="","",IF(ISNUMBER(MATCH(Data!P471,Data_Val!$A$2:$A$3,0)),0,1))</f>
        <v/>
      </c>
      <c r="Q481" s="44" t="str">
        <f ca="1">IF(Data!O471="","",IF(ISNUMBER(Data!Q471),IF(AND(Data!Q471&gt;(TODAY()-(Data_Val!$L$3*365.25)),Data!Q471&lt;=(TODAY()-(Data_Val!$L$2*365.25))),0,1),1))</f>
        <v/>
      </c>
    </row>
    <row r="482" spans="1:17" ht="12" customHeight="1" x14ac:dyDescent="0.25">
      <c r="A482" s="36" t="str">
        <f>IF(Data!B472="","",IF(COUNTIFS(Data!A$1:'Data'!A472,Data!A472)&lt;=1,0,1))</f>
        <v/>
      </c>
      <c r="B482" s="36"/>
      <c r="C482" s="36" t="str">
        <f>IF(Data!C472="","",(IF(ISNUMBER(MATCH("*@*.?*",Data!C472,0)),0,1)+IF(COUNTIFS(Data!C$1:'Data'!C472,Data!C472)&gt;1,1,0)))</f>
        <v/>
      </c>
      <c r="D482" s="36" t="str">
        <f>IF(Data!B472="","",IF(ISNUMBER(Data!D472),IF(AND(Data!D472&gt;999999999,Data!D472&lt;=9999999999),IF(COUNTIFS(Data!D$1:'Data'!D472,Data!D472)&lt;=1,0,1),1),1))</f>
        <v/>
      </c>
      <c r="E482" s="36" t="str">
        <f>IF(Data!B472="","",IF(ISNUMBER(MATCH(Data!E472,Data_Val!$A$2:$A$3,0)),0,1))</f>
        <v/>
      </c>
      <c r="F482" s="36" t="str">
        <f ca="1">IF(Data!B472="","",IF(ISNUMBER(Data!F472),IF(AND(Data!F472&gt;(TODAY()-(Data_Val!$H$3*365.25)),Data!F472&lt;=(TODAY()-(Data_Val!$H$2*365.25))),0,1),1))</f>
        <v/>
      </c>
      <c r="G482" s="12" t="str">
        <f>IF(Data!B472="","",IF(AND(Data!G472="",Data!H472&lt;&gt;""),1,IF(ISNUMBER(MATCH(Data!G472,Data_Val!$C$2:$C$5,0)),0,1)))</f>
        <v/>
      </c>
      <c r="H482" s="12" t="str">
        <f>IF(Data!B472="","",IF(AND(Data!G472&lt;&gt;"",Data!H472=""),1,IF(Data!G472="",1,IF(ISNUMBER(MATCH(Data!H472,Data_Val!$D$2:$D$35,0)),0,1))))</f>
        <v/>
      </c>
      <c r="I482" s="38" t="str">
        <f>IF(Data!G472="","",IF(Data!G472=Data_Val!$C$2,IF(Data!I472="",0,1),0))</f>
        <v/>
      </c>
      <c r="J482" s="38" t="str">
        <f>IF(Data!I472="","",IF(ISNUMBER(MATCH(Data!J472,Data_Val!$A$2:$A$3,0)),0,1))</f>
        <v/>
      </c>
      <c r="K482" s="38" t="str">
        <f ca="1">IF(Data!I472="","",IF(ISNUMBER(Data!K472),IF(AND(Data!K472&gt;(TODAY()-(Data_Val!$K$3*365.25)),Data!K472&lt;=(TODAY()-(Data_Val!$K$2*365.25))),0,1),1))</f>
        <v/>
      </c>
      <c r="L482" s="16" t="str">
        <f>IF(Data!G472="","",IF(Data!G472=Data_Val!$C$2,IF(Data!L472="",0,1),0))</f>
        <v/>
      </c>
      <c r="M482" s="16" t="str">
        <f>IF(Data!L472="","",IF(ISNUMBER(MATCH(Data!M472,Data_Val!$A$2:$A$3,0)),0,1))</f>
        <v/>
      </c>
      <c r="N482" s="43" t="str">
        <f ca="1">IF(Data!L472="","",IF(ISNUMBER(Data!N472),IF(AND(Data!N472&gt;(TODAY()-(Data_Val!$L$3*365.25)),Data!N472&lt;=(TODAY()-(Data_Val!$L$2*365.25))),0,1),1))</f>
        <v/>
      </c>
      <c r="O482" s="18" t="str">
        <f>IF(Data!$G472="","",IF(Data!$G472=Data_Val!$C$2,IF(Data!O472="",0,1),0))</f>
        <v/>
      </c>
      <c r="P482" s="18" t="str">
        <f>IF(Data!O472="","",IF(ISNUMBER(MATCH(Data!P472,Data_Val!$A$2:$A$3,0)),0,1))</f>
        <v/>
      </c>
      <c r="Q482" s="44" t="str">
        <f ca="1">IF(Data!O472="","",IF(ISNUMBER(Data!Q472),IF(AND(Data!Q472&gt;(TODAY()-(Data_Val!$L$3*365.25)),Data!Q472&lt;=(TODAY()-(Data_Val!$L$2*365.25))),0,1),1))</f>
        <v/>
      </c>
    </row>
    <row r="483" spans="1:17" ht="12" customHeight="1" x14ac:dyDescent="0.25">
      <c r="A483" s="36" t="str">
        <f>IF(Data!B473="","",IF(COUNTIFS(Data!A$1:'Data'!A473,Data!A473)&lt;=1,0,1))</f>
        <v/>
      </c>
      <c r="B483" s="36"/>
      <c r="C483" s="36" t="str">
        <f>IF(Data!C473="","",(IF(ISNUMBER(MATCH("*@*.?*",Data!C473,0)),0,1)+IF(COUNTIFS(Data!C$1:'Data'!C473,Data!C473)&gt;1,1,0)))</f>
        <v/>
      </c>
      <c r="D483" s="36" t="str">
        <f>IF(Data!B473="","",IF(ISNUMBER(Data!D473),IF(AND(Data!D473&gt;999999999,Data!D473&lt;=9999999999),IF(COUNTIFS(Data!D$1:'Data'!D473,Data!D473)&lt;=1,0,1),1),1))</f>
        <v/>
      </c>
      <c r="E483" s="36" t="str">
        <f>IF(Data!B473="","",IF(ISNUMBER(MATCH(Data!E473,Data_Val!$A$2:$A$3,0)),0,1))</f>
        <v/>
      </c>
      <c r="F483" s="36" t="str">
        <f ca="1">IF(Data!B473="","",IF(ISNUMBER(Data!F473),IF(AND(Data!F473&gt;(TODAY()-(Data_Val!$H$3*365.25)),Data!F473&lt;=(TODAY()-(Data_Val!$H$2*365.25))),0,1),1))</f>
        <v/>
      </c>
      <c r="G483" s="12" t="str">
        <f>IF(Data!B473="","",IF(AND(Data!G473="",Data!H473&lt;&gt;""),1,IF(ISNUMBER(MATCH(Data!G473,Data_Val!$C$2:$C$5,0)),0,1)))</f>
        <v/>
      </c>
      <c r="H483" s="12" t="str">
        <f>IF(Data!B473="","",IF(AND(Data!G473&lt;&gt;"",Data!H473=""),1,IF(Data!G473="",1,IF(ISNUMBER(MATCH(Data!H473,Data_Val!$D$2:$D$35,0)),0,1))))</f>
        <v/>
      </c>
      <c r="I483" s="38" t="str">
        <f>IF(Data!G473="","",IF(Data!G473=Data_Val!$C$2,IF(Data!I473="",0,1),0))</f>
        <v/>
      </c>
      <c r="J483" s="38" t="str">
        <f>IF(Data!I473="","",IF(ISNUMBER(MATCH(Data!J473,Data_Val!$A$2:$A$3,0)),0,1))</f>
        <v/>
      </c>
      <c r="K483" s="38" t="str">
        <f ca="1">IF(Data!I473="","",IF(ISNUMBER(Data!K473),IF(AND(Data!K473&gt;(TODAY()-(Data_Val!$K$3*365.25)),Data!K473&lt;=(TODAY()-(Data_Val!$K$2*365.25))),0,1),1))</f>
        <v/>
      </c>
      <c r="L483" s="16" t="str">
        <f>IF(Data!G473="","",IF(Data!G473=Data_Val!$C$2,IF(Data!L473="",0,1),0))</f>
        <v/>
      </c>
      <c r="M483" s="16" t="str">
        <f>IF(Data!L473="","",IF(ISNUMBER(MATCH(Data!M473,Data_Val!$A$2:$A$3,0)),0,1))</f>
        <v/>
      </c>
      <c r="N483" s="43" t="str">
        <f ca="1">IF(Data!L473="","",IF(ISNUMBER(Data!N473),IF(AND(Data!N473&gt;(TODAY()-(Data_Val!$L$3*365.25)),Data!N473&lt;=(TODAY()-(Data_Val!$L$2*365.25))),0,1),1))</f>
        <v/>
      </c>
      <c r="O483" s="18" t="str">
        <f>IF(Data!$G473="","",IF(Data!$G473=Data_Val!$C$2,IF(Data!O473="",0,1),0))</f>
        <v/>
      </c>
      <c r="P483" s="18" t="str">
        <f>IF(Data!O473="","",IF(ISNUMBER(MATCH(Data!P473,Data_Val!$A$2:$A$3,0)),0,1))</f>
        <v/>
      </c>
      <c r="Q483" s="44" t="str">
        <f ca="1">IF(Data!O473="","",IF(ISNUMBER(Data!Q473),IF(AND(Data!Q473&gt;(TODAY()-(Data_Val!$L$3*365.25)),Data!Q473&lt;=(TODAY()-(Data_Val!$L$2*365.25))),0,1),1))</f>
        <v/>
      </c>
    </row>
    <row r="484" spans="1:17" ht="12" customHeight="1" x14ac:dyDescent="0.25">
      <c r="A484" s="36" t="str">
        <f>IF(Data!B474="","",IF(COUNTIFS(Data!A$1:'Data'!A474,Data!A474)&lt;=1,0,1))</f>
        <v/>
      </c>
      <c r="B484" s="36"/>
      <c r="C484" s="36" t="str">
        <f>IF(Data!C474="","",(IF(ISNUMBER(MATCH("*@*.?*",Data!C474,0)),0,1)+IF(COUNTIFS(Data!C$1:'Data'!C474,Data!C474)&gt;1,1,0)))</f>
        <v/>
      </c>
      <c r="D484" s="36" t="str">
        <f>IF(Data!B474="","",IF(ISNUMBER(Data!D474),IF(AND(Data!D474&gt;999999999,Data!D474&lt;=9999999999),IF(COUNTIFS(Data!D$1:'Data'!D474,Data!D474)&lt;=1,0,1),1),1))</f>
        <v/>
      </c>
      <c r="E484" s="36" t="str">
        <f>IF(Data!B474="","",IF(ISNUMBER(MATCH(Data!E474,Data_Val!$A$2:$A$3,0)),0,1))</f>
        <v/>
      </c>
      <c r="F484" s="36" t="str">
        <f ca="1">IF(Data!B474="","",IF(ISNUMBER(Data!F474),IF(AND(Data!F474&gt;(TODAY()-(Data_Val!$H$3*365.25)),Data!F474&lt;=(TODAY()-(Data_Val!$H$2*365.25))),0,1),1))</f>
        <v/>
      </c>
      <c r="G484" s="12" t="str">
        <f>IF(Data!B474="","",IF(AND(Data!G474="",Data!H474&lt;&gt;""),1,IF(ISNUMBER(MATCH(Data!G474,Data_Val!$C$2:$C$5,0)),0,1)))</f>
        <v/>
      </c>
      <c r="H484" s="12" t="str">
        <f>IF(Data!B474="","",IF(AND(Data!G474&lt;&gt;"",Data!H474=""),1,IF(Data!G474="",1,IF(ISNUMBER(MATCH(Data!H474,Data_Val!$D$2:$D$35,0)),0,1))))</f>
        <v/>
      </c>
      <c r="I484" s="38" t="str">
        <f>IF(Data!G474="","",IF(Data!G474=Data_Val!$C$2,IF(Data!I474="",0,1),0))</f>
        <v/>
      </c>
      <c r="J484" s="38" t="str">
        <f>IF(Data!I474="","",IF(ISNUMBER(MATCH(Data!J474,Data_Val!$A$2:$A$3,0)),0,1))</f>
        <v/>
      </c>
      <c r="K484" s="38" t="str">
        <f ca="1">IF(Data!I474="","",IF(ISNUMBER(Data!K474),IF(AND(Data!K474&gt;(TODAY()-(Data_Val!$K$3*365.25)),Data!K474&lt;=(TODAY()-(Data_Val!$K$2*365.25))),0,1),1))</f>
        <v/>
      </c>
      <c r="L484" s="16" t="str">
        <f>IF(Data!G474="","",IF(Data!G474=Data_Val!$C$2,IF(Data!L474="",0,1),0))</f>
        <v/>
      </c>
      <c r="M484" s="16" t="str">
        <f>IF(Data!L474="","",IF(ISNUMBER(MATCH(Data!M474,Data_Val!$A$2:$A$3,0)),0,1))</f>
        <v/>
      </c>
      <c r="N484" s="43" t="str">
        <f ca="1">IF(Data!L474="","",IF(ISNUMBER(Data!N474),IF(AND(Data!N474&gt;(TODAY()-(Data_Val!$L$3*365.25)),Data!N474&lt;=(TODAY()-(Data_Val!$L$2*365.25))),0,1),1))</f>
        <v/>
      </c>
      <c r="O484" s="18" t="str">
        <f>IF(Data!$G474="","",IF(Data!$G474=Data_Val!$C$2,IF(Data!O474="",0,1),0))</f>
        <v/>
      </c>
      <c r="P484" s="18" t="str">
        <f>IF(Data!O474="","",IF(ISNUMBER(MATCH(Data!P474,Data_Val!$A$2:$A$3,0)),0,1))</f>
        <v/>
      </c>
      <c r="Q484" s="44" t="str">
        <f ca="1">IF(Data!O474="","",IF(ISNUMBER(Data!Q474),IF(AND(Data!Q474&gt;(TODAY()-(Data_Val!$L$3*365.25)),Data!Q474&lt;=(TODAY()-(Data_Val!$L$2*365.25))),0,1),1))</f>
        <v/>
      </c>
    </row>
    <row r="485" spans="1:17" ht="12" customHeight="1" x14ac:dyDescent="0.25">
      <c r="A485" s="36" t="str">
        <f>IF(Data!B475="","",IF(COUNTIFS(Data!A$1:'Data'!A475,Data!A475)&lt;=1,0,1))</f>
        <v/>
      </c>
      <c r="B485" s="36"/>
      <c r="C485" s="36" t="str">
        <f>IF(Data!C475="","",(IF(ISNUMBER(MATCH("*@*.?*",Data!C475,0)),0,1)+IF(COUNTIFS(Data!C$1:'Data'!C475,Data!C475)&gt;1,1,0)))</f>
        <v/>
      </c>
      <c r="D485" s="36" t="str">
        <f>IF(Data!B475="","",IF(ISNUMBER(Data!D475),IF(AND(Data!D475&gt;999999999,Data!D475&lt;=9999999999),IF(COUNTIFS(Data!D$1:'Data'!D475,Data!D475)&lt;=1,0,1),1),1))</f>
        <v/>
      </c>
      <c r="E485" s="36" t="str">
        <f>IF(Data!B475="","",IF(ISNUMBER(MATCH(Data!E475,Data_Val!$A$2:$A$3,0)),0,1))</f>
        <v/>
      </c>
      <c r="F485" s="36" t="str">
        <f ca="1">IF(Data!B475="","",IF(ISNUMBER(Data!F475),IF(AND(Data!F475&gt;(TODAY()-(Data_Val!$H$3*365.25)),Data!F475&lt;=(TODAY()-(Data_Val!$H$2*365.25))),0,1),1))</f>
        <v/>
      </c>
      <c r="G485" s="12" t="str">
        <f>IF(Data!B475="","",IF(AND(Data!G475="",Data!H475&lt;&gt;""),1,IF(ISNUMBER(MATCH(Data!G475,Data_Val!$C$2:$C$5,0)),0,1)))</f>
        <v/>
      </c>
      <c r="H485" s="12" t="str">
        <f>IF(Data!B475="","",IF(AND(Data!G475&lt;&gt;"",Data!H475=""),1,IF(Data!G475="",1,IF(ISNUMBER(MATCH(Data!H475,Data_Val!$D$2:$D$35,0)),0,1))))</f>
        <v/>
      </c>
      <c r="I485" s="38" t="str">
        <f>IF(Data!G475="","",IF(Data!G475=Data_Val!$C$2,IF(Data!I475="",0,1),0))</f>
        <v/>
      </c>
      <c r="J485" s="38" t="str">
        <f>IF(Data!I475="","",IF(ISNUMBER(MATCH(Data!J475,Data_Val!$A$2:$A$3,0)),0,1))</f>
        <v/>
      </c>
      <c r="K485" s="38" t="str">
        <f ca="1">IF(Data!I475="","",IF(ISNUMBER(Data!K475),IF(AND(Data!K475&gt;(TODAY()-(Data_Val!$K$3*365.25)),Data!K475&lt;=(TODAY()-(Data_Val!$K$2*365.25))),0,1),1))</f>
        <v/>
      </c>
      <c r="L485" s="16" t="str">
        <f>IF(Data!G475="","",IF(Data!G475=Data_Val!$C$2,IF(Data!L475="",0,1),0))</f>
        <v/>
      </c>
      <c r="M485" s="16" t="str">
        <f>IF(Data!L475="","",IF(ISNUMBER(MATCH(Data!M475,Data_Val!$A$2:$A$3,0)),0,1))</f>
        <v/>
      </c>
      <c r="N485" s="43" t="str">
        <f ca="1">IF(Data!L475="","",IF(ISNUMBER(Data!N475),IF(AND(Data!N475&gt;(TODAY()-(Data_Val!$L$3*365.25)),Data!N475&lt;=(TODAY()-(Data_Val!$L$2*365.25))),0,1),1))</f>
        <v/>
      </c>
      <c r="O485" s="18" t="str">
        <f>IF(Data!$G475="","",IF(Data!$G475=Data_Val!$C$2,IF(Data!O475="",0,1),0))</f>
        <v/>
      </c>
      <c r="P485" s="18" t="str">
        <f>IF(Data!O475="","",IF(ISNUMBER(MATCH(Data!P475,Data_Val!$A$2:$A$3,0)),0,1))</f>
        <v/>
      </c>
      <c r="Q485" s="44" t="str">
        <f ca="1">IF(Data!O475="","",IF(ISNUMBER(Data!Q475),IF(AND(Data!Q475&gt;(TODAY()-(Data_Val!$L$3*365.25)),Data!Q475&lt;=(TODAY()-(Data_Val!$L$2*365.25))),0,1),1))</f>
        <v/>
      </c>
    </row>
    <row r="486" spans="1:17" ht="12" customHeight="1" x14ac:dyDescent="0.25">
      <c r="A486" s="36" t="str">
        <f>IF(Data!B476="","",IF(COUNTIFS(Data!A$1:'Data'!A476,Data!A476)&lt;=1,0,1))</f>
        <v/>
      </c>
      <c r="B486" s="36"/>
      <c r="C486" s="36" t="str">
        <f>IF(Data!C476="","",(IF(ISNUMBER(MATCH("*@*.?*",Data!C476,0)),0,1)+IF(COUNTIFS(Data!C$1:'Data'!C476,Data!C476)&gt;1,1,0)))</f>
        <v/>
      </c>
      <c r="D486" s="36" t="str">
        <f>IF(Data!B476="","",IF(ISNUMBER(Data!D476),IF(AND(Data!D476&gt;999999999,Data!D476&lt;=9999999999),IF(COUNTIFS(Data!D$1:'Data'!D476,Data!D476)&lt;=1,0,1),1),1))</f>
        <v/>
      </c>
      <c r="E486" s="36" t="str">
        <f>IF(Data!B476="","",IF(ISNUMBER(MATCH(Data!E476,Data_Val!$A$2:$A$3,0)),0,1))</f>
        <v/>
      </c>
      <c r="F486" s="36" t="str">
        <f ca="1">IF(Data!B476="","",IF(ISNUMBER(Data!F476),IF(AND(Data!F476&gt;(TODAY()-(Data_Val!$H$3*365.25)),Data!F476&lt;=(TODAY()-(Data_Val!$H$2*365.25))),0,1),1))</f>
        <v/>
      </c>
      <c r="G486" s="12" t="str">
        <f>IF(Data!B476="","",IF(AND(Data!G476="",Data!H476&lt;&gt;""),1,IF(ISNUMBER(MATCH(Data!G476,Data_Val!$C$2:$C$5,0)),0,1)))</f>
        <v/>
      </c>
      <c r="H486" s="12" t="str">
        <f>IF(Data!B476="","",IF(AND(Data!G476&lt;&gt;"",Data!H476=""),1,IF(Data!G476="",1,IF(ISNUMBER(MATCH(Data!H476,Data_Val!$D$2:$D$35,0)),0,1))))</f>
        <v/>
      </c>
      <c r="I486" s="38" t="str">
        <f>IF(Data!G476="","",IF(Data!G476=Data_Val!$C$2,IF(Data!I476="",0,1),0))</f>
        <v/>
      </c>
      <c r="J486" s="38" t="str">
        <f>IF(Data!I476="","",IF(ISNUMBER(MATCH(Data!J476,Data_Val!$A$2:$A$3,0)),0,1))</f>
        <v/>
      </c>
      <c r="K486" s="38" t="str">
        <f ca="1">IF(Data!I476="","",IF(ISNUMBER(Data!K476),IF(AND(Data!K476&gt;(TODAY()-(Data_Val!$K$3*365.25)),Data!K476&lt;=(TODAY()-(Data_Val!$K$2*365.25))),0,1),1))</f>
        <v/>
      </c>
      <c r="L486" s="16" t="str">
        <f>IF(Data!G476="","",IF(Data!G476=Data_Val!$C$2,IF(Data!L476="",0,1),0))</f>
        <v/>
      </c>
      <c r="M486" s="16" t="str">
        <f>IF(Data!L476="","",IF(ISNUMBER(MATCH(Data!M476,Data_Val!$A$2:$A$3,0)),0,1))</f>
        <v/>
      </c>
      <c r="N486" s="43" t="str">
        <f ca="1">IF(Data!L476="","",IF(ISNUMBER(Data!N476),IF(AND(Data!N476&gt;(TODAY()-(Data_Val!$L$3*365.25)),Data!N476&lt;=(TODAY()-(Data_Val!$L$2*365.25))),0,1),1))</f>
        <v/>
      </c>
      <c r="O486" s="18" t="str">
        <f>IF(Data!$G476="","",IF(Data!$G476=Data_Val!$C$2,IF(Data!O476="",0,1),0))</f>
        <v/>
      </c>
      <c r="P486" s="18" t="str">
        <f>IF(Data!O476="","",IF(ISNUMBER(MATCH(Data!P476,Data_Val!$A$2:$A$3,0)),0,1))</f>
        <v/>
      </c>
      <c r="Q486" s="44" t="str">
        <f ca="1">IF(Data!O476="","",IF(ISNUMBER(Data!Q476),IF(AND(Data!Q476&gt;(TODAY()-(Data_Val!$L$3*365.25)),Data!Q476&lt;=(TODAY()-(Data_Val!$L$2*365.25))),0,1),1))</f>
        <v/>
      </c>
    </row>
    <row r="487" spans="1:17" ht="12" customHeight="1" x14ac:dyDescent="0.25">
      <c r="A487" s="36" t="str">
        <f>IF(Data!B477="","",IF(COUNTIFS(Data!A$1:'Data'!A477,Data!A477)&lt;=1,0,1))</f>
        <v/>
      </c>
      <c r="B487" s="36"/>
      <c r="C487" s="36" t="str">
        <f>IF(Data!C477="","",(IF(ISNUMBER(MATCH("*@*.?*",Data!C477,0)),0,1)+IF(COUNTIFS(Data!C$1:'Data'!C477,Data!C477)&gt;1,1,0)))</f>
        <v/>
      </c>
      <c r="D487" s="36" t="str">
        <f>IF(Data!B477="","",IF(ISNUMBER(Data!D477),IF(AND(Data!D477&gt;999999999,Data!D477&lt;=9999999999),IF(COUNTIFS(Data!D$1:'Data'!D477,Data!D477)&lt;=1,0,1),1),1))</f>
        <v/>
      </c>
      <c r="E487" s="36" t="str">
        <f>IF(Data!B477="","",IF(ISNUMBER(MATCH(Data!E477,Data_Val!$A$2:$A$3,0)),0,1))</f>
        <v/>
      </c>
      <c r="F487" s="36" t="str">
        <f ca="1">IF(Data!B477="","",IF(ISNUMBER(Data!F477),IF(AND(Data!F477&gt;(TODAY()-(Data_Val!$H$3*365.25)),Data!F477&lt;=(TODAY()-(Data_Val!$H$2*365.25))),0,1),1))</f>
        <v/>
      </c>
      <c r="G487" s="12" t="str">
        <f>IF(Data!B477="","",IF(AND(Data!G477="",Data!H477&lt;&gt;""),1,IF(ISNUMBER(MATCH(Data!G477,Data_Val!$C$2:$C$5,0)),0,1)))</f>
        <v/>
      </c>
      <c r="H487" s="12" t="str">
        <f>IF(Data!B477="","",IF(AND(Data!G477&lt;&gt;"",Data!H477=""),1,IF(Data!G477="",1,IF(ISNUMBER(MATCH(Data!H477,Data_Val!$D$2:$D$35,0)),0,1))))</f>
        <v/>
      </c>
      <c r="I487" s="38" t="str">
        <f>IF(Data!G477="","",IF(Data!G477=Data_Val!$C$2,IF(Data!I477="",0,1),0))</f>
        <v/>
      </c>
      <c r="J487" s="38" t="str">
        <f>IF(Data!I477="","",IF(ISNUMBER(MATCH(Data!J477,Data_Val!$A$2:$A$3,0)),0,1))</f>
        <v/>
      </c>
      <c r="K487" s="38" t="str">
        <f ca="1">IF(Data!I477="","",IF(ISNUMBER(Data!K477),IF(AND(Data!K477&gt;(TODAY()-(Data_Val!$K$3*365.25)),Data!K477&lt;=(TODAY()-(Data_Val!$K$2*365.25))),0,1),1))</f>
        <v/>
      </c>
      <c r="L487" s="16" t="str">
        <f>IF(Data!G477="","",IF(Data!G477=Data_Val!$C$2,IF(Data!L477="",0,1),0))</f>
        <v/>
      </c>
      <c r="M487" s="16" t="str">
        <f>IF(Data!L477="","",IF(ISNUMBER(MATCH(Data!M477,Data_Val!$A$2:$A$3,0)),0,1))</f>
        <v/>
      </c>
      <c r="N487" s="43" t="str">
        <f ca="1">IF(Data!L477="","",IF(ISNUMBER(Data!N477),IF(AND(Data!N477&gt;(TODAY()-(Data_Val!$L$3*365.25)),Data!N477&lt;=(TODAY()-(Data_Val!$L$2*365.25))),0,1),1))</f>
        <v/>
      </c>
      <c r="O487" s="18" t="str">
        <f>IF(Data!$G477="","",IF(Data!$G477=Data_Val!$C$2,IF(Data!O477="",0,1),0))</f>
        <v/>
      </c>
      <c r="P487" s="18" t="str">
        <f>IF(Data!O477="","",IF(ISNUMBER(MATCH(Data!P477,Data_Val!$A$2:$A$3,0)),0,1))</f>
        <v/>
      </c>
      <c r="Q487" s="44" t="str">
        <f ca="1">IF(Data!O477="","",IF(ISNUMBER(Data!Q477),IF(AND(Data!Q477&gt;(TODAY()-(Data_Val!$L$3*365.25)),Data!Q477&lt;=(TODAY()-(Data_Val!$L$2*365.25))),0,1),1))</f>
        <v/>
      </c>
    </row>
    <row r="488" spans="1:17" ht="12" customHeight="1" x14ac:dyDescent="0.25">
      <c r="A488" s="36" t="str">
        <f>IF(Data!B478="","",IF(COUNTIFS(Data!A$1:'Data'!A478,Data!A478)&lt;=1,0,1))</f>
        <v/>
      </c>
      <c r="B488" s="36"/>
      <c r="C488" s="36" t="str">
        <f>IF(Data!C478="","",(IF(ISNUMBER(MATCH("*@*.?*",Data!C478,0)),0,1)+IF(COUNTIFS(Data!C$1:'Data'!C478,Data!C478)&gt;1,1,0)))</f>
        <v/>
      </c>
      <c r="D488" s="36" t="str">
        <f>IF(Data!B478="","",IF(ISNUMBER(Data!D478),IF(AND(Data!D478&gt;999999999,Data!D478&lt;=9999999999),IF(COUNTIFS(Data!D$1:'Data'!D478,Data!D478)&lt;=1,0,1),1),1))</f>
        <v/>
      </c>
      <c r="E488" s="36" t="str">
        <f>IF(Data!B478="","",IF(ISNUMBER(MATCH(Data!E478,Data_Val!$A$2:$A$3,0)),0,1))</f>
        <v/>
      </c>
      <c r="F488" s="36" t="str">
        <f ca="1">IF(Data!B478="","",IF(ISNUMBER(Data!F478),IF(AND(Data!F478&gt;(TODAY()-(Data_Val!$H$3*365.25)),Data!F478&lt;=(TODAY()-(Data_Val!$H$2*365.25))),0,1),1))</f>
        <v/>
      </c>
      <c r="G488" s="12" t="str">
        <f>IF(Data!B478="","",IF(AND(Data!G478="",Data!H478&lt;&gt;""),1,IF(ISNUMBER(MATCH(Data!G478,Data_Val!$C$2:$C$5,0)),0,1)))</f>
        <v/>
      </c>
      <c r="H488" s="12" t="str">
        <f>IF(Data!B478="","",IF(AND(Data!G478&lt;&gt;"",Data!H478=""),1,IF(Data!G478="",1,IF(ISNUMBER(MATCH(Data!H478,Data_Val!$D$2:$D$35,0)),0,1))))</f>
        <v/>
      </c>
      <c r="I488" s="38" t="str">
        <f>IF(Data!G478="","",IF(Data!G478=Data_Val!$C$2,IF(Data!I478="",0,1),0))</f>
        <v/>
      </c>
      <c r="J488" s="38" t="str">
        <f>IF(Data!I478="","",IF(ISNUMBER(MATCH(Data!J478,Data_Val!$A$2:$A$3,0)),0,1))</f>
        <v/>
      </c>
      <c r="K488" s="38" t="str">
        <f ca="1">IF(Data!I478="","",IF(ISNUMBER(Data!K478),IF(AND(Data!K478&gt;(TODAY()-(Data_Val!$K$3*365.25)),Data!K478&lt;=(TODAY()-(Data_Val!$K$2*365.25))),0,1),1))</f>
        <v/>
      </c>
      <c r="L488" s="16" t="str">
        <f>IF(Data!G478="","",IF(Data!G478=Data_Val!$C$2,IF(Data!L478="",0,1),0))</f>
        <v/>
      </c>
      <c r="M488" s="16" t="str">
        <f>IF(Data!L478="","",IF(ISNUMBER(MATCH(Data!M478,Data_Val!$A$2:$A$3,0)),0,1))</f>
        <v/>
      </c>
      <c r="N488" s="43" t="str">
        <f ca="1">IF(Data!L478="","",IF(ISNUMBER(Data!N478),IF(AND(Data!N478&gt;(TODAY()-(Data_Val!$L$3*365.25)),Data!N478&lt;=(TODAY()-(Data_Val!$L$2*365.25))),0,1),1))</f>
        <v/>
      </c>
      <c r="O488" s="18" t="str">
        <f>IF(Data!$G478="","",IF(Data!$G478=Data_Val!$C$2,IF(Data!O478="",0,1),0))</f>
        <v/>
      </c>
      <c r="P488" s="18" t="str">
        <f>IF(Data!O478="","",IF(ISNUMBER(MATCH(Data!P478,Data_Val!$A$2:$A$3,0)),0,1))</f>
        <v/>
      </c>
      <c r="Q488" s="44" t="str">
        <f ca="1">IF(Data!O478="","",IF(ISNUMBER(Data!Q478),IF(AND(Data!Q478&gt;(TODAY()-(Data_Val!$L$3*365.25)),Data!Q478&lt;=(TODAY()-(Data_Val!$L$2*365.25))),0,1),1))</f>
        <v/>
      </c>
    </row>
    <row r="489" spans="1:17" ht="12" customHeight="1" x14ac:dyDescent="0.25">
      <c r="A489" s="36" t="str">
        <f>IF(Data!B479="","",IF(COUNTIFS(Data!A$1:'Data'!A479,Data!A479)&lt;=1,0,1))</f>
        <v/>
      </c>
      <c r="B489" s="36"/>
      <c r="C489" s="36" t="str">
        <f>IF(Data!C479="","",(IF(ISNUMBER(MATCH("*@*.?*",Data!C479,0)),0,1)+IF(COUNTIFS(Data!C$1:'Data'!C479,Data!C479)&gt;1,1,0)))</f>
        <v/>
      </c>
      <c r="D489" s="36" t="str">
        <f>IF(Data!B479="","",IF(ISNUMBER(Data!D479),IF(AND(Data!D479&gt;999999999,Data!D479&lt;=9999999999),IF(COUNTIFS(Data!D$1:'Data'!D479,Data!D479)&lt;=1,0,1),1),1))</f>
        <v/>
      </c>
      <c r="E489" s="36" t="str">
        <f>IF(Data!B479="","",IF(ISNUMBER(MATCH(Data!E479,Data_Val!$A$2:$A$3,0)),0,1))</f>
        <v/>
      </c>
      <c r="F489" s="36" t="str">
        <f ca="1">IF(Data!B479="","",IF(ISNUMBER(Data!F479),IF(AND(Data!F479&gt;(TODAY()-(Data_Val!$H$3*365.25)),Data!F479&lt;=(TODAY()-(Data_Val!$H$2*365.25))),0,1),1))</f>
        <v/>
      </c>
      <c r="G489" s="12" t="str">
        <f>IF(Data!B479="","",IF(AND(Data!G479="",Data!H479&lt;&gt;""),1,IF(ISNUMBER(MATCH(Data!G479,Data_Val!$C$2:$C$5,0)),0,1)))</f>
        <v/>
      </c>
      <c r="H489" s="12" t="str">
        <f>IF(Data!B479="","",IF(AND(Data!G479&lt;&gt;"",Data!H479=""),1,IF(Data!G479="",1,IF(ISNUMBER(MATCH(Data!H479,Data_Val!$D$2:$D$35,0)),0,1))))</f>
        <v/>
      </c>
      <c r="I489" s="38" t="str">
        <f>IF(Data!G479="","",IF(Data!G479=Data_Val!$C$2,IF(Data!I479="",0,1),0))</f>
        <v/>
      </c>
      <c r="J489" s="38" t="str">
        <f>IF(Data!I479="","",IF(ISNUMBER(MATCH(Data!J479,Data_Val!$A$2:$A$3,0)),0,1))</f>
        <v/>
      </c>
      <c r="K489" s="38" t="str">
        <f ca="1">IF(Data!I479="","",IF(ISNUMBER(Data!K479),IF(AND(Data!K479&gt;(TODAY()-(Data_Val!$K$3*365.25)),Data!K479&lt;=(TODAY()-(Data_Val!$K$2*365.25))),0,1),1))</f>
        <v/>
      </c>
      <c r="L489" s="16" t="str">
        <f>IF(Data!G479="","",IF(Data!G479=Data_Val!$C$2,IF(Data!L479="",0,1),0))</f>
        <v/>
      </c>
      <c r="M489" s="16" t="str">
        <f>IF(Data!L479="","",IF(ISNUMBER(MATCH(Data!M479,Data_Val!$A$2:$A$3,0)),0,1))</f>
        <v/>
      </c>
      <c r="N489" s="43" t="str">
        <f ca="1">IF(Data!L479="","",IF(ISNUMBER(Data!N479),IF(AND(Data!N479&gt;(TODAY()-(Data_Val!$L$3*365.25)),Data!N479&lt;=(TODAY()-(Data_Val!$L$2*365.25))),0,1),1))</f>
        <v/>
      </c>
      <c r="O489" s="18" t="str">
        <f>IF(Data!$G479="","",IF(Data!$G479=Data_Val!$C$2,IF(Data!O479="",0,1),0))</f>
        <v/>
      </c>
      <c r="P489" s="18" t="str">
        <f>IF(Data!O479="","",IF(ISNUMBER(MATCH(Data!P479,Data_Val!$A$2:$A$3,0)),0,1))</f>
        <v/>
      </c>
      <c r="Q489" s="44" t="str">
        <f ca="1">IF(Data!O479="","",IF(ISNUMBER(Data!Q479),IF(AND(Data!Q479&gt;(TODAY()-(Data_Val!$L$3*365.25)),Data!Q479&lt;=(TODAY()-(Data_Val!$L$2*365.25))),0,1),1))</f>
        <v/>
      </c>
    </row>
    <row r="490" spans="1:17" ht="12" customHeight="1" x14ac:dyDescent="0.25">
      <c r="A490" s="36" t="str">
        <f>IF(Data!B480="","",IF(COUNTIFS(Data!A$1:'Data'!A480,Data!A480)&lt;=1,0,1))</f>
        <v/>
      </c>
      <c r="B490" s="36"/>
      <c r="C490" s="36" t="str">
        <f>IF(Data!C480="","",(IF(ISNUMBER(MATCH("*@*.?*",Data!C480,0)),0,1)+IF(COUNTIFS(Data!C$1:'Data'!C480,Data!C480)&gt;1,1,0)))</f>
        <v/>
      </c>
      <c r="D490" s="36" t="str">
        <f>IF(Data!B480="","",IF(ISNUMBER(Data!D480),IF(AND(Data!D480&gt;999999999,Data!D480&lt;=9999999999),IF(COUNTIFS(Data!D$1:'Data'!D480,Data!D480)&lt;=1,0,1),1),1))</f>
        <v/>
      </c>
      <c r="E490" s="36" t="str">
        <f>IF(Data!B480="","",IF(ISNUMBER(MATCH(Data!E480,Data_Val!$A$2:$A$3,0)),0,1))</f>
        <v/>
      </c>
      <c r="F490" s="36" t="str">
        <f ca="1">IF(Data!B480="","",IF(ISNUMBER(Data!F480),IF(AND(Data!F480&gt;(TODAY()-(Data_Val!$H$3*365.25)),Data!F480&lt;=(TODAY()-(Data_Val!$H$2*365.25))),0,1),1))</f>
        <v/>
      </c>
      <c r="G490" s="12" t="str">
        <f>IF(Data!B480="","",IF(AND(Data!G480="",Data!H480&lt;&gt;""),1,IF(ISNUMBER(MATCH(Data!G480,Data_Val!$C$2:$C$5,0)),0,1)))</f>
        <v/>
      </c>
      <c r="H490" s="12" t="str">
        <f>IF(Data!B480="","",IF(AND(Data!G480&lt;&gt;"",Data!H480=""),1,IF(Data!G480="",1,IF(ISNUMBER(MATCH(Data!H480,Data_Val!$D$2:$D$35,0)),0,1))))</f>
        <v/>
      </c>
      <c r="I490" s="38" t="str">
        <f>IF(Data!G480="","",IF(Data!G480=Data_Val!$C$2,IF(Data!I480="",0,1),0))</f>
        <v/>
      </c>
      <c r="J490" s="38" t="str">
        <f>IF(Data!I480="","",IF(ISNUMBER(MATCH(Data!J480,Data_Val!$A$2:$A$3,0)),0,1))</f>
        <v/>
      </c>
      <c r="K490" s="38" t="str">
        <f ca="1">IF(Data!I480="","",IF(ISNUMBER(Data!K480),IF(AND(Data!K480&gt;(TODAY()-(Data_Val!$K$3*365.25)),Data!K480&lt;=(TODAY()-(Data_Val!$K$2*365.25))),0,1),1))</f>
        <v/>
      </c>
      <c r="L490" s="16" t="str">
        <f>IF(Data!G480="","",IF(Data!G480=Data_Val!$C$2,IF(Data!L480="",0,1),0))</f>
        <v/>
      </c>
      <c r="M490" s="16" t="str">
        <f>IF(Data!L480="","",IF(ISNUMBER(MATCH(Data!M480,Data_Val!$A$2:$A$3,0)),0,1))</f>
        <v/>
      </c>
      <c r="N490" s="43" t="str">
        <f ca="1">IF(Data!L480="","",IF(ISNUMBER(Data!N480),IF(AND(Data!N480&gt;(TODAY()-(Data_Val!$L$3*365.25)),Data!N480&lt;=(TODAY()-(Data_Val!$L$2*365.25))),0,1),1))</f>
        <v/>
      </c>
      <c r="O490" s="18" t="str">
        <f>IF(Data!$G480="","",IF(Data!$G480=Data_Val!$C$2,IF(Data!O480="",0,1),0))</f>
        <v/>
      </c>
      <c r="P490" s="18" t="str">
        <f>IF(Data!O480="","",IF(ISNUMBER(MATCH(Data!P480,Data_Val!$A$2:$A$3,0)),0,1))</f>
        <v/>
      </c>
      <c r="Q490" s="44" t="str">
        <f ca="1">IF(Data!O480="","",IF(ISNUMBER(Data!Q480),IF(AND(Data!Q480&gt;(TODAY()-(Data_Val!$L$3*365.25)),Data!Q480&lt;=(TODAY()-(Data_Val!$L$2*365.25))),0,1),1))</f>
        <v/>
      </c>
    </row>
    <row r="491" spans="1:17" ht="12" customHeight="1" x14ac:dyDescent="0.25">
      <c r="A491" s="36" t="str">
        <f>IF(Data!B481="","",IF(COUNTIFS(Data!A$1:'Data'!A481,Data!A481)&lt;=1,0,1))</f>
        <v/>
      </c>
      <c r="B491" s="36"/>
      <c r="C491" s="36" t="str">
        <f>IF(Data!C481="","",(IF(ISNUMBER(MATCH("*@*.?*",Data!C481,0)),0,1)+IF(COUNTIFS(Data!C$1:'Data'!C481,Data!C481)&gt;1,1,0)))</f>
        <v/>
      </c>
      <c r="D491" s="36" t="str">
        <f>IF(Data!B481="","",IF(ISNUMBER(Data!D481),IF(AND(Data!D481&gt;999999999,Data!D481&lt;=9999999999),IF(COUNTIFS(Data!D$1:'Data'!D481,Data!D481)&lt;=1,0,1),1),1))</f>
        <v/>
      </c>
      <c r="E491" s="36" t="str">
        <f>IF(Data!B481="","",IF(ISNUMBER(MATCH(Data!E481,Data_Val!$A$2:$A$3,0)),0,1))</f>
        <v/>
      </c>
      <c r="F491" s="36" t="str">
        <f ca="1">IF(Data!B481="","",IF(ISNUMBER(Data!F481),IF(AND(Data!F481&gt;(TODAY()-(Data_Val!$H$3*365.25)),Data!F481&lt;=(TODAY()-(Data_Val!$H$2*365.25))),0,1),1))</f>
        <v/>
      </c>
      <c r="G491" s="12" t="str">
        <f>IF(Data!B481="","",IF(AND(Data!G481="",Data!H481&lt;&gt;""),1,IF(ISNUMBER(MATCH(Data!G481,Data_Val!$C$2:$C$5,0)),0,1)))</f>
        <v/>
      </c>
      <c r="H491" s="12" t="str">
        <f>IF(Data!B481="","",IF(AND(Data!G481&lt;&gt;"",Data!H481=""),1,IF(Data!G481="",1,IF(ISNUMBER(MATCH(Data!H481,Data_Val!$D$2:$D$35,0)),0,1))))</f>
        <v/>
      </c>
      <c r="I491" s="38" t="str">
        <f>IF(Data!G481="","",IF(Data!G481=Data_Val!$C$2,IF(Data!I481="",0,1),0))</f>
        <v/>
      </c>
      <c r="J491" s="38" t="str">
        <f>IF(Data!I481="","",IF(ISNUMBER(MATCH(Data!J481,Data_Val!$A$2:$A$3,0)),0,1))</f>
        <v/>
      </c>
      <c r="K491" s="38" t="str">
        <f ca="1">IF(Data!I481="","",IF(ISNUMBER(Data!K481),IF(AND(Data!K481&gt;(TODAY()-(Data_Val!$K$3*365.25)),Data!K481&lt;=(TODAY()-(Data_Val!$K$2*365.25))),0,1),1))</f>
        <v/>
      </c>
      <c r="L491" s="16" t="str">
        <f>IF(Data!G481="","",IF(Data!G481=Data_Val!$C$2,IF(Data!L481="",0,1),0))</f>
        <v/>
      </c>
      <c r="M491" s="16" t="str">
        <f>IF(Data!L481="","",IF(ISNUMBER(MATCH(Data!M481,Data_Val!$A$2:$A$3,0)),0,1))</f>
        <v/>
      </c>
      <c r="N491" s="43" t="str">
        <f ca="1">IF(Data!L481="","",IF(ISNUMBER(Data!N481),IF(AND(Data!N481&gt;(TODAY()-(Data_Val!$L$3*365.25)),Data!N481&lt;=(TODAY()-(Data_Val!$L$2*365.25))),0,1),1))</f>
        <v/>
      </c>
      <c r="O491" s="18" t="str">
        <f>IF(Data!$G481="","",IF(Data!$G481=Data_Val!$C$2,IF(Data!O481="",0,1),0))</f>
        <v/>
      </c>
      <c r="P491" s="18" t="str">
        <f>IF(Data!O481="","",IF(ISNUMBER(MATCH(Data!P481,Data_Val!$A$2:$A$3,0)),0,1))</f>
        <v/>
      </c>
      <c r="Q491" s="44" t="str">
        <f ca="1">IF(Data!O481="","",IF(ISNUMBER(Data!Q481),IF(AND(Data!Q481&gt;(TODAY()-(Data_Val!$L$3*365.25)),Data!Q481&lt;=(TODAY()-(Data_Val!$L$2*365.25))),0,1),1))</f>
        <v/>
      </c>
    </row>
    <row r="492" spans="1:17" ht="12" customHeight="1" x14ac:dyDescent="0.25">
      <c r="A492" s="36" t="str">
        <f>IF(Data!B482="","",IF(COUNTIFS(Data!A$1:'Data'!A482,Data!A482)&lt;=1,0,1))</f>
        <v/>
      </c>
      <c r="B492" s="36"/>
      <c r="C492" s="36" t="str">
        <f>IF(Data!C482="","",(IF(ISNUMBER(MATCH("*@*.?*",Data!C482,0)),0,1)+IF(COUNTIFS(Data!C$1:'Data'!C482,Data!C482)&gt;1,1,0)))</f>
        <v/>
      </c>
      <c r="D492" s="36" t="str">
        <f>IF(Data!B482="","",IF(ISNUMBER(Data!D482),IF(AND(Data!D482&gt;999999999,Data!D482&lt;=9999999999),IF(COUNTIFS(Data!D$1:'Data'!D482,Data!D482)&lt;=1,0,1),1),1))</f>
        <v/>
      </c>
      <c r="E492" s="36" t="str">
        <f>IF(Data!B482="","",IF(ISNUMBER(MATCH(Data!E482,Data_Val!$A$2:$A$3,0)),0,1))</f>
        <v/>
      </c>
      <c r="F492" s="36" t="str">
        <f ca="1">IF(Data!B482="","",IF(ISNUMBER(Data!F482),IF(AND(Data!F482&gt;(TODAY()-(Data_Val!$H$3*365.25)),Data!F482&lt;=(TODAY()-(Data_Val!$H$2*365.25))),0,1),1))</f>
        <v/>
      </c>
      <c r="G492" s="12" t="str">
        <f>IF(Data!B482="","",IF(AND(Data!G482="",Data!H482&lt;&gt;""),1,IF(ISNUMBER(MATCH(Data!G482,Data_Val!$C$2:$C$5,0)),0,1)))</f>
        <v/>
      </c>
      <c r="H492" s="12" t="str">
        <f>IF(Data!B482="","",IF(AND(Data!G482&lt;&gt;"",Data!H482=""),1,IF(Data!G482="",1,IF(ISNUMBER(MATCH(Data!H482,Data_Val!$D$2:$D$35,0)),0,1))))</f>
        <v/>
      </c>
      <c r="I492" s="38" t="str">
        <f>IF(Data!G482="","",IF(Data!G482=Data_Val!$C$2,IF(Data!I482="",0,1),0))</f>
        <v/>
      </c>
      <c r="J492" s="38" t="str">
        <f>IF(Data!I482="","",IF(ISNUMBER(MATCH(Data!J482,Data_Val!$A$2:$A$3,0)),0,1))</f>
        <v/>
      </c>
      <c r="K492" s="38" t="str">
        <f ca="1">IF(Data!I482="","",IF(ISNUMBER(Data!K482),IF(AND(Data!K482&gt;(TODAY()-(Data_Val!$K$3*365.25)),Data!K482&lt;=(TODAY()-(Data_Val!$K$2*365.25))),0,1),1))</f>
        <v/>
      </c>
      <c r="L492" s="16" t="str">
        <f>IF(Data!G482="","",IF(Data!G482=Data_Val!$C$2,IF(Data!L482="",0,1),0))</f>
        <v/>
      </c>
      <c r="M492" s="16" t="str">
        <f>IF(Data!L482="","",IF(ISNUMBER(MATCH(Data!M482,Data_Val!$A$2:$A$3,0)),0,1))</f>
        <v/>
      </c>
      <c r="N492" s="43" t="str">
        <f ca="1">IF(Data!L482="","",IF(ISNUMBER(Data!N482),IF(AND(Data!N482&gt;(TODAY()-(Data_Val!$L$3*365.25)),Data!N482&lt;=(TODAY()-(Data_Val!$L$2*365.25))),0,1),1))</f>
        <v/>
      </c>
      <c r="O492" s="18" t="str">
        <f>IF(Data!$G482="","",IF(Data!$G482=Data_Val!$C$2,IF(Data!O482="",0,1),0))</f>
        <v/>
      </c>
      <c r="P492" s="18" t="str">
        <f>IF(Data!O482="","",IF(ISNUMBER(MATCH(Data!P482,Data_Val!$A$2:$A$3,0)),0,1))</f>
        <v/>
      </c>
      <c r="Q492" s="44" t="str">
        <f ca="1">IF(Data!O482="","",IF(ISNUMBER(Data!Q482),IF(AND(Data!Q482&gt;(TODAY()-(Data_Val!$L$3*365.25)),Data!Q482&lt;=(TODAY()-(Data_Val!$L$2*365.25))),0,1),1))</f>
        <v/>
      </c>
    </row>
    <row r="493" spans="1:17" ht="12" customHeight="1" x14ac:dyDescent="0.25">
      <c r="A493" s="36" t="str">
        <f>IF(Data!B483="","",IF(COUNTIFS(Data!A$1:'Data'!A483,Data!A483)&lt;=1,0,1))</f>
        <v/>
      </c>
      <c r="B493" s="36"/>
      <c r="C493" s="36" t="str">
        <f>IF(Data!C483="","",(IF(ISNUMBER(MATCH("*@*.?*",Data!C483,0)),0,1)+IF(COUNTIFS(Data!C$1:'Data'!C483,Data!C483)&gt;1,1,0)))</f>
        <v/>
      </c>
      <c r="D493" s="36" t="str">
        <f>IF(Data!B483="","",IF(ISNUMBER(Data!D483),IF(AND(Data!D483&gt;999999999,Data!D483&lt;=9999999999),IF(COUNTIFS(Data!D$1:'Data'!D483,Data!D483)&lt;=1,0,1),1),1))</f>
        <v/>
      </c>
      <c r="E493" s="36" t="str">
        <f>IF(Data!B483="","",IF(ISNUMBER(MATCH(Data!E483,Data_Val!$A$2:$A$3,0)),0,1))</f>
        <v/>
      </c>
      <c r="F493" s="36" t="str">
        <f ca="1">IF(Data!B483="","",IF(ISNUMBER(Data!F483),IF(AND(Data!F483&gt;(TODAY()-(Data_Val!$H$3*365.25)),Data!F483&lt;=(TODAY()-(Data_Val!$H$2*365.25))),0,1),1))</f>
        <v/>
      </c>
      <c r="G493" s="12" t="str">
        <f>IF(Data!B483="","",IF(AND(Data!G483="",Data!H483&lt;&gt;""),1,IF(ISNUMBER(MATCH(Data!G483,Data_Val!$C$2:$C$5,0)),0,1)))</f>
        <v/>
      </c>
      <c r="H493" s="12" t="str">
        <f>IF(Data!B483="","",IF(AND(Data!G483&lt;&gt;"",Data!H483=""),1,IF(Data!G483="",1,IF(ISNUMBER(MATCH(Data!H483,Data_Val!$D$2:$D$35,0)),0,1))))</f>
        <v/>
      </c>
      <c r="I493" s="38" t="str">
        <f>IF(Data!G483="","",IF(Data!G483=Data_Val!$C$2,IF(Data!I483="",0,1),0))</f>
        <v/>
      </c>
      <c r="J493" s="38" t="str">
        <f>IF(Data!I483="","",IF(ISNUMBER(MATCH(Data!J483,Data_Val!$A$2:$A$3,0)),0,1))</f>
        <v/>
      </c>
      <c r="K493" s="38" t="str">
        <f ca="1">IF(Data!I483="","",IF(ISNUMBER(Data!K483),IF(AND(Data!K483&gt;(TODAY()-(Data_Val!$K$3*365.25)),Data!K483&lt;=(TODAY()-(Data_Val!$K$2*365.25))),0,1),1))</f>
        <v/>
      </c>
      <c r="L493" s="16" t="str">
        <f>IF(Data!G483="","",IF(Data!G483=Data_Val!$C$2,IF(Data!L483="",0,1),0))</f>
        <v/>
      </c>
      <c r="M493" s="16" t="str">
        <f>IF(Data!L483="","",IF(ISNUMBER(MATCH(Data!M483,Data_Val!$A$2:$A$3,0)),0,1))</f>
        <v/>
      </c>
      <c r="N493" s="43" t="str">
        <f ca="1">IF(Data!L483="","",IF(ISNUMBER(Data!N483),IF(AND(Data!N483&gt;(TODAY()-(Data_Val!$L$3*365.25)),Data!N483&lt;=(TODAY()-(Data_Val!$L$2*365.25))),0,1),1))</f>
        <v/>
      </c>
      <c r="O493" s="18" t="str">
        <f>IF(Data!$G483="","",IF(Data!$G483=Data_Val!$C$2,IF(Data!O483="",0,1),0))</f>
        <v/>
      </c>
      <c r="P493" s="18" t="str">
        <f>IF(Data!O483="","",IF(ISNUMBER(MATCH(Data!P483,Data_Val!$A$2:$A$3,0)),0,1))</f>
        <v/>
      </c>
      <c r="Q493" s="44" t="str">
        <f ca="1">IF(Data!O483="","",IF(ISNUMBER(Data!Q483),IF(AND(Data!Q483&gt;(TODAY()-(Data_Val!$L$3*365.25)),Data!Q483&lt;=(TODAY()-(Data_Val!$L$2*365.25))),0,1),1))</f>
        <v/>
      </c>
    </row>
    <row r="494" spans="1:17" ht="12" customHeight="1" x14ac:dyDescent="0.25">
      <c r="A494" s="36" t="str">
        <f>IF(Data!B484="","",IF(COUNTIFS(Data!A$1:'Data'!A484,Data!A484)&lt;=1,0,1))</f>
        <v/>
      </c>
      <c r="B494" s="36"/>
      <c r="C494" s="36" t="str">
        <f>IF(Data!C484="","",(IF(ISNUMBER(MATCH("*@*.?*",Data!C484,0)),0,1)+IF(COUNTIFS(Data!C$1:'Data'!C484,Data!C484)&gt;1,1,0)))</f>
        <v/>
      </c>
      <c r="D494" s="36" t="str">
        <f>IF(Data!B484="","",IF(ISNUMBER(Data!D484),IF(AND(Data!D484&gt;999999999,Data!D484&lt;=9999999999),IF(COUNTIFS(Data!D$1:'Data'!D484,Data!D484)&lt;=1,0,1),1),1))</f>
        <v/>
      </c>
      <c r="E494" s="36" t="str">
        <f>IF(Data!B484="","",IF(ISNUMBER(MATCH(Data!E484,Data_Val!$A$2:$A$3,0)),0,1))</f>
        <v/>
      </c>
      <c r="F494" s="36" t="str">
        <f ca="1">IF(Data!B484="","",IF(ISNUMBER(Data!F484),IF(AND(Data!F484&gt;(TODAY()-(Data_Val!$H$3*365.25)),Data!F484&lt;=(TODAY()-(Data_Val!$H$2*365.25))),0,1),1))</f>
        <v/>
      </c>
      <c r="G494" s="12" t="str">
        <f>IF(Data!B484="","",IF(AND(Data!G484="",Data!H484&lt;&gt;""),1,IF(ISNUMBER(MATCH(Data!G484,Data_Val!$C$2:$C$5,0)),0,1)))</f>
        <v/>
      </c>
      <c r="H494" s="12" t="str">
        <f>IF(Data!B484="","",IF(AND(Data!G484&lt;&gt;"",Data!H484=""),1,IF(Data!G484="",1,IF(ISNUMBER(MATCH(Data!H484,Data_Val!$D$2:$D$35,0)),0,1))))</f>
        <v/>
      </c>
      <c r="I494" s="38" t="str">
        <f>IF(Data!G484="","",IF(Data!G484=Data_Val!$C$2,IF(Data!I484="",0,1),0))</f>
        <v/>
      </c>
      <c r="J494" s="38" t="str">
        <f>IF(Data!I484="","",IF(ISNUMBER(MATCH(Data!J484,Data_Val!$A$2:$A$3,0)),0,1))</f>
        <v/>
      </c>
      <c r="K494" s="38" t="str">
        <f ca="1">IF(Data!I484="","",IF(ISNUMBER(Data!K484),IF(AND(Data!K484&gt;(TODAY()-(Data_Val!$K$3*365.25)),Data!K484&lt;=(TODAY()-(Data_Val!$K$2*365.25))),0,1),1))</f>
        <v/>
      </c>
      <c r="L494" s="16" t="str">
        <f>IF(Data!G484="","",IF(Data!G484=Data_Val!$C$2,IF(Data!L484="",0,1),0))</f>
        <v/>
      </c>
      <c r="M494" s="16" t="str">
        <f>IF(Data!L484="","",IF(ISNUMBER(MATCH(Data!M484,Data_Val!$A$2:$A$3,0)),0,1))</f>
        <v/>
      </c>
      <c r="N494" s="43" t="str">
        <f ca="1">IF(Data!L484="","",IF(ISNUMBER(Data!N484),IF(AND(Data!N484&gt;(TODAY()-(Data_Val!$L$3*365.25)),Data!N484&lt;=(TODAY()-(Data_Val!$L$2*365.25))),0,1),1))</f>
        <v/>
      </c>
      <c r="O494" s="18" t="str">
        <f>IF(Data!$G484="","",IF(Data!$G484=Data_Val!$C$2,IF(Data!O484="",0,1),0))</f>
        <v/>
      </c>
      <c r="P494" s="18" t="str">
        <f>IF(Data!O484="","",IF(ISNUMBER(MATCH(Data!P484,Data_Val!$A$2:$A$3,0)),0,1))</f>
        <v/>
      </c>
      <c r="Q494" s="44" t="str">
        <f ca="1">IF(Data!O484="","",IF(ISNUMBER(Data!Q484),IF(AND(Data!Q484&gt;(TODAY()-(Data_Val!$L$3*365.25)),Data!Q484&lt;=(TODAY()-(Data_Val!$L$2*365.25))),0,1),1))</f>
        <v/>
      </c>
    </row>
    <row r="495" spans="1:17" ht="12" customHeight="1" x14ac:dyDescent="0.25">
      <c r="A495" s="36" t="str">
        <f>IF(Data!B485="","",IF(COUNTIFS(Data!A$1:'Data'!A485,Data!A485)&lt;=1,0,1))</f>
        <v/>
      </c>
      <c r="B495" s="36"/>
      <c r="C495" s="36" t="str">
        <f>IF(Data!C485="","",(IF(ISNUMBER(MATCH("*@*.?*",Data!C485,0)),0,1)+IF(COUNTIFS(Data!C$1:'Data'!C485,Data!C485)&gt;1,1,0)))</f>
        <v/>
      </c>
      <c r="D495" s="36" t="str">
        <f>IF(Data!B485="","",IF(ISNUMBER(Data!D485),IF(AND(Data!D485&gt;999999999,Data!D485&lt;=9999999999),IF(COUNTIFS(Data!D$1:'Data'!D485,Data!D485)&lt;=1,0,1),1),1))</f>
        <v/>
      </c>
      <c r="E495" s="36" t="str">
        <f>IF(Data!B485="","",IF(ISNUMBER(MATCH(Data!E485,Data_Val!$A$2:$A$3,0)),0,1))</f>
        <v/>
      </c>
      <c r="F495" s="36" t="str">
        <f ca="1">IF(Data!B485="","",IF(ISNUMBER(Data!F485),IF(AND(Data!F485&gt;(TODAY()-(Data_Val!$H$3*365.25)),Data!F485&lt;=(TODAY()-(Data_Val!$H$2*365.25))),0,1),1))</f>
        <v/>
      </c>
      <c r="G495" s="12" t="str">
        <f>IF(Data!B485="","",IF(AND(Data!G485="",Data!H485&lt;&gt;""),1,IF(ISNUMBER(MATCH(Data!G485,Data_Val!$C$2:$C$5,0)),0,1)))</f>
        <v/>
      </c>
      <c r="H495" s="12" t="str">
        <f>IF(Data!B485="","",IF(AND(Data!G485&lt;&gt;"",Data!H485=""),1,IF(Data!G485="",1,IF(ISNUMBER(MATCH(Data!H485,Data_Val!$D$2:$D$35,0)),0,1))))</f>
        <v/>
      </c>
      <c r="I495" s="38" t="str">
        <f>IF(Data!G485="","",IF(Data!G485=Data_Val!$C$2,IF(Data!I485="",0,1),0))</f>
        <v/>
      </c>
      <c r="J495" s="38" t="str">
        <f>IF(Data!I485="","",IF(ISNUMBER(MATCH(Data!J485,Data_Val!$A$2:$A$3,0)),0,1))</f>
        <v/>
      </c>
      <c r="K495" s="38" t="str">
        <f ca="1">IF(Data!I485="","",IF(ISNUMBER(Data!K485),IF(AND(Data!K485&gt;(TODAY()-(Data_Val!$K$3*365.25)),Data!K485&lt;=(TODAY()-(Data_Val!$K$2*365.25))),0,1),1))</f>
        <v/>
      </c>
      <c r="L495" s="16" t="str">
        <f>IF(Data!G485="","",IF(Data!G485=Data_Val!$C$2,IF(Data!L485="",0,1),0))</f>
        <v/>
      </c>
      <c r="M495" s="16" t="str">
        <f>IF(Data!L485="","",IF(ISNUMBER(MATCH(Data!M485,Data_Val!$A$2:$A$3,0)),0,1))</f>
        <v/>
      </c>
      <c r="N495" s="43" t="str">
        <f ca="1">IF(Data!L485="","",IF(ISNUMBER(Data!N485),IF(AND(Data!N485&gt;(TODAY()-(Data_Val!$L$3*365.25)),Data!N485&lt;=(TODAY()-(Data_Val!$L$2*365.25))),0,1),1))</f>
        <v/>
      </c>
      <c r="O495" s="18" t="str">
        <f>IF(Data!$G485="","",IF(Data!$G485=Data_Val!$C$2,IF(Data!O485="",0,1),0))</f>
        <v/>
      </c>
      <c r="P495" s="18" t="str">
        <f>IF(Data!O485="","",IF(ISNUMBER(MATCH(Data!P485,Data_Val!$A$2:$A$3,0)),0,1))</f>
        <v/>
      </c>
      <c r="Q495" s="44" t="str">
        <f ca="1">IF(Data!O485="","",IF(ISNUMBER(Data!Q485),IF(AND(Data!Q485&gt;(TODAY()-(Data_Val!$L$3*365.25)),Data!Q485&lt;=(TODAY()-(Data_Val!$L$2*365.25))),0,1),1))</f>
        <v/>
      </c>
    </row>
    <row r="496" spans="1:17" ht="12" customHeight="1" x14ac:dyDescent="0.25">
      <c r="A496" s="36" t="str">
        <f>IF(Data!B486="","",IF(COUNTIFS(Data!A$1:'Data'!A486,Data!A486)&lt;=1,0,1))</f>
        <v/>
      </c>
      <c r="B496" s="36"/>
      <c r="C496" s="36" t="str">
        <f>IF(Data!C486="","",(IF(ISNUMBER(MATCH("*@*.?*",Data!C486,0)),0,1)+IF(COUNTIFS(Data!C$1:'Data'!C486,Data!C486)&gt;1,1,0)))</f>
        <v/>
      </c>
      <c r="D496" s="36" t="str">
        <f>IF(Data!B486="","",IF(ISNUMBER(Data!D486),IF(AND(Data!D486&gt;999999999,Data!D486&lt;=9999999999),IF(COUNTIFS(Data!D$1:'Data'!D486,Data!D486)&lt;=1,0,1),1),1))</f>
        <v/>
      </c>
      <c r="E496" s="36" t="str">
        <f>IF(Data!B486="","",IF(ISNUMBER(MATCH(Data!E486,Data_Val!$A$2:$A$3,0)),0,1))</f>
        <v/>
      </c>
      <c r="F496" s="36" t="str">
        <f ca="1">IF(Data!B486="","",IF(ISNUMBER(Data!F486),IF(AND(Data!F486&gt;(TODAY()-(Data_Val!$H$3*365.25)),Data!F486&lt;=(TODAY()-(Data_Val!$H$2*365.25))),0,1),1))</f>
        <v/>
      </c>
      <c r="G496" s="12" t="str">
        <f>IF(Data!B486="","",IF(AND(Data!G486="",Data!H486&lt;&gt;""),1,IF(ISNUMBER(MATCH(Data!G486,Data_Val!$C$2:$C$5,0)),0,1)))</f>
        <v/>
      </c>
      <c r="H496" s="12" t="str">
        <f>IF(Data!B486="","",IF(AND(Data!G486&lt;&gt;"",Data!H486=""),1,IF(Data!G486="",1,IF(ISNUMBER(MATCH(Data!H486,Data_Val!$D$2:$D$35,0)),0,1))))</f>
        <v/>
      </c>
      <c r="I496" s="38" t="str">
        <f>IF(Data!G486="","",IF(Data!G486=Data_Val!$C$2,IF(Data!I486="",0,1),0))</f>
        <v/>
      </c>
      <c r="J496" s="38" t="str">
        <f>IF(Data!I486="","",IF(ISNUMBER(MATCH(Data!J486,Data_Val!$A$2:$A$3,0)),0,1))</f>
        <v/>
      </c>
      <c r="K496" s="38" t="str">
        <f ca="1">IF(Data!I486="","",IF(ISNUMBER(Data!K486),IF(AND(Data!K486&gt;(TODAY()-(Data_Val!$K$3*365.25)),Data!K486&lt;=(TODAY()-(Data_Val!$K$2*365.25))),0,1),1))</f>
        <v/>
      </c>
      <c r="L496" s="16" t="str">
        <f>IF(Data!G486="","",IF(Data!G486=Data_Val!$C$2,IF(Data!L486="",0,1),0))</f>
        <v/>
      </c>
      <c r="M496" s="16" t="str">
        <f>IF(Data!L486="","",IF(ISNUMBER(MATCH(Data!M486,Data_Val!$A$2:$A$3,0)),0,1))</f>
        <v/>
      </c>
      <c r="N496" s="43" t="str">
        <f ca="1">IF(Data!L486="","",IF(ISNUMBER(Data!N486),IF(AND(Data!N486&gt;(TODAY()-(Data_Val!$L$3*365.25)),Data!N486&lt;=(TODAY()-(Data_Val!$L$2*365.25))),0,1),1))</f>
        <v/>
      </c>
      <c r="O496" s="18" t="str">
        <f>IF(Data!$G486="","",IF(Data!$G486=Data_Val!$C$2,IF(Data!O486="",0,1),0))</f>
        <v/>
      </c>
      <c r="P496" s="18" t="str">
        <f>IF(Data!O486="","",IF(ISNUMBER(MATCH(Data!P486,Data_Val!$A$2:$A$3,0)),0,1))</f>
        <v/>
      </c>
      <c r="Q496" s="44" t="str">
        <f ca="1">IF(Data!O486="","",IF(ISNUMBER(Data!Q486),IF(AND(Data!Q486&gt;(TODAY()-(Data_Val!$L$3*365.25)),Data!Q486&lt;=(TODAY()-(Data_Val!$L$2*365.25))),0,1),1))</f>
        <v/>
      </c>
    </row>
    <row r="497" spans="1:17" ht="12" customHeight="1" x14ac:dyDescent="0.25">
      <c r="A497" s="36" t="str">
        <f>IF(Data!B487="","",IF(COUNTIFS(Data!A$1:'Data'!A487,Data!A487)&lt;=1,0,1))</f>
        <v/>
      </c>
      <c r="B497" s="36"/>
      <c r="C497" s="36" t="str">
        <f>IF(Data!C487="","",(IF(ISNUMBER(MATCH("*@*.?*",Data!C487,0)),0,1)+IF(COUNTIFS(Data!C$1:'Data'!C487,Data!C487)&gt;1,1,0)))</f>
        <v/>
      </c>
      <c r="D497" s="36" t="str">
        <f>IF(Data!B487="","",IF(ISNUMBER(Data!D487),IF(AND(Data!D487&gt;999999999,Data!D487&lt;=9999999999),IF(COUNTIFS(Data!D$1:'Data'!D487,Data!D487)&lt;=1,0,1),1),1))</f>
        <v/>
      </c>
      <c r="E497" s="36" t="str">
        <f>IF(Data!B487="","",IF(ISNUMBER(MATCH(Data!E487,Data_Val!$A$2:$A$3,0)),0,1))</f>
        <v/>
      </c>
      <c r="F497" s="36" t="str">
        <f ca="1">IF(Data!B487="","",IF(ISNUMBER(Data!F487),IF(AND(Data!F487&gt;(TODAY()-(Data_Val!$H$3*365.25)),Data!F487&lt;=(TODAY()-(Data_Val!$H$2*365.25))),0,1),1))</f>
        <v/>
      </c>
      <c r="G497" s="12" t="str">
        <f>IF(Data!B487="","",IF(AND(Data!G487="",Data!H487&lt;&gt;""),1,IF(ISNUMBER(MATCH(Data!G487,Data_Val!$C$2:$C$5,0)),0,1)))</f>
        <v/>
      </c>
      <c r="H497" s="12" t="str">
        <f>IF(Data!B487="","",IF(AND(Data!G487&lt;&gt;"",Data!H487=""),1,IF(Data!G487="",1,IF(ISNUMBER(MATCH(Data!H487,Data_Val!$D$2:$D$35,0)),0,1))))</f>
        <v/>
      </c>
      <c r="I497" s="38" t="str">
        <f>IF(Data!G487="","",IF(Data!G487=Data_Val!$C$2,IF(Data!I487="",0,1),0))</f>
        <v/>
      </c>
      <c r="J497" s="38" t="str">
        <f>IF(Data!I487="","",IF(ISNUMBER(MATCH(Data!J487,Data_Val!$A$2:$A$3,0)),0,1))</f>
        <v/>
      </c>
      <c r="K497" s="38" t="str">
        <f ca="1">IF(Data!I487="","",IF(ISNUMBER(Data!K487),IF(AND(Data!K487&gt;(TODAY()-(Data_Val!$K$3*365.25)),Data!K487&lt;=(TODAY()-(Data_Val!$K$2*365.25))),0,1),1))</f>
        <v/>
      </c>
      <c r="L497" s="16" t="str">
        <f>IF(Data!G487="","",IF(Data!G487=Data_Val!$C$2,IF(Data!L487="",0,1),0))</f>
        <v/>
      </c>
      <c r="M497" s="16" t="str">
        <f>IF(Data!L487="","",IF(ISNUMBER(MATCH(Data!M487,Data_Val!$A$2:$A$3,0)),0,1))</f>
        <v/>
      </c>
      <c r="N497" s="43" t="str">
        <f ca="1">IF(Data!L487="","",IF(ISNUMBER(Data!N487),IF(AND(Data!N487&gt;(TODAY()-(Data_Val!$L$3*365.25)),Data!N487&lt;=(TODAY()-(Data_Val!$L$2*365.25))),0,1),1))</f>
        <v/>
      </c>
      <c r="O497" s="18" t="str">
        <f>IF(Data!$G487="","",IF(Data!$G487=Data_Val!$C$2,IF(Data!O487="",0,1),0))</f>
        <v/>
      </c>
      <c r="P497" s="18" t="str">
        <f>IF(Data!O487="","",IF(ISNUMBER(MATCH(Data!P487,Data_Val!$A$2:$A$3,0)),0,1))</f>
        <v/>
      </c>
      <c r="Q497" s="44" t="str">
        <f ca="1">IF(Data!O487="","",IF(ISNUMBER(Data!Q487),IF(AND(Data!Q487&gt;(TODAY()-(Data_Val!$L$3*365.25)),Data!Q487&lt;=(TODAY()-(Data_Val!$L$2*365.25))),0,1),1))</f>
        <v/>
      </c>
    </row>
    <row r="498" spans="1:17" ht="12" customHeight="1" x14ac:dyDescent="0.25">
      <c r="A498" s="36" t="str">
        <f>IF(Data!B488="","",IF(COUNTIFS(Data!A$1:'Data'!A488,Data!A488)&lt;=1,0,1))</f>
        <v/>
      </c>
      <c r="B498" s="36"/>
      <c r="C498" s="36" t="str">
        <f>IF(Data!C488="","",(IF(ISNUMBER(MATCH("*@*.?*",Data!C488,0)),0,1)+IF(COUNTIFS(Data!C$1:'Data'!C488,Data!C488)&gt;1,1,0)))</f>
        <v/>
      </c>
      <c r="D498" s="36" t="str">
        <f>IF(Data!B488="","",IF(ISNUMBER(Data!D488),IF(AND(Data!D488&gt;999999999,Data!D488&lt;=9999999999),IF(COUNTIFS(Data!D$1:'Data'!D488,Data!D488)&lt;=1,0,1),1),1))</f>
        <v/>
      </c>
      <c r="E498" s="36" t="str">
        <f>IF(Data!B488="","",IF(ISNUMBER(MATCH(Data!E488,Data_Val!$A$2:$A$3,0)),0,1))</f>
        <v/>
      </c>
      <c r="F498" s="36" t="str">
        <f ca="1">IF(Data!B488="","",IF(ISNUMBER(Data!F488),IF(AND(Data!F488&gt;(TODAY()-(Data_Val!$H$3*365.25)),Data!F488&lt;=(TODAY()-(Data_Val!$H$2*365.25))),0,1),1))</f>
        <v/>
      </c>
      <c r="G498" s="12" t="str">
        <f>IF(Data!B488="","",IF(AND(Data!G488="",Data!H488&lt;&gt;""),1,IF(ISNUMBER(MATCH(Data!G488,Data_Val!$C$2:$C$5,0)),0,1)))</f>
        <v/>
      </c>
      <c r="H498" s="12" t="str">
        <f>IF(Data!B488="","",IF(AND(Data!G488&lt;&gt;"",Data!H488=""),1,IF(Data!G488="",1,IF(ISNUMBER(MATCH(Data!H488,Data_Val!$D$2:$D$35,0)),0,1))))</f>
        <v/>
      </c>
      <c r="I498" s="38" t="str">
        <f>IF(Data!G488="","",IF(Data!G488=Data_Val!$C$2,IF(Data!I488="",0,1),0))</f>
        <v/>
      </c>
      <c r="J498" s="38" t="str">
        <f>IF(Data!I488="","",IF(ISNUMBER(MATCH(Data!J488,Data_Val!$A$2:$A$3,0)),0,1))</f>
        <v/>
      </c>
      <c r="K498" s="38" t="str">
        <f ca="1">IF(Data!I488="","",IF(ISNUMBER(Data!K488),IF(AND(Data!K488&gt;(TODAY()-(Data_Val!$K$3*365.25)),Data!K488&lt;=(TODAY()-(Data_Val!$K$2*365.25))),0,1),1))</f>
        <v/>
      </c>
      <c r="L498" s="16" t="str">
        <f>IF(Data!G488="","",IF(Data!G488=Data_Val!$C$2,IF(Data!L488="",0,1),0))</f>
        <v/>
      </c>
      <c r="M498" s="16" t="str">
        <f>IF(Data!L488="","",IF(ISNUMBER(MATCH(Data!M488,Data_Val!$A$2:$A$3,0)),0,1))</f>
        <v/>
      </c>
      <c r="N498" s="43" t="str">
        <f ca="1">IF(Data!L488="","",IF(ISNUMBER(Data!N488),IF(AND(Data!N488&gt;(TODAY()-(Data_Val!$L$3*365.25)),Data!N488&lt;=(TODAY()-(Data_Val!$L$2*365.25))),0,1),1))</f>
        <v/>
      </c>
      <c r="O498" s="18" t="str">
        <f>IF(Data!$G488="","",IF(Data!$G488=Data_Val!$C$2,IF(Data!O488="",0,1),0))</f>
        <v/>
      </c>
      <c r="P498" s="18" t="str">
        <f>IF(Data!O488="","",IF(ISNUMBER(MATCH(Data!P488,Data_Val!$A$2:$A$3,0)),0,1))</f>
        <v/>
      </c>
      <c r="Q498" s="44" t="str">
        <f ca="1">IF(Data!O488="","",IF(ISNUMBER(Data!Q488),IF(AND(Data!Q488&gt;(TODAY()-(Data_Val!$L$3*365.25)),Data!Q488&lt;=(TODAY()-(Data_Val!$L$2*365.25))),0,1),1))</f>
        <v/>
      </c>
    </row>
    <row r="499" spans="1:17" ht="12" customHeight="1" x14ac:dyDescent="0.25">
      <c r="A499" s="36" t="str">
        <f>IF(Data!B489="","",IF(COUNTIFS(Data!A$1:'Data'!A489,Data!A489)&lt;=1,0,1))</f>
        <v/>
      </c>
      <c r="B499" s="36"/>
      <c r="C499" s="36" t="str">
        <f>IF(Data!C489="","",(IF(ISNUMBER(MATCH("*@*.?*",Data!C489,0)),0,1)+IF(COUNTIFS(Data!C$1:'Data'!C489,Data!C489)&gt;1,1,0)))</f>
        <v/>
      </c>
      <c r="D499" s="36" t="str">
        <f>IF(Data!B489="","",IF(ISNUMBER(Data!D489),IF(AND(Data!D489&gt;999999999,Data!D489&lt;=9999999999),IF(COUNTIFS(Data!D$1:'Data'!D489,Data!D489)&lt;=1,0,1),1),1))</f>
        <v/>
      </c>
      <c r="E499" s="36" t="str">
        <f>IF(Data!B489="","",IF(ISNUMBER(MATCH(Data!E489,Data_Val!$A$2:$A$3,0)),0,1))</f>
        <v/>
      </c>
      <c r="F499" s="36" t="str">
        <f ca="1">IF(Data!B489="","",IF(ISNUMBER(Data!F489),IF(AND(Data!F489&gt;(TODAY()-(Data_Val!$H$3*365.25)),Data!F489&lt;=(TODAY()-(Data_Val!$H$2*365.25))),0,1),1))</f>
        <v/>
      </c>
      <c r="G499" s="12" t="str">
        <f>IF(Data!B489="","",IF(AND(Data!G489="",Data!H489&lt;&gt;""),1,IF(ISNUMBER(MATCH(Data!G489,Data_Val!$C$2:$C$5,0)),0,1)))</f>
        <v/>
      </c>
      <c r="H499" s="12" t="str">
        <f>IF(Data!B489="","",IF(AND(Data!G489&lt;&gt;"",Data!H489=""),1,IF(Data!G489="",1,IF(ISNUMBER(MATCH(Data!H489,Data_Val!$D$2:$D$35,0)),0,1))))</f>
        <v/>
      </c>
      <c r="I499" s="38" t="str">
        <f>IF(Data!G489="","",IF(Data!G489=Data_Val!$C$2,IF(Data!I489="",0,1),0))</f>
        <v/>
      </c>
      <c r="J499" s="38" t="str">
        <f>IF(Data!I489="","",IF(ISNUMBER(MATCH(Data!J489,Data_Val!$A$2:$A$3,0)),0,1))</f>
        <v/>
      </c>
      <c r="K499" s="38" t="str">
        <f ca="1">IF(Data!I489="","",IF(ISNUMBER(Data!K489),IF(AND(Data!K489&gt;(TODAY()-(Data_Val!$K$3*365.25)),Data!K489&lt;=(TODAY()-(Data_Val!$K$2*365.25))),0,1),1))</f>
        <v/>
      </c>
      <c r="L499" s="16" t="str">
        <f>IF(Data!G489="","",IF(Data!G489=Data_Val!$C$2,IF(Data!L489="",0,1),0))</f>
        <v/>
      </c>
      <c r="M499" s="16" t="str">
        <f>IF(Data!L489="","",IF(ISNUMBER(MATCH(Data!M489,Data_Val!$A$2:$A$3,0)),0,1))</f>
        <v/>
      </c>
      <c r="N499" s="43" t="str">
        <f ca="1">IF(Data!L489="","",IF(ISNUMBER(Data!N489),IF(AND(Data!N489&gt;(TODAY()-(Data_Val!$L$3*365.25)),Data!N489&lt;=(TODAY()-(Data_Val!$L$2*365.25))),0,1),1))</f>
        <v/>
      </c>
      <c r="O499" s="18" t="str">
        <f>IF(Data!$G489="","",IF(Data!$G489=Data_Val!$C$2,IF(Data!O489="",0,1),0))</f>
        <v/>
      </c>
      <c r="P499" s="18" t="str">
        <f>IF(Data!O489="","",IF(ISNUMBER(MATCH(Data!P489,Data_Val!$A$2:$A$3,0)),0,1))</f>
        <v/>
      </c>
      <c r="Q499" s="44" t="str">
        <f ca="1">IF(Data!O489="","",IF(ISNUMBER(Data!Q489),IF(AND(Data!Q489&gt;(TODAY()-(Data_Val!$L$3*365.25)),Data!Q489&lt;=(TODAY()-(Data_Val!$L$2*365.25))),0,1),1))</f>
        <v/>
      </c>
    </row>
    <row r="500" spans="1:17" ht="12" customHeight="1" x14ac:dyDescent="0.25">
      <c r="A500" s="36" t="str">
        <f>IF(Data!B490="","",IF(COUNTIFS(Data!A$1:'Data'!A490,Data!A490)&lt;=1,0,1))</f>
        <v/>
      </c>
      <c r="B500" s="36"/>
      <c r="C500" s="36" t="str">
        <f>IF(Data!C490="","",(IF(ISNUMBER(MATCH("*@*.?*",Data!C490,0)),0,1)+IF(COUNTIFS(Data!C$1:'Data'!C490,Data!C490)&gt;1,1,0)))</f>
        <v/>
      </c>
      <c r="D500" s="36" t="str">
        <f>IF(Data!B490="","",IF(ISNUMBER(Data!D490),IF(AND(Data!D490&gt;999999999,Data!D490&lt;=9999999999),IF(COUNTIFS(Data!D$1:'Data'!D490,Data!D490)&lt;=1,0,1),1),1))</f>
        <v/>
      </c>
      <c r="E500" s="36" t="str">
        <f>IF(Data!B490="","",IF(ISNUMBER(MATCH(Data!E490,Data_Val!$A$2:$A$3,0)),0,1))</f>
        <v/>
      </c>
      <c r="F500" s="36" t="str">
        <f ca="1">IF(Data!B490="","",IF(ISNUMBER(Data!F490),IF(AND(Data!F490&gt;(TODAY()-(Data_Val!$H$3*365.25)),Data!F490&lt;=(TODAY()-(Data_Val!$H$2*365.25))),0,1),1))</f>
        <v/>
      </c>
      <c r="G500" s="12" t="str">
        <f>IF(Data!B490="","",IF(AND(Data!G490="",Data!H490&lt;&gt;""),1,IF(ISNUMBER(MATCH(Data!G490,Data_Val!$C$2:$C$5,0)),0,1)))</f>
        <v/>
      </c>
      <c r="H500" s="12" t="str">
        <f>IF(Data!B490="","",IF(AND(Data!G490&lt;&gt;"",Data!H490=""),1,IF(Data!G490="",1,IF(ISNUMBER(MATCH(Data!H490,Data_Val!$D$2:$D$35,0)),0,1))))</f>
        <v/>
      </c>
      <c r="I500" s="38" t="str">
        <f>IF(Data!G490="","",IF(Data!G490=Data_Val!$C$2,IF(Data!I490="",0,1),0))</f>
        <v/>
      </c>
      <c r="J500" s="38" t="str">
        <f>IF(Data!I490="","",IF(ISNUMBER(MATCH(Data!J490,Data_Val!$A$2:$A$3,0)),0,1))</f>
        <v/>
      </c>
      <c r="K500" s="38" t="str">
        <f ca="1">IF(Data!I490="","",IF(ISNUMBER(Data!K490),IF(AND(Data!K490&gt;(TODAY()-(Data_Val!$K$3*365.25)),Data!K490&lt;=(TODAY()-(Data_Val!$K$2*365.25))),0,1),1))</f>
        <v/>
      </c>
      <c r="L500" s="16" t="str">
        <f>IF(Data!G490="","",IF(Data!G490=Data_Val!$C$2,IF(Data!L490="",0,1),0))</f>
        <v/>
      </c>
      <c r="M500" s="16" t="str">
        <f>IF(Data!L490="","",IF(ISNUMBER(MATCH(Data!M490,Data_Val!$A$2:$A$3,0)),0,1))</f>
        <v/>
      </c>
      <c r="N500" s="43" t="str">
        <f ca="1">IF(Data!L490="","",IF(ISNUMBER(Data!N490),IF(AND(Data!N490&gt;(TODAY()-(Data_Val!$L$3*365.25)),Data!N490&lt;=(TODAY()-(Data_Val!$L$2*365.25))),0,1),1))</f>
        <v/>
      </c>
      <c r="O500" s="18" t="str">
        <f>IF(Data!$G490="","",IF(Data!$G490=Data_Val!$C$2,IF(Data!O490="",0,1),0))</f>
        <v/>
      </c>
      <c r="P500" s="18" t="str">
        <f>IF(Data!O490="","",IF(ISNUMBER(MATCH(Data!P490,Data_Val!$A$2:$A$3,0)),0,1))</f>
        <v/>
      </c>
      <c r="Q500" s="44" t="str">
        <f ca="1">IF(Data!O490="","",IF(ISNUMBER(Data!Q490),IF(AND(Data!Q490&gt;(TODAY()-(Data_Val!$L$3*365.25)),Data!Q490&lt;=(TODAY()-(Data_Val!$L$2*365.25))),0,1),1))</f>
        <v/>
      </c>
    </row>
    <row r="501" spans="1:17" ht="12" customHeight="1" x14ac:dyDescent="0.25">
      <c r="A501" s="36" t="str">
        <f>IF(Data!B491="","",IF(COUNTIFS(Data!A$1:'Data'!A491,Data!A491)&lt;=1,0,1))</f>
        <v/>
      </c>
      <c r="B501" s="36"/>
      <c r="C501" s="36" t="str">
        <f>IF(Data!C491="","",(IF(ISNUMBER(MATCH("*@*.?*",Data!C491,0)),0,1)+IF(COUNTIFS(Data!C$1:'Data'!C491,Data!C491)&gt;1,1,0)))</f>
        <v/>
      </c>
      <c r="D501" s="36" t="str">
        <f>IF(Data!B491="","",IF(ISNUMBER(Data!D491),IF(AND(Data!D491&gt;999999999,Data!D491&lt;=9999999999),IF(COUNTIFS(Data!D$1:'Data'!D491,Data!D491)&lt;=1,0,1),1),1))</f>
        <v/>
      </c>
      <c r="E501" s="36" t="str">
        <f>IF(Data!B491="","",IF(ISNUMBER(MATCH(Data!E491,Data_Val!$A$2:$A$3,0)),0,1))</f>
        <v/>
      </c>
      <c r="F501" s="36" t="str">
        <f ca="1">IF(Data!B491="","",IF(ISNUMBER(Data!F491),IF(AND(Data!F491&gt;(TODAY()-(Data_Val!$H$3*365.25)),Data!F491&lt;=(TODAY()-(Data_Val!$H$2*365.25))),0,1),1))</f>
        <v/>
      </c>
      <c r="G501" s="12" t="str">
        <f>IF(Data!B491="","",IF(AND(Data!G491="",Data!H491&lt;&gt;""),1,IF(ISNUMBER(MATCH(Data!G491,Data_Val!$C$2:$C$5,0)),0,1)))</f>
        <v/>
      </c>
      <c r="H501" s="12" t="str">
        <f>IF(Data!B491="","",IF(AND(Data!G491&lt;&gt;"",Data!H491=""),1,IF(Data!G491="",1,IF(ISNUMBER(MATCH(Data!H491,Data_Val!$D$2:$D$35,0)),0,1))))</f>
        <v/>
      </c>
      <c r="I501" s="38" t="str">
        <f>IF(Data!G491="","",IF(Data!G491=Data_Val!$C$2,IF(Data!I491="",0,1),0))</f>
        <v/>
      </c>
      <c r="J501" s="38" t="str">
        <f>IF(Data!I491="","",IF(ISNUMBER(MATCH(Data!J491,Data_Val!$A$2:$A$3,0)),0,1))</f>
        <v/>
      </c>
      <c r="K501" s="38" t="str">
        <f ca="1">IF(Data!I491="","",IF(ISNUMBER(Data!K491),IF(AND(Data!K491&gt;(TODAY()-(Data_Val!$K$3*365.25)),Data!K491&lt;=(TODAY()-(Data_Val!$K$2*365.25))),0,1),1))</f>
        <v/>
      </c>
      <c r="L501" s="16" t="str">
        <f>IF(Data!G491="","",IF(Data!G491=Data_Val!$C$2,IF(Data!L491="",0,1),0))</f>
        <v/>
      </c>
      <c r="M501" s="16" t="str">
        <f>IF(Data!L491="","",IF(ISNUMBER(MATCH(Data!M491,Data_Val!$A$2:$A$3,0)),0,1))</f>
        <v/>
      </c>
      <c r="N501" s="43" t="str">
        <f ca="1">IF(Data!L491="","",IF(ISNUMBER(Data!N491),IF(AND(Data!N491&gt;(TODAY()-(Data_Val!$L$3*365.25)),Data!N491&lt;=(TODAY()-(Data_Val!$L$2*365.25))),0,1),1))</f>
        <v/>
      </c>
      <c r="O501" s="18" t="str">
        <f>IF(Data!$G491="","",IF(Data!$G491=Data_Val!$C$2,IF(Data!O491="",0,1),0))</f>
        <v/>
      </c>
      <c r="P501" s="18" t="str">
        <f>IF(Data!O491="","",IF(ISNUMBER(MATCH(Data!P491,Data_Val!$A$2:$A$3,0)),0,1))</f>
        <v/>
      </c>
      <c r="Q501" s="44" t="str">
        <f ca="1">IF(Data!O491="","",IF(ISNUMBER(Data!Q491),IF(AND(Data!Q491&gt;(TODAY()-(Data_Val!$L$3*365.25)),Data!Q491&lt;=(TODAY()-(Data_Val!$L$2*365.25))),0,1),1))</f>
        <v/>
      </c>
    </row>
    <row r="502" spans="1:17" ht="12" customHeight="1" x14ac:dyDescent="0.25">
      <c r="A502" s="36" t="str">
        <f>IF(Data!B492="","",IF(COUNTIFS(Data!A$1:'Data'!A492,Data!A492)&lt;=1,0,1))</f>
        <v/>
      </c>
      <c r="B502" s="36"/>
      <c r="C502" s="36" t="str">
        <f>IF(Data!C492="","",(IF(ISNUMBER(MATCH("*@*.?*",Data!C492,0)),0,1)+IF(COUNTIFS(Data!C$1:'Data'!C492,Data!C492)&gt;1,1,0)))</f>
        <v/>
      </c>
      <c r="D502" s="36" t="str">
        <f>IF(Data!B492="","",IF(ISNUMBER(Data!D492),IF(AND(Data!D492&gt;999999999,Data!D492&lt;=9999999999),IF(COUNTIFS(Data!D$1:'Data'!D492,Data!D492)&lt;=1,0,1),1),1))</f>
        <v/>
      </c>
      <c r="E502" s="36" t="str">
        <f>IF(Data!B492="","",IF(ISNUMBER(MATCH(Data!E492,Data_Val!$A$2:$A$3,0)),0,1))</f>
        <v/>
      </c>
      <c r="F502" s="36" t="str">
        <f ca="1">IF(Data!B492="","",IF(ISNUMBER(Data!F492),IF(AND(Data!F492&gt;(TODAY()-(Data_Val!$H$3*365.25)),Data!F492&lt;=(TODAY()-(Data_Val!$H$2*365.25))),0,1),1))</f>
        <v/>
      </c>
      <c r="G502" s="12" t="str">
        <f>IF(Data!B492="","",IF(AND(Data!G492="",Data!H492&lt;&gt;""),1,IF(ISNUMBER(MATCH(Data!G492,Data_Val!$C$2:$C$5,0)),0,1)))</f>
        <v/>
      </c>
      <c r="H502" s="12" t="str">
        <f>IF(Data!B492="","",IF(AND(Data!G492&lt;&gt;"",Data!H492=""),1,IF(Data!G492="",1,IF(ISNUMBER(MATCH(Data!H492,Data_Val!$D$2:$D$35,0)),0,1))))</f>
        <v/>
      </c>
      <c r="I502" s="38" t="str">
        <f>IF(Data!G492="","",IF(Data!G492=Data_Val!$C$2,IF(Data!I492="",0,1),0))</f>
        <v/>
      </c>
      <c r="J502" s="38" t="str">
        <f>IF(Data!I492="","",IF(ISNUMBER(MATCH(Data!J492,Data_Val!$A$2:$A$3,0)),0,1))</f>
        <v/>
      </c>
      <c r="K502" s="38" t="str">
        <f ca="1">IF(Data!I492="","",IF(ISNUMBER(Data!K492),IF(AND(Data!K492&gt;(TODAY()-(Data_Val!$K$3*365.25)),Data!K492&lt;=(TODAY()-(Data_Val!$K$2*365.25))),0,1),1))</f>
        <v/>
      </c>
      <c r="L502" s="16" t="str">
        <f>IF(Data!G492="","",IF(Data!G492=Data_Val!$C$2,IF(Data!L492="",0,1),0))</f>
        <v/>
      </c>
      <c r="M502" s="16" t="str">
        <f>IF(Data!L492="","",IF(ISNUMBER(MATCH(Data!M492,Data_Val!$A$2:$A$3,0)),0,1))</f>
        <v/>
      </c>
      <c r="N502" s="43" t="str">
        <f ca="1">IF(Data!L492="","",IF(ISNUMBER(Data!N492),IF(AND(Data!N492&gt;(TODAY()-(Data_Val!$L$3*365.25)),Data!N492&lt;=(TODAY()-(Data_Val!$L$2*365.25))),0,1),1))</f>
        <v/>
      </c>
      <c r="O502" s="18" t="str">
        <f>IF(Data!$G492="","",IF(Data!$G492=Data_Val!$C$2,IF(Data!O492="",0,1),0))</f>
        <v/>
      </c>
      <c r="P502" s="18" t="str">
        <f>IF(Data!O492="","",IF(ISNUMBER(MATCH(Data!P492,Data_Val!$A$2:$A$3,0)),0,1))</f>
        <v/>
      </c>
      <c r="Q502" s="44" t="str">
        <f ca="1">IF(Data!O492="","",IF(ISNUMBER(Data!Q492),IF(AND(Data!Q492&gt;(TODAY()-(Data_Val!$L$3*365.25)),Data!Q492&lt;=(TODAY()-(Data_Val!$L$2*365.25))),0,1),1))</f>
        <v/>
      </c>
    </row>
    <row r="503" spans="1:17" ht="12" customHeight="1" x14ac:dyDescent="0.25">
      <c r="A503" s="36" t="str">
        <f>IF(Data!B493="","",IF(COUNTIFS(Data!A$1:'Data'!A493,Data!A493)&lt;=1,0,1))</f>
        <v/>
      </c>
      <c r="B503" s="36"/>
      <c r="C503" s="36" t="str">
        <f>IF(Data!C493="","",(IF(ISNUMBER(MATCH("*@*.?*",Data!C493,0)),0,1)+IF(COUNTIFS(Data!C$1:'Data'!C493,Data!C493)&gt;1,1,0)))</f>
        <v/>
      </c>
      <c r="D503" s="36" t="str">
        <f>IF(Data!B493="","",IF(ISNUMBER(Data!D493),IF(AND(Data!D493&gt;999999999,Data!D493&lt;=9999999999),IF(COUNTIFS(Data!D$1:'Data'!D493,Data!D493)&lt;=1,0,1),1),1))</f>
        <v/>
      </c>
      <c r="E503" s="36" t="str">
        <f>IF(Data!B493="","",IF(ISNUMBER(MATCH(Data!E493,Data_Val!$A$2:$A$3,0)),0,1))</f>
        <v/>
      </c>
      <c r="F503" s="36" t="str">
        <f ca="1">IF(Data!B493="","",IF(ISNUMBER(Data!F493),IF(AND(Data!F493&gt;(TODAY()-(Data_Val!$H$3*365.25)),Data!F493&lt;=(TODAY()-(Data_Val!$H$2*365.25))),0,1),1))</f>
        <v/>
      </c>
      <c r="G503" s="12" t="str">
        <f>IF(Data!B493="","",IF(AND(Data!G493="",Data!H493&lt;&gt;""),1,IF(ISNUMBER(MATCH(Data!G493,Data_Val!$C$2:$C$5,0)),0,1)))</f>
        <v/>
      </c>
      <c r="H503" s="12" t="str">
        <f>IF(Data!B493="","",IF(AND(Data!G493&lt;&gt;"",Data!H493=""),1,IF(Data!G493="",1,IF(ISNUMBER(MATCH(Data!H493,Data_Val!$D$2:$D$35,0)),0,1))))</f>
        <v/>
      </c>
      <c r="I503" s="38" t="str">
        <f>IF(Data!G493="","",IF(Data!G493=Data_Val!$C$2,IF(Data!I493="",0,1),0))</f>
        <v/>
      </c>
      <c r="J503" s="38" t="str">
        <f>IF(Data!I493="","",IF(ISNUMBER(MATCH(Data!J493,Data_Val!$A$2:$A$3,0)),0,1))</f>
        <v/>
      </c>
      <c r="K503" s="38" t="str">
        <f ca="1">IF(Data!I493="","",IF(ISNUMBER(Data!K493),IF(AND(Data!K493&gt;(TODAY()-(Data_Val!$K$3*365.25)),Data!K493&lt;=(TODAY()-(Data_Val!$K$2*365.25))),0,1),1))</f>
        <v/>
      </c>
      <c r="L503" s="16" t="str">
        <f>IF(Data!G493="","",IF(Data!G493=Data_Val!$C$2,IF(Data!L493="",0,1),0))</f>
        <v/>
      </c>
      <c r="M503" s="16" t="str">
        <f>IF(Data!L493="","",IF(ISNUMBER(MATCH(Data!M493,Data_Val!$A$2:$A$3,0)),0,1))</f>
        <v/>
      </c>
      <c r="N503" s="43" t="str">
        <f ca="1">IF(Data!L493="","",IF(ISNUMBER(Data!N493),IF(AND(Data!N493&gt;(TODAY()-(Data_Val!$L$3*365.25)),Data!N493&lt;=(TODAY()-(Data_Val!$L$2*365.25))),0,1),1))</f>
        <v/>
      </c>
      <c r="O503" s="18" t="str">
        <f>IF(Data!$G493="","",IF(Data!$G493=Data_Val!$C$2,IF(Data!O493="",0,1),0))</f>
        <v/>
      </c>
      <c r="P503" s="18" t="str">
        <f>IF(Data!O493="","",IF(ISNUMBER(MATCH(Data!P493,Data_Val!$A$2:$A$3,0)),0,1))</f>
        <v/>
      </c>
      <c r="Q503" s="44" t="str">
        <f ca="1">IF(Data!O493="","",IF(ISNUMBER(Data!Q493),IF(AND(Data!Q493&gt;(TODAY()-(Data_Val!$L$3*365.25)),Data!Q493&lt;=(TODAY()-(Data_Val!$L$2*365.25))),0,1),1))</f>
        <v/>
      </c>
    </row>
    <row r="504" spans="1:17" ht="12" customHeight="1" x14ac:dyDescent="0.25">
      <c r="A504" s="36" t="str">
        <f>IF(Data!B494="","",IF(COUNTIFS(Data!A$1:'Data'!A494,Data!A494)&lt;=1,0,1))</f>
        <v/>
      </c>
      <c r="B504" s="36"/>
      <c r="C504" s="36" t="str">
        <f>IF(Data!C494="","",(IF(ISNUMBER(MATCH("*@*.?*",Data!C494,0)),0,1)+IF(COUNTIFS(Data!C$1:'Data'!C494,Data!C494)&gt;1,1,0)))</f>
        <v/>
      </c>
      <c r="D504" s="36" t="str">
        <f>IF(Data!B494="","",IF(ISNUMBER(Data!D494),IF(AND(Data!D494&gt;999999999,Data!D494&lt;=9999999999),IF(COUNTIFS(Data!D$1:'Data'!D494,Data!D494)&lt;=1,0,1),1),1))</f>
        <v/>
      </c>
      <c r="E504" s="36" t="str">
        <f>IF(Data!B494="","",IF(ISNUMBER(MATCH(Data!E494,Data_Val!$A$2:$A$3,0)),0,1))</f>
        <v/>
      </c>
      <c r="F504" s="36" t="str">
        <f ca="1">IF(Data!B494="","",IF(ISNUMBER(Data!F494),IF(AND(Data!F494&gt;(TODAY()-(Data_Val!$H$3*365.25)),Data!F494&lt;=(TODAY()-(Data_Val!$H$2*365.25))),0,1),1))</f>
        <v/>
      </c>
      <c r="G504" s="12" t="str">
        <f>IF(Data!B494="","",IF(AND(Data!G494="",Data!H494&lt;&gt;""),1,IF(ISNUMBER(MATCH(Data!G494,Data_Val!$C$2:$C$5,0)),0,1)))</f>
        <v/>
      </c>
      <c r="H504" s="12" t="str">
        <f>IF(Data!B494="","",IF(AND(Data!G494&lt;&gt;"",Data!H494=""),1,IF(Data!G494="",1,IF(ISNUMBER(MATCH(Data!H494,Data_Val!$D$2:$D$35,0)),0,1))))</f>
        <v/>
      </c>
      <c r="I504" s="38" t="str">
        <f>IF(Data!G494="","",IF(Data!G494=Data_Val!$C$2,IF(Data!I494="",0,1),0))</f>
        <v/>
      </c>
      <c r="J504" s="38" t="str">
        <f>IF(Data!I494="","",IF(ISNUMBER(MATCH(Data!J494,Data_Val!$A$2:$A$3,0)),0,1))</f>
        <v/>
      </c>
      <c r="K504" s="38" t="str">
        <f ca="1">IF(Data!I494="","",IF(ISNUMBER(Data!K494),IF(AND(Data!K494&gt;(TODAY()-(Data_Val!$K$3*365.25)),Data!K494&lt;=(TODAY()-(Data_Val!$K$2*365.25))),0,1),1))</f>
        <v/>
      </c>
      <c r="L504" s="16" t="str">
        <f>IF(Data!G494="","",IF(Data!G494=Data_Val!$C$2,IF(Data!L494="",0,1),0))</f>
        <v/>
      </c>
      <c r="M504" s="16" t="str">
        <f>IF(Data!L494="","",IF(ISNUMBER(MATCH(Data!M494,Data_Val!$A$2:$A$3,0)),0,1))</f>
        <v/>
      </c>
      <c r="N504" s="43" t="str">
        <f ca="1">IF(Data!L494="","",IF(ISNUMBER(Data!N494),IF(AND(Data!N494&gt;(TODAY()-(Data_Val!$L$3*365.25)),Data!N494&lt;=(TODAY()-(Data_Val!$L$2*365.25))),0,1),1))</f>
        <v/>
      </c>
      <c r="O504" s="18" t="str">
        <f>IF(Data!$G494="","",IF(Data!$G494=Data_Val!$C$2,IF(Data!O494="",0,1),0))</f>
        <v/>
      </c>
      <c r="P504" s="18" t="str">
        <f>IF(Data!O494="","",IF(ISNUMBER(MATCH(Data!P494,Data_Val!$A$2:$A$3,0)),0,1))</f>
        <v/>
      </c>
      <c r="Q504" s="44" t="str">
        <f ca="1">IF(Data!O494="","",IF(ISNUMBER(Data!Q494),IF(AND(Data!Q494&gt;(TODAY()-(Data_Val!$L$3*365.25)),Data!Q494&lt;=(TODAY()-(Data_Val!$L$2*365.25))),0,1),1))</f>
        <v/>
      </c>
    </row>
    <row r="505" spans="1:17" ht="12" customHeight="1" x14ac:dyDescent="0.25">
      <c r="A505" s="36" t="str">
        <f>IF(Data!B495="","",IF(COUNTIFS(Data!A$1:'Data'!A495,Data!A495)&lt;=1,0,1))</f>
        <v/>
      </c>
      <c r="B505" s="36"/>
      <c r="C505" s="36" t="str">
        <f>IF(Data!C495="","",(IF(ISNUMBER(MATCH("*@*.?*",Data!C495,0)),0,1)+IF(COUNTIFS(Data!C$1:'Data'!C495,Data!C495)&gt;1,1,0)))</f>
        <v/>
      </c>
      <c r="D505" s="36" t="str">
        <f>IF(Data!B495="","",IF(ISNUMBER(Data!D495),IF(AND(Data!D495&gt;999999999,Data!D495&lt;=9999999999),IF(COUNTIFS(Data!D$1:'Data'!D495,Data!D495)&lt;=1,0,1),1),1))</f>
        <v/>
      </c>
      <c r="E505" s="36" t="str">
        <f>IF(Data!B495="","",IF(ISNUMBER(MATCH(Data!E495,Data_Val!$A$2:$A$3,0)),0,1))</f>
        <v/>
      </c>
      <c r="F505" s="36" t="str">
        <f ca="1">IF(Data!B495="","",IF(ISNUMBER(Data!F495),IF(AND(Data!F495&gt;(TODAY()-(Data_Val!$H$3*365.25)),Data!F495&lt;=(TODAY()-(Data_Val!$H$2*365.25))),0,1),1))</f>
        <v/>
      </c>
      <c r="G505" s="12" t="str">
        <f>IF(Data!B495="","",IF(AND(Data!G495="",Data!H495&lt;&gt;""),1,IF(ISNUMBER(MATCH(Data!G495,Data_Val!$C$2:$C$5,0)),0,1)))</f>
        <v/>
      </c>
      <c r="H505" s="12" t="str">
        <f>IF(Data!B495="","",IF(AND(Data!G495&lt;&gt;"",Data!H495=""),1,IF(Data!G495="",1,IF(ISNUMBER(MATCH(Data!H495,Data_Val!$D$2:$D$35,0)),0,1))))</f>
        <v/>
      </c>
      <c r="I505" s="38" t="str">
        <f>IF(Data!G495="","",IF(Data!G495=Data_Val!$C$2,IF(Data!I495="",0,1),0))</f>
        <v/>
      </c>
      <c r="J505" s="38" t="str">
        <f>IF(Data!I495="","",IF(ISNUMBER(MATCH(Data!J495,Data_Val!$A$2:$A$3,0)),0,1))</f>
        <v/>
      </c>
      <c r="K505" s="38" t="str">
        <f ca="1">IF(Data!I495="","",IF(ISNUMBER(Data!K495),IF(AND(Data!K495&gt;(TODAY()-(Data_Val!$K$3*365.25)),Data!K495&lt;=(TODAY()-(Data_Val!$K$2*365.25))),0,1),1))</f>
        <v/>
      </c>
      <c r="L505" s="16" t="str">
        <f>IF(Data!G495="","",IF(Data!G495=Data_Val!$C$2,IF(Data!L495="",0,1),0))</f>
        <v/>
      </c>
      <c r="M505" s="16" t="str">
        <f>IF(Data!L495="","",IF(ISNUMBER(MATCH(Data!M495,Data_Val!$A$2:$A$3,0)),0,1))</f>
        <v/>
      </c>
      <c r="N505" s="43" t="str">
        <f ca="1">IF(Data!L495="","",IF(ISNUMBER(Data!N495),IF(AND(Data!N495&gt;(TODAY()-(Data_Val!$L$3*365.25)),Data!N495&lt;=(TODAY()-(Data_Val!$L$2*365.25))),0,1),1))</f>
        <v/>
      </c>
      <c r="O505" s="18" t="str">
        <f>IF(Data!$G495="","",IF(Data!$G495=Data_Val!$C$2,IF(Data!O495="",0,1),0))</f>
        <v/>
      </c>
      <c r="P505" s="18" t="str">
        <f>IF(Data!O495="","",IF(ISNUMBER(MATCH(Data!P495,Data_Val!$A$2:$A$3,0)),0,1))</f>
        <v/>
      </c>
      <c r="Q505" s="44" t="str">
        <f ca="1">IF(Data!O495="","",IF(ISNUMBER(Data!Q495),IF(AND(Data!Q495&gt;(TODAY()-(Data_Val!$L$3*365.25)),Data!Q495&lt;=(TODAY()-(Data_Val!$L$2*365.25))),0,1),1))</f>
        <v/>
      </c>
    </row>
    <row r="506" spans="1:17" ht="12" customHeight="1" x14ac:dyDescent="0.25">
      <c r="A506" s="36" t="str">
        <f>IF(Data!B496="","",IF(COUNTIFS(Data!A$1:'Data'!A496,Data!A496)&lt;=1,0,1))</f>
        <v/>
      </c>
      <c r="B506" s="36"/>
      <c r="C506" s="36" t="str">
        <f>IF(Data!C496="","",(IF(ISNUMBER(MATCH("*@*.?*",Data!C496,0)),0,1)+IF(COUNTIFS(Data!C$1:'Data'!C496,Data!C496)&gt;1,1,0)))</f>
        <v/>
      </c>
      <c r="D506" s="36" t="str">
        <f>IF(Data!B496="","",IF(ISNUMBER(Data!D496),IF(AND(Data!D496&gt;999999999,Data!D496&lt;=9999999999),IF(COUNTIFS(Data!D$1:'Data'!D496,Data!D496)&lt;=1,0,1),1),1))</f>
        <v/>
      </c>
      <c r="E506" s="36" t="str">
        <f>IF(Data!B496="","",IF(ISNUMBER(MATCH(Data!E496,Data_Val!$A$2:$A$3,0)),0,1))</f>
        <v/>
      </c>
      <c r="F506" s="36" t="str">
        <f ca="1">IF(Data!B496="","",IF(ISNUMBER(Data!F496),IF(AND(Data!F496&gt;(TODAY()-(Data_Val!$H$3*365.25)),Data!F496&lt;=(TODAY()-(Data_Val!$H$2*365.25))),0,1),1))</f>
        <v/>
      </c>
      <c r="G506" s="12" t="str">
        <f>IF(Data!B496="","",IF(AND(Data!G496="",Data!H496&lt;&gt;""),1,IF(ISNUMBER(MATCH(Data!G496,Data_Val!$C$2:$C$5,0)),0,1)))</f>
        <v/>
      </c>
      <c r="H506" s="12" t="str">
        <f>IF(Data!B496="","",IF(AND(Data!G496&lt;&gt;"",Data!H496=""),1,IF(Data!G496="",1,IF(ISNUMBER(MATCH(Data!H496,Data_Val!$D$2:$D$35,0)),0,1))))</f>
        <v/>
      </c>
      <c r="I506" s="38" t="str">
        <f>IF(Data!G496="","",IF(Data!G496=Data_Val!$C$2,IF(Data!I496="",0,1),0))</f>
        <v/>
      </c>
      <c r="J506" s="38" t="str">
        <f>IF(Data!I496="","",IF(ISNUMBER(MATCH(Data!J496,Data_Val!$A$2:$A$3,0)),0,1))</f>
        <v/>
      </c>
      <c r="K506" s="38" t="str">
        <f ca="1">IF(Data!I496="","",IF(ISNUMBER(Data!K496),IF(AND(Data!K496&gt;(TODAY()-(Data_Val!$K$3*365.25)),Data!K496&lt;=(TODAY()-(Data_Val!$K$2*365.25))),0,1),1))</f>
        <v/>
      </c>
      <c r="L506" s="16" t="str">
        <f>IF(Data!G496="","",IF(Data!G496=Data_Val!$C$2,IF(Data!L496="",0,1),0))</f>
        <v/>
      </c>
      <c r="M506" s="16" t="str">
        <f>IF(Data!L496="","",IF(ISNUMBER(MATCH(Data!M496,Data_Val!$A$2:$A$3,0)),0,1))</f>
        <v/>
      </c>
      <c r="N506" s="43" t="str">
        <f ca="1">IF(Data!L496="","",IF(ISNUMBER(Data!N496),IF(AND(Data!N496&gt;(TODAY()-(Data_Val!$L$3*365.25)),Data!N496&lt;=(TODAY()-(Data_Val!$L$2*365.25))),0,1),1))</f>
        <v/>
      </c>
      <c r="O506" s="18" t="str">
        <f>IF(Data!$G496="","",IF(Data!$G496=Data_Val!$C$2,IF(Data!O496="",0,1),0))</f>
        <v/>
      </c>
      <c r="P506" s="18" t="str">
        <f>IF(Data!O496="","",IF(ISNUMBER(MATCH(Data!P496,Data_Val!$A$2:$A$3,0)),0,1))</f>
        <v/>
      </c>
      <c r="Q506" s="44" t="str">
        <f ca="1">IF(Data!O496="","",IF(ISNUMBER(Data!Q496),IF(AND(Data!Q496&gt;(TODAY()-(Data_Val!$L$3*365.25)),Data!Q496&lt;=(TODAY()-(Data_Val!$L$2*365.25))),0,1),1))</f>
        <v/>
      </c>
    </row>
    <row r="507" spans="1:17" ht="12" customHeight="1" x14ac:dyDescent="0.25">
      <c r="A507" s="36" t="str">
        <f>IF(Data!B497="","",IF(COUNTIFS(Data!A$1:'Data'!A497,Data!A497)&lt;=1,0,1))</f>
        <v/>
      </c>
      <c r="B507" s="36"/>
      <c r="C507" s="36" t="str">
        <f>IF(Data!C497="","",(IF(ISNUMBER(MATCH("*@*.?*",Data!C497,0)),0,1)+IF(COUNTIFS(Data!C$1:'Data'!C497,Data!C497)&gt;1,1,0)))</f>
        <v/>
      </c>
      <c r="D507" s="36" t="str">
        <f>IF(Data!B497="","",IF(ISNUMBER(Data!D497),IF(AND(Data!D497&gt;999999999,Data!D497&lt;=9999999999),IF(COUNTIFS(Data!D$1:'Data'!D497,Data!D497)&lt;=1,0,1),1),1))</f>
        <v/>
      </c>
      <c r="E507" s="36" t="str">
        <f>IF(Data!B497="","",IF(ISNUMBER(MATCH(Data!E497,Data_Val!$A$2:$A$3,0)),0,1))</f>
        <v/>
      </c>
      <c r="F507" s="36" t="str">
        <f ca="1">IF(Data!B497="","",IF(ISNUMBER(Data!F497),IF(AND(Data!F497&gt;(TODAY()-(Data_Val!$H$3*365.25)),Data!F497&lt;=(TODAY()-(Data_Val!$H$2*365.25))),0,1),1))</f>
        <v/>
      </c>
      <c r="G507" s="12" t="str">
        <f>IF(Data!B497="","",IF(AND(Data!G497="",Data!H497&lt;&gt;""),1,IF(ISNUMBER(MATCH(Data!G497,Data_Val!$C$2:$C$5,0)),0,1)))</f>
        <v/>
      </c>
      <c r="H507" s="12" t="str">
        <f>IF(Data!B497="","",IF(AND(Data!G497&lt;&gt;"",Data!H497=""),1,IF(Data!G497="",1,IF(ISNUMBER(MATCH(Data!H497,Data_Val!$D$2:$D$35,0)),0,1))))</f>
        <v/>
      </c>
      <c r="I507" s="38" t="str">
        <f>IF(Data!G497="","",IF(Data!G497=Data_Val!$C$2,IF(Data!I497="",0,1),0))</f>
        <v/>
      </c>
      <c r="J507" s="38" t="str">
        <f>IF(Data!I497="","",IF(ISNUMBER(MATCH(Data!J497,Data_Val!$A$2:$A$3,0)),0,1))</f>
        <v/>
      </c>
      <c r="K507" s="38" t="str">
        <f ca="1">IF(Data!I497="","",IF(ISNUMBER(Data!K497),IF(AND(Data!K497&gt;(TODAY()-(Data_Val!$K$3*365.25)),Data!K497&lt;=(TODAY()-(Data_Val!$K$2*365.25))),0,1),1))</f>
        <v/>
      </c>
      <c r="L507" s="16" t="str">
        <f>IF(Data!G497="","",IF(Data!G497=Data_Val!$C$2,IF(Data!L497="",0,1),0))</f>
        <v/>
      </c>
      <c r="M507" s="16" t="str">
        <f>IF(Data!L497="","",IF(ISNUMBER(MATCH(Data!M497,Data_Val!$A$2:$A$3,0)),0,1))</f>
        <v/>
      </c>
      <c r="N507" s="43" t="str">
        <f ca="1">IF(Data!L497="","",IF(ISNUMBER(Data!N497),IF(AND(Data!N497&gt;(TODAY()-(Data_Val!$L$3*365.25)),Data!N497&lt;=(TODAY()-(Data_Val!$L$2*365.25))),0,1),1))</f>
        <v/>
      </c>
      <c r="O507" s="18" t="str">
        <f>IF(Data!$G497="","",IF(Data!$G497=Data_Val!$C$2,IF(Data!O497="",0,1),0))</f>
        <v/>
      </c>
      <c r="P507" s="18" t="str">
        <f>IF(Data!O497="","",IF(ISNUMBER(MATCH(Data!P497,Data_Val!$A$2:$A$3,0)),0,1))</f>
        <v/>
      </c>
      <c r="Q507" s="44" t="str">
        <f ca="1">IF(Data!O497="","",IF(ISNUMBER(Data!Q497),IF(AND(Data!Q497&gt;(TODAY()-(Data_Val!$L$3*365.25)),Data!Q497&lt;=(TODAY()-(Data_Val!$L$2*365.25))),0,1),1))</f>
        <v/>
      </c>
    </row>
    <row r="508" spans="1:17" ht="12" customHeight="1" x14ac:dyDescent="0.25">
      <c r="A508" s="36" t="str">
        <f>IF(Data!B498="","",IF(COUNTIFS(Data!A$1:'Data'!A498,Data!A498)&lt;=1,0,1))</f>
        <v/>
      </c>
      <c r="B508" s="36"/>
      <c r="C508" s="36" t="str">
        <f>IF(Data!C498="","",(IF(ISNUMBER(MATCH("*@*.?*",Data!C498,0)),0,1)+IF(COUNTIFS(Data!C$1:'Data'!C498,Data!C498)&gt;1,1,0)))</f>
        <v/>
      </c>
      <c r="D508" s="36" t="str">
        <f>IF(Data!B498="","",IF(ISNUMBER(Data!D498),IF(AND(Data!D498&gt;999999999,Data!D498&lt;=9999999999),IF(COUNTIFS(Data!D$1:'Data'!D498,Data!D498)&lt;=1,0,1),1),1))</f>
        <v/>
      </c>
      <c r="E508" s="36" t="str">
        <f>IF(Data!B498="","",IF(ISNUMBER(MATCH(Data!E498,Data_Val!$A$2:$A$3,0)),0,1))</f>
        <v/>
      </c>
      <c r="F508" s="36" t="str">
        <f ca="1">IF(Data!B498="","",IF(ISNUMBER(Data!F498),IF(AND(Data!F498&gt;(TODAY()-(Data_Val!$H$3*365.25)),Data!F498&lt;=(TODAY()-(Data_Val!$H$2*365.25))),0,1),1))</f>
        <v/>
      </c>
      <c r="G508" s="12" t="str">
        <f>IF(Data!B498="","",IF(AND(Data!G498="",Data!H498&lt;&gt;""),1,IF(ISNUMBER(MATCH(Data!G498,Data_Val!$C$2:$C$5,0)),0,1)))</f>
        <v/>
      </c>
      <c r="H508" s="12" t="str">
        <f>IF(Data!B498="","",IF(AND(Data!G498&lt;&gt;"",Data!H498=""),1,IF(Data!G498="",1,IF(ISNUMBER(MATCH(Data!H498,Data_Val!$D$2:$D$35,0)),0,1))))</f>
        <v/>
      </c>
      <c r="I508" s="38" t="str">
        <f>IF(Data!G498="","",IF(Data!G498=Data_Val!$C$2,IF(Data!I498="",0,1),0))</f>
        <v/>
      </c>
      <c r="J508" s="38" t="str">
        <f>IF(Data!I498="","",IF(ISNUMBER(MATCH(Data!J498,Data_Val!$A$2:$A$3,0)),0,1))</f>
        <v/>
      </c>
      <c r="K508" s="38" t="str">
        <f ca="1">IF(Data!I498="","",IF(ISNUMBER(Data!K498),IF(AND(Data!K498&gt;(TODAY()-(Data_Val!$K$3*365.25)),Data!K498&lt;=(TODAY()-(Data_Val!$K$2*365.25))),0,1),1))</f>
        <v/>
      </c>
      <c r="L508" s="16" t="str">
        <f>IF(Data!G498="","",IF(Data!G498=Data_Val!$C$2,IF(Data!L498="",0,1),0))</f>
        <v/>
      </c>
      <c r="M508" s="16" t="str">
        <f>IF(Data!L498="","",IF(ISNUMBER(MATCH(Data!M498,Data_Val!$A$2:$A$3,0)),0,1))</f>
        <v/>
      </c>
      <c r="N508" s="43" t="str">
        <f ca="1">IF(Data!L498="","",IF(ISNUMBER(Data!N498),IF(AND(Data!N498&gt;(TODAY()-(Data_Val!$L$3*365.25)),Data!N498&lt;=(TODAY()-(Data_Val!$L$2*365.25))),0,1),1))</f>
        <v/>
      </c>
      <c r="O508" s="18" t="str">
        <f>IF(Data!$G498="","",IF(Data!$G498=Data_Val!$C$2,IF(Data!O498="",0,1),0))</f>
        <v/>
      </c>
      <c r="P508" s="18" t="str">
        <f>IF(Data!O498="","",IF(ISNUMBER(MATCH(Data!P498,Data_Val!$A$2:$A$3,0)),0,1))</f>
        <v/>
      </c>
      <c r="Q508" s="44" t="str">
        <f ca="1">IF(Data!O498="","",IF(ISNUMBER(Data!Q498),IF(AND(Data!Q498&gt;(TODAY()-(Data_Val!$L$3*365.25)),Data!Q498&lt;=(TODAY()-(Data_Val!$L$2*365.25))),0,1),1))</f>
        <v/>
      </c>
    </row>
    <row r="509" spans="1:17" ht="12" customHeight="1" x14ac:dyDescent="0.25">
      <c r="A509" s="36" t="str">
        <f>IF(Data!B499="","",IF(COUNTIFS(Data!A$1:'Data'!A499,Data!A499)&lt;=1,0,1))</f>
        <v/>
      </c>
      <c r="B509" s="36"/>
      <c r="C509" s="36" t="str">
        <f>IF(Data!C499="","",(IF(ISNUMBER(MATCH("*@*.?*",Data!C499,0)),0,1)+IF(COUNTIFS(Data!C$1:'Data'!C499,Data!C499)&gt;1,1,0)))</f>
        <v/>
      </c>
      <c r="D509" s="36" t="str">
        <f>IF(Data!B499="","",IF(ISNUMBER(Data!D499),IF(AND(Data!D499&gt;999999999,Data!D499&lt;=9999999999),IF(COUNTIFS(Data!D$1:'Data'!D499,Data!D499)&lt;=1,0,1),1),1))</f>
        <v/>
      </c>
      <c r="E509" s="36" t="str">
        <f>IF(Data!B499="","",IF(ISNUMBER(MATCH(Data!E499,Data_Val!$A$2:$A$3,0)),0,1))</f>
        <v/>
      </c>
      <c r="F509" s="36" t="str">
        <f ca="1">IF(Data!B499="","",IF(ISNUMBER(Data!F499),IF(AND(Data!F499&gt;(TODAY()-(Data_Val!$H$3*365.25)),Data!F499&lt;=(TODAY()-(Data_Val!$H$2*365.25))),0,1),1))</f>
        <v/>
      </c>
      <c r="G509" s="12" t="str">
        <f>IF(Data!B499="","",IF(AND(Data!G499="",Data!H499&lt;&gt;""),1,IF(ISNUMBER(MATCH(Data!G499,Data_Val!$C$2:$C$5,0)),0,1)))</f>
        <v/>
      </c>
      <c r="H509" s="12" t="str">
        <f>IF(Data!B499="","",IF(AND(Data!G499&lt;&gt;"",Data!H499=""),1,IF(Data!G499="",1,IF(ISNUMBER(MATCH(Data!H499,Data_Val!$D$2:$D$35,0)),0,1))))</f>
        <v/>
      </c>
      <c r="I509" s="38" t="str">
        <f>IF(Data!G499="","",IF(Data!G499=Data_Val!$C$2,IF(Data!I499="",0,1),0))</f>
        <v/>
      </c>
      <c r="J509" s="38" t="str">
        <f>IF(Data!I499="","",IF(ISNUMBER(MATCH(Data!J499,Data_Val!$A$2:$A$3,0)),0,1))</f>
        <v/>
      </c>
      <c r="K509" s="38" t="str">
        <f ca="1">IF(Data!I499="","",IF(ISNUMBER(Data!K499),IF(AND(Data!K499&gt;(TODAY()-(Data_Val!$K$3*365.25)),Data!K499&lt;=(TODAY()-(Data_Val!$K$2*365.25))),0,1),1))</f>
        <v/>
      </c>
      <c r="L509" s="16" t="str">
        <f>IF(Data!G499="","",IF(Data!G499=Data_Val!$C$2,IF(Data!L499="",0,1),0))</f>
        <v/>
      </c>
      <c r="M509" s="16" t="str">
        <f>IF(Data!L499="","",IF(ISNUMBER(MATCH(Data!M499,Data_Val!$A$2:$A$3,0)),0,1))</f>
        <v/>
      </c>
      <c r="N509" s="43" t="str">
        <f ca="1">IF(Data!L499="","",IF(ISNUMBER(Data!N499),IF(AND(Data!N499&gt;(TODAY()-(Data_Val!$L$3*365.25)),Data!N499&lt;=(TODAY()-(Data_Val!$L$2*365.25))),0,1),1))</f>
        <v/>
      </c>
      <c r="O509" s="18" t="str">
        <f>IF(Data!$G499="","",IF(Data!$G499=Data_Val!$C$2,IF(Data!O499="",0,1),0))</f>
        <v/>
      </c>
      <c r="P509" s="18" t="str">
        <f>IF(Data!O499="","",IF(ISNUMBER(MATCH(Data!P499,Data_Val!$A$2:$A$3,0)),0,1))</f>
        <v/>
      </c>
      <c r="Q509" s="44" t="str">
        <f ca="1">IF(Data!O499="","",IF(ISNUMBER(Data!Q499),IF(AND(Data!Q499&gt;(TODAY()-(Data_Val!$L$3*365.25)),Data!Q499&lt;=(TODAY()-(Data_Val!$L$2*365.25))),0,1),1))</f>
        <v/>
      </c>
    </row>
    <row r="510" spans="1:17" ht="12" customHeight="1" x14ac:dyDescent="0.25">
      <c r="A510" s="36" t="str">
        <f>IF(Data!B500="","",IF(COUNTIFS(Data!A$1:'Data'!A500,Data!A500)&lt;=1,0,1))</f>
        <v/>
      </c>
      <c r="B510" s="36"/>
      <c r="C510" s="36" t="str">
        <f>IF(Data!C500="","",(IF(ISNUMBER(MATCH("*@*.?*",Data!C500,0)),0,1)+IF(COUNTIFS(Data!C$1:'Data'!C500,Data!C500)&gt;1,1,0)))</f>
        <v/>
      </c>
      <c r="D510" s="36" t="str">
        <f>IF(Data!B500="","",IF(ISNUMBER(Data!D500),IF(AND(Data!D500&gt;999999999,Data!D500&lt;=9999999999),IF(COUNTIFS(Data!D$1:'Data'!D500,Data!D500)&lt;=1,0,1),1),1))</f>
        <v/>
      </c>
      <c r="E510" s="36" t="str">
        <f>IF(Data!B500="","",IF(ISNUMBER(MATCH(Data!E500,Data_Val!$A$2:$A$3,0)),0,1))</f>
        <v/>
      </c>
      <c r="F510" s="36" t="str">
        <f ca="1">IF(Data!B500="","",IF(ISNUMBER(Data!F500),IF(AND(Data!F500&gt;(TODAY()-(Data_Val!$H$3*365.25)),Data!F500&lt;=(TODAY()-(Data_Val!$H$2*365.25))),0,1),1))</f>
        <v/>
      </c>
      <c r="G510" s="12" t="str">
        <f>IF(Data!B500="","",IF(AND(Data!G500="",Data!H500&lt;&gt;""),1,IF(ISNUMBER(MATCH(Data!G500,Data_Val!$C$2:$C$5,0)),0,1)))</f>
        <v/>
      </c>
      <c r="H510" s="12" t="str">
        <f>IF(Data!B500="","",IF(AND(Data!G500&lt;&gt;"",Data!H500=""),1,IF(Data!G500="",1,IF(ISNUMBER(MATCH(Data!H500,Data_Val!$D$2:$D$35,0)),0,1))))</f>
        <v/>
      </c>
      <c r="I510" s="38" t="str">
        <f>IF(Data!G500="","",IF(Data!G500=Data_Val!$C$2,IF(Data!I500="",0,1),0))</f>
        <v/>
      </c>
      <c r="J510" s="38" t="str">
        <f>IF(Data!I500="","",IF(ISNUMBER(MATCH(Data!J500,Data_Val!$A$2:$A$3,0)),0,1))</f>
        <v/>
      </c>
      <c r="K510" s="38" t="str">
        <f ca="1">IF(Data!I500="","",IF(ISNUMBER(Data!K500),IF(AND(Data!K500&gt;(TODAY()-(Data_Val!$K$3*365.25)),Data!K500&lt;=(TODAY()-(Data_Val!$K$2*365.25))),0,1),1))</f>
        <v/>
      </c>
      <c r="L510" s="16" t="str">
        <f>IF(Data!G500="","",IF(Data!G500=Data_Val!$C$2,IF(Data!L500="",0,1),0))</f>
        <v/>
      </c>
      <c r="M510" s="16" t="str">
        <f>IF(Data!L500="","",IF(ISNUMBER(MATCH(Data!M500,Data_Val!$A$2:$A$3,0)),0,1))</f>
        <v/>
      </c>
      <c r="N510" s="43" t="str">
        <f ca="1">IF(Data!L500="","",IF(ISNUMBER(Data!N500),IF(AND(Data!N500&gt;(TODAY()-(Data_Val!$L$3*365.25)),Data!N500&lt;=(TODAY()-(Data_Val!$L$2*365.25))),0,1),1))</f>
        <v/>
      </c>
      <c r="O510" s="18" t="str">
        <f>IF(Data!$G500="","",IF(Data!$G500=Data_Val!$C$2,IF(Data!O500="",0,1),0))</f>
        <v/>
      </c>
      <c r="P510" s="18" t="str">
        <f>IF(Data!O500="","",IF(ISNUMBER(MATCH(Data!P500,Data_Val!$A$2:$A$3,0)),0,1))</f>
        <v/>
      </c>
      <c r="Q510" s="44" t="str">
        <f ca="1">IF(Data!O500="","",IF(ISNUMBER(Data!Q500),IF(AND(Data!Q500&gt;(TODAY()-(Data_Val!$L$3*365.25)),Data!Q500&lt;=(TODAY()-(Data_Val!$L$2*365.25))),0,1),1))</f>
        <v/>
      </c>
    </row>
    <row r="511" spans="1:17" ht="12" customHeight="1" x14ac:dyDescent="0.25">
      <c r="A511" s="36" t="str">
        <f>IF(Data!B501="","",IF(COUNTIFS(Data!A$1:'Data'!A501,Data!A501)&lt;=1,0,1))</f>
        <v/>
      </c>
      <c r="B511" s="36"/>
      <c r="C511" s="36" t="str">
        <f>IF(Data!C501="","",(IF(ISNUMBER(MATCH("*@*.?*",Data!C501,0)),0,1)+IF(COUNTIFS(Data!C$1:'Data'!C501,Data!C501)&gt;1,1,0)))</f>
        <v/>
      </c>
      <c r="D511" s="36" t="str">
        <f>IF(Data!B501="","",IF(ISNUMBER(Data!D501),IF(AND(Data!D501&gt;999999999,Data!D501&lt;=9999999999),IF(COUNTIFS(Data!D$1:'Data'!D501,Data!D501)&lt;=1,0,1),1),1))</f>
        <v/>
      </c>
      <c r="E511" s="36" t="str">
        <f>IF(Data!B501="","",IF(ISNUMBER(MATCH(Data!E501,Data_Val!$A$2:$A$3,0)),0,1))</f>
        <v/>
      </c>
      <c r="F511" s="36" t="str">
        <f ca="1">IF(Data!B501="","",IF(ISNUMBER(Data!F501),IF(AND(Data!F501&gt;(TODAY()-(Data_Val!$H$3*365.25)),Data!F501&lt;=(TODAY()-(Data_Val!$H$2*365.25))),0,1),1))</f>
        <v/>
      </c>
      <c r="G511" s="12" t="str">
        <f>IF(Data!B501="","",IF(AND(Data!G501="",Data!H501&lt;&gt;""),1,IF(ISNUMBER(MATCH(Data!G501,Data_Val!$C$2:$C$5,0)),0,1)))</f>
        <v/>
      </c>
      <c r="H511" s="12" t="str">
        <f>IF(Data!B501="","",IF(AND(Data!G501&lt;&gt;"",Data!H501=""),1,IF(Data!G501="",1,IF(ISNUMBER(MATCH(Data!H501,Data_Val!$D$2:$D$35,0)),0,1))))</f>
        <v/>
      </c>
      <c r="I511" s="38" t="str">
        <f>IF(Data!G501="","",IF(Data!G501=Data_Val!$C$2,IF(Data!I501="",0,1),0))</f>
        <v/>
      </c>
      <c r="J511" s="38" t="str">
        <f>IF(Data!I501="","",IF(ISNUMBER(MATCH(Data!J501,Data_Val!$A$2:$A$3,0)),0,1))</f>
        <v/>
      </c>
      <c r="K511" s="38" t="str">
        <f ca="1">IF(Data!I501="","",IF(ISNUMBER(Data!K501),IF(AND(Data!K501&gt;(TODAY()-(Data_Val!$K$3*365.25)),Data!K501&lt;=(TODAY()-(Data_Val!$K$2*365.25))),0,1),1))</f>
        <v/>
      </c>
      <c r="L511" s="16" t="str">
        <f>IF(Data!G501="","",IF(Data!G501=Data_Val!$C$2,IF(Data!L501="",0,1),0))</f>
        <v/>
      </c>
      <c r="M511" s="16" t="str">
        <f>IF(Data!L501="","",IF(ISNUMBER(MATCH(Data!M501,Data_Val!$A$2:$A$3,0)),0,1))</f>
        <v/>
      </c>
      <c r="N511" s="43" t="str">
        <f ca="1">IF(Data!L501="","",IF(ISNUMBER(Data!N501),IF(AND(Data!N501&gt;(TODAY()-(Data_Val!$L$3*365.25)),Data!N501&lt;=(TODAY()-(Data_Val!$L$2*365.25))),0,1),1))</f>
        <v/>
      </c>
      <c r="O511" s="18" t="str">
        <f>IF(Data!$G501="","",IF(Data!$G501=Data_Val!$C$2,IF(Data!O501="",0,1),0))</f>
        <v/>
      </c>
      <c r="P511" s="18" t="str">
        <f>IF(Data!O501="","",IF(ISNUMBER(MATCH(Data!P501,Data_Val!$A$2:$A$3,0)),0,1))</f>
        <v/>
      </c>
      <c r="Q511" s="44" t="str">
        <f ca="1">IF(Data!O501="","",IF(ISNUMBER(Data!Q501),IF(AND(Data!Q501&gt;(TODAY()-(Data_Val!$L$3*365.25)),Data!Q501&lt;=(TODAY()-(Data_Val!$L$2*365.25))),0,1),1))</f>
        <v/>
      </c>
    </row>
    <row r="512" spans="1:17" ht="12" customHeight="1" x14ac:dyDescent="0.25">
      <c r="A512" s="36" t="str">
        <f>IF(Data!B502="","",IF(COUNTIFS(Data!A$1:'Data'!A502,Data!A502)&lt;=1,0,1))</f>
        <v/>
      </c>
      <c r="B512" s="36"/>
      <c r="C512" s="36" t="str">
        <f>IF(Data!C502="","",(IF(ISNUMBER(MATCH("*@*.?*",Data!C502,0)),0,1)+IF(COUNTIFS(Data!C$1:'Data'!C502,Data!C502)&gt;1,1,0)))</f>
        <v/>
      </c>
      <c r="D512" s="36" t="str">
        <f>IF(Data!B502="","",IF(ISNUMBER(Data!D502),IF(AND(Data!D502&gt;999999999,Data!D502&lt;=9999999999),IF(COUNTIFS(Data!D$1:'Data'!D502,Data!D502)&lt;=1,0,1),1),1))</f>
        <v/>
      </c>
      <c r="E512" s="36" t="str">
        <f>IF(Data!B502="","",IF(ISNUMBER(MATCH(Data!E502,Data_Val!$A$2:$A$3,0)),0,1))</f>
        <v/>
      </c>
      <c r="F512" s="36" t="str">
        <f ca="1">IF(Data!B502="","",IF(ISNUMBER(Data!F502),IF(AND(Data!F502&gt;(TODAY()-(Data_Val!$H$3*365.25)),Data!F502&lt;=(TODAY()-(Data_Val!$H$2*365.25))),0,1),1))</f>
        <v/>
      </c>
      <c r="G512" s="12" t="str">
        <f>IF(Data!B502="","",IF(AND(Data!G502="",Data!H502&lt;&gt;""),1,IF(ISNUMBER(MATCH(Data!G502,Data_Val!$C$2:$C$5,0)),0,1)))</f>
        <v/>
      </c>
      <c r="H512" s="12" t="str">
        <f>IF(Data!B502="","",IF(AND(Data!G502&lt;&gt;"",Data!H502=""),1,IF(Data!G502="",1,IF(ISNUMBER(MATCH(Data!H502,Data_Val!$D$2:$D$35,0)),0,1))))</f>
        <v/>
      </c>
      <c r="I512" s="38" t="str">
        <f>IF(Data!G502="","",IF(Data!G502=Data_Val!$C$2,IF(Data!I502="",0,1),0))</f>
        <v/>
      </c>
      <c r="J512" s="38" t="str">
        <f>IF(Data!I502="","",IF(ISNUMBER(MATCH(Data!J502,Data_Val!$A$2:$A$3,0)),0,1))</f>
        <v/>
      </c>
      <c r="K512" s="38" t="str">
        <f ca="1">IF(Data!I502="","",IF(ISNUMBER(Data!K502),IF(AND(Data!K502&gt;(TODAY()-(Data_Val!$K$3*365.25)),Data!K502&lt;=(TODAY()-(Data_Val!$K$2*365.25))),0,1),1))</f>
        <v/>
      </c>
      <c r="L512" s="16" t="str">
        <f>IF(Data!G502="","",IF(Data!G502=Data_Val!$C$2,IF(Data!L502="",0,1),0))</f>
        <v/>
      </c>
      <c r="M512" s="16" t="str">
        <f>IF(Data!L502="","",IF(ISNUMBER(MATCH(Data!M502,Data_Val!$A$2:$A$3,0)),0,1))</f>
        <v/>
      </c>
      <c r="N512" s="43" t="str">
        <f ca="1">IF(Data!L502="","",IF(ISNUMBER(Data!N502),IF(AND(Data!N502&gt;(TODAY()-(Data_Val!$L$3*365.25)),Data!N502&lt;=(TODAY()-(Data_Val!$L$2*365.25))),0,1),1))</f>
        <v/>
      </c>
      <c r="O512" s="18" t="str">
        <f>IF(Data!$G502="","",IF(Data!$G502=Data_Val!$C$2,IF(Data!O502="",0,1),0))</f>
        <v/>
      </c>
      <c r="P512" s="18" t="str">
        <f>IF(Data!O502="","",IF(ISNUMBER(MATCH(Data!P502,Data_Val!$A$2:$A$3,0)),0,1))</f>
        <v/>
      </c>
      <c r="Q512" s="44" t="str">
        <f ca="1">IF(Data!O502="","",IF(ISNUMBER(Data!Q502),IF(AND(Data!Q502&gt;(TODAY()-(Data_Val!$L$3*365.25)),Data!Q502&lt;=(TODAY()-(Data_Val!$L$2*365.25))),0,1),1))</f>
        <v/>
      </c>
    </row>
    <row r="513" spans="1:17" ht="12" customHeight="1" x14ac:dyDescent="0.25">
      <c r="A513" s="36" t="str">
        <f>IF(Data!B503="","",IF(COUNTIFS(Data!A$1:'Data'!A503,Data!A503)&lt;=1,0,1))</f>
        <v/>
      </c>
      <c r="B513" s="36"/>
      <c r="C513" s="36" t="str">
        <f>IF(Data!C503="","",(IF(ISNUMBER(MATCH("*@*.?*",Data!C503,0)),0,1)+IF(COUNTIFS(Data!C$1:'Data'!C503,Data!C503)&gt;1,1,0)))</f>
        <v/>
      </c>
      <c r="D513" s="36" t="str">
        <f>IF(Data!B503="","",IF(ISNUMBER(Data!D503),IF(AND(Data!D503&gt;999999999,Data!D503&lt;=9999999999),IF(COUNTIFS(Data!D$1:'Data'!D503,Data!D503)&lt;=1,0,1),1),1))</f>
        <v/>
      </c>
      <c r="E513" s="36" t="str">
        <f>IF(Data!B503="","",IF(ISNUMBER(MATCH(Data!E503,Data_Val!$A$2:$A$3,0)),0,1))</f>
        <v/>
      </c>
      <c r="F513" s="36" t="str">
        <f ca="1">IF(Data!B503="","",IF(ISNUMBER(Data!F503),IF(AND(Data!F503&gt;(TODAY()-(Data_Val!$H$3*365.25)),Data!F503&lt;=(TODAY()-(Data_Val!$H$2*365.25))),0,1),1))</f>
        <v/>
      </c>
      <c r="G513" s="12" t="str">
        <f>IF(Data!B503="","",IF(AND(Data!G503="",Data!H503&lt;&gt;""),1,IF(ISNUMBER(MATCH(Data!G503,Data_Val!$C$2:$C$5,0)),0,1)))</f>
        <v/>
      </c>
      <c r="H513" s="12" t="str">
        <f>IF(Data!B503="","",IF(AND(Data!G503&lt;&gt;"",Data!H503=""),1,IF(Data!G503="",1,IF(ISNUMBER(MATCH(Data!H503,Data_Val!$D$2:$D$35,0)),0,1))))</f>
        <v/>
      </c>
      <c r="I513" s="38" t="str">
        <f>IF(Data!G503="","",IF(Data!G503=Data_Val!$C$2,IF(Data!I503="",0,1),0))</f>
        <v/>
      </c>
      <c r="J513" s="38" t="str">
        <f>IF(Data!I503="","",IF(ISNUMBER(MATCH(Data!J503,Data_Val!$A$2:$A$3,0)),0,1))</f>
        <v/>
      </c>
      <c r="K513" s="38" t="str">
        <f ca="1">IF(Data!I503="","",IF(ISNUMBER(Data!K503),IF(AND(Data!K503&gt;(TODAY()-(Data_Val!$K$3*365.25)),Data!K503&lt;=(TODAY()-(Data_Val!$K$2*365.25))),0,1),1))</f>
        <v/>
      </c>
      <c r="L513" s="16" t="str">
        <f>IF(Data!G503="","",IF(Data!G503=Data_Val!$C$2,IF(Data!L503="",0,1),0))</f>
        <v/>
      </c>
      <c r="M513" s="16" t="str">
        <f>IF(Data!L503="","",IF(ISNUMBER(MATCH(Data!M503,Data_Val!$A$2:$A$3,0)),0,1))</f>
        <v/>
      </c>
      <c r="N513" s="43" t="str">
        <f ca="1">IF(Data!L503="","",IF(ISNUMBER(Data!N503),IF(AND(Data!N503&gt;(TODAY()-(Data_Val!$L$3*365.25)),Data!N503&lt;=(TODAY()-(Data_Val!$L$2*365.25))),0,1),1))</f>
        <v/>
      </c>
      <c r="O513" s="18" t="str">
        <f>IF(Data!$G503="","",IF(Data!$G503=Data_Val!$C$2,IF(Data!O503="",0,1),0))</f>
        <v/>
      </c>
      <c r="P513" s="18" t="str">
        <f>IF(Data!O503="","",IF(ISNUMBER(MATCH(Data!P503,Data_Val!$A$2:$A$3,0)),0,1))</f>
        <v/>
      </c>
      <c r="Q513" s="44" t="str">
        <f ca="1">IF(Data!O503="","",IF(ISNUMBER(Data!Q503),IF(AND(Data!Q503&gt;(TODAY()-(Data_Val!$L$3*365.25)),Data!Q503&lt;=(TODAY()-(Data_Val!$L$2*365.25))),0,1),1))</f>
        <v/>
      </c>
    </row>
    <row r="514" spans="1:17" ht="12" customHeight="1" x14ac:dyDescent="0.25">
      <c r="A514" s="36" t="str">
        <f>IF(Data!B504="","",IF(COUNTIFS(Data!A$1:'Data'!A504,Data!A504)&lt;=1,0,1))</f>
        <v/>
      </c>
      <c r="B514" s="36"/>
      <c r="C514" s="36" t="str">
        <f>IF(Data!C504="","",(IF(ISNUMBER(MATCH("*@*.?*",Data!C504,0)),0,1)+IF(COUNTIFS(Data!C$1:'Data'!C504,Data!C504)&gt;1,1,0)))</f>
        <v/>
      </c>
      <c r="D514" s="36" t="str">
        <f>IF(Data!B504="","",IF(ISNUMBER(Data!D504),IF(AND(Data!D504&gt;999999999,Data!D504&lt;=9999999999),IF(COUNTIFS(Data!D$1:'Data'!D504,Data!D504)&lt;=1,0,1),1),1))</f>
        <v/>
      </c>
      <c r="E514" s="36" t="str">
        <f>IF(Data!B504="","",IF(ISNUMBER(MATCH(Data!E504,Data_Val!$A$2:$A$3,0)),0,1))</f>
        <v/>
      </c>
      <c r="F514" s="36" t="str">
        <f ca="1">IF(Data!B504="","",IF(ISNUMBER(Data!F504),IF(AND(Data!F504&gt;(TODAY()-(Data_Val!$H$3*365.25)),Data!F504&lt;=(TODAY()-(Data_Val!$H$2*365.25))),0,1),1))</f>
        <v/>
      </c>
      <c r="G514" s="12" t="str">
        <f>IF(Data!B504="","",IF(AND(Data!G504="",Data!H504&lt;&gt;""),1,IF(ISNUMBER(MATCH(Data!G504,Data_Val!$C$2:$C$5,0)),0,1)))</f>
        <v/>
      </c>
      <c r="H514" s="12" t="str">
        <f>IF(Data!B504="","",IF(AND(Data!G504&lt;&gt;"",Data!H504=""),1,IF(Data!G504="",1,IF(ISNUMBER(MATCH(Data!H504,Data_Val!$D$2:$D$35,0)),0,1))))</f>
        <v/>
      </c>
      <c r="I514" s="38" t="str">
        <f>IF(Data!G504="","",IF(Data!G504=Data_Val!$C$2,IF(Data!I504="",0,1),0))</f>
        <v/>
      </c>
      <c r="J514" s="38" t="str">
        <f>IF(Data!I504="","",IF(ISNUMBER(MATCH(Data!J504,Data_Val!$A$2:$A$3,0)),0,1))</f>
        <v/>
      </c>
      <c r="K514" s="38" t="str">
        <f ca="1">IF(Data!I504="","",IF(ISNUMBER(Data!K504),IF(AND(Data!K504&gt;(TODAY()-(Data_Val!$K$3*365.25)),Data!K504&lt;=(TODAY()-(Data_Val!$K$2*365.25))),0,1),1))</f>
        <v/>
      </c>
      <c r="L514" s="16" t="str">
        <f>IF(Data!G504="","",IF(Data!G504=Data_Val!$C$2,IF(Data!L504="",0,1),0))</f>
        <v/>
      </c>
      <c r="M514" s="16" t="str">
        <f>IF(Data!L504="","",IF(ISNUMBER(MATCH(Data!M504,Data_Val!$A$2:$A$3,0)),0,1))</f>
        <v/>
      </c>
      <c r="N514" s="43" t="str">
        <f ca="1">IF(Data!L504="","",IF(ISNUMBER(Data!N504),IF(AND(Data!N504&gt;(TODAY()-(Data_Val!$L$3*365.25)),Data!N504&lt;=(TODAY()-(Data_Val!$L$2*365.25))),0,1),1))</f>
        <v/>
      </c>
      <c r="O514" s="18" t="str">
        <f>IF(Data!$G504="","",IF(Data!$G504=Data_Val!$C$2,IF(Data!O504="",0,1),0))</f>
        <v/>
      </c>
      <c r="P514" s="18" t="str">
        <f>IF(Data!O504="","",IF(ISNUMBER(MATCH(Data!P504,Data_Val!$A$2:$A$3,0)),0,1))</f>
        <v/>
      </c>
      <c r="Q514" s="44" t="str">
        <f ca="1">IF(Data!O504="","",IF(ISNUMBER(Data!Q504),IF(AND(Data!Q504&gt;(TODAY()-(Data_Val!$L$3*365.25)),Data!Q504&lt;=(TODAY()-(Data_Val!$L$2*365.25))),0,1),1))</f>
        <v/>
      </c>
    </row>
    <row r="515" spans="1:17" ht="12" customHeight="1" x14ac:dyDescent="0.25">
      <c r="A515" s="36" t="str">
        <f>IF(Data!B505="","",IF(COUNTIFS(Data!A$1:'Data'!A505,Data!A505)&lt;=1,0,1))</f>
        <v/>
      </c>
      <c r="B515" s="36"/>
      <c r="C515" s="36" t="str">
        <f>IF(Data!C505="","",(IF(ISNUMBER(MATCH("*@*.?*",Data!C505,0)),0,1)+IF(COUNTIFS(Data!C$1:'Data'!C505,Data!C505)&gt;1,1,0)))</f>
        <v/>
      </c>
      <c r="D515" s="36" t="str">
        <f>IF(Data!B505="","",IF(ISNUMBER(Data!D505),IF(AND(Data!D505&gt;999999999,Data!D505&lt;=9999999999),IF(COUNTIFS(Data!D$1:'Data'!D505,Data!D505)&lt;=1,0,1),1),1))</f>
        <v/>
      </c>
      <c r="E515" s="36" t="str">
        <f>IF(Data!B505="","",IF(ISNUMBER(MATCH(Data!E505,Data_Val!$A$2:$A$3,0)),0,1))</f>
        <v/>
      </c>
      <c r="F515" s="36" t="str">
        <f ca="1">IF(Data!B505="","",IF(ISNUMBER(Data!F505),IF(AND(Data!F505&gt;(TODAY()-(Data_Val!$H$3*365.25)),Data!F505&lt;=(TODAY()-(Data_Val!$H$2*365.25))),0,1),1))</f>
        <v/>
      </c>
      <c r="G515" s="12" t="str">
        <f>IF(Data!B505="","",IF(AND(Data!G505="",Data!H505&lt;&gt;""),1,IF(ISNUMBER(MATCH(Data!G505,Data_Val!$C$2:$C$5,0)),0,1)))</f>
        <v/>
      </c>
      <c r="H515" s="12" t="str">
        <f>IF(Data!B505="","",IF(AND(Data!G505&lt;&gt;"",Data!H505=""),1,IF(Data!G505="",1,IF(ISNUMBER(MATCH(Data!H505,Data_Val!$D$2:$D$35,0)),0,1))))</f>
        <v/>
      </c>
      <c r="I515" s="38" t="str">
        <f>IF(Data!G505="","",IF(Data!G505=Data_Val!$C$2,IF(Data!I505="",0,1),0))</f>
        <v/>
      </c>
      <c r="J515" s="38" t="str">
        <f>IF(Data!I505="","",IF(ISNUMBER(MATCH(Data!J505,Data_Val!$A$2:$A$3,0)),0,1))</f>
        <v/>
      </c>
      <c r="K515" s="38" t="str">
        <f ca="1">IF(Data!I505="","",IF(ISNUMBER(Data!K505),IF(AND(Data!K505&gt;(TODAY()-(Data_Val!$K$3*365.25)),Data!K505&lt;=(TODAY()-(Data_Val!$K$2*365.25))),0,1),1))</f>
        <v/>
      </c>
      <c r="L515" s="16" t="str">
        <f>IF(Data!G505="","",IF(Data!G505=Data_Val!$C$2,IF(Data!L505="",0,1),0))</f>
        <v/>
      </c>
      <c r="M515" s="16" t="str">
        <f>IF(Data!L505="","",IF(ISNUMBER(MATCH(Data!M505,Data_Val!$A$2:$A$3,0)),0,1))</f>
        <v/>
      </c>
      <c r="N515" s="43" t="str">
        <f ca="1">IF(Data!L505="","",IF(ISNUMBER(Data!N505),IF(AND(Data!N505&gt;(TODAY()-(Data_Val!$L$3*365.25)),Data!N505&lt;=(TODAY()-(Data_Val!$L$2*365.25))),0,1),1))</f>
        <v/>
      </c>
      <c r="O515" s="18" t="str">
        <f>IF(Data!$G505="","",IF(Data!$G505=Data_Val!$C$2,IF(Data!O505="",0,1),0))</f>
        <v/>
      </c>
      <c r="P515" s="18" t="str">
        <f>IF(Data!O505="","",IF(ISNUMBER(MATCH(Data!P505,Data_Val!$A$2:$A$3,0)),0,1))</f>
        <v/>
      </c>
      <c r="Q515" s="44" t="str">
        <f ca="1">IF(Data!O505="","",IF(ISNUMBER(Data!Q505),IF(AND(Data!Q505&gt;(TODAY()-(Data_Val!$L$3*365.25)),Data!Q505&lt;=(TODAY()-(Data_Val!$L$2*365.25))),0,1),1))</f>
        <v/>
      </c>
    </row>
    <row r="516" spans="1:17" ht="12" customHeight="1" x14ac:dyDescent="0.25">
      <c r="A516" s="36" t="str">
        <f>IF(Data!B506="","",IF(COUNTIFS(Data!A$1:'Data'!A506,Data!A506)&lt;=1,0,1))</f>
        <v/>
      </c>
      <c r="B516" s="36"/>
      <c r="C516" s="36" t="str">
        <f>IF(Data!C506="","",(IF(ISNUMBER(MATCH("*@*.?*",Data!C506,0)),0,1)+IF(COUNTIFS(Data!C$1:'Data'!C506,Data!C506)&gt;1,1,0)))</f>
        <v/>
      </c>
      <c r="D516" s="36" t="str">
        <f>IF(Data!B506="","",IF(ISNUMBER(Data!D506),IF(AND(Data!D506&gt;999999999,Data!D506&lt;=9999999999),IF(COUNTIFS(Data!D$1:'Data'!D506,Data!D506)&lt;=1,0,1),1),1))</f>
        <v/>
      </c>
      <c r="E516" s="36" t="str">
        <f>IF(Data!B506="","",IF(ISNUMBER(MATCH(Data!E506,Data_Val!$A$2:$A$3,0)),0,1))</f>
        <v/>
      </c>
      <c r="F516" s="36" t="str">
        <f ca="1">IF(Data!B506="","",IF(ISNUMBER(Data!F506),IF(AND(Data!F506&gt;(TODAY()-(Data_Val!$H$3*365.25)),Data!F506&lt;=(TODAY()-(Data_Val!$H$2*365.25))),0,1),1))</f>
        <v/>
      </c>
      <c r="G516" s="12" t="str">
        <f>IF(Data!B506="","",IF(AND(Data!G506="",Data!H506&lt;&gt;""),1,IF(ISNUMBER(MATCH(Data!G506,Data_Val!$C$2:$C$5,0)),0,1)))</f>
        <v/>
      </c>
      <c r="H516" s="12" t="str">
        <f>IF(Data!B506="","",IF(AND(Data!G506&lt;&gt;"",Data!H506=""),1,IF(Data!G506="",1,IF(ISNUMBER(MATCH(Data!H506,Data_Val!$D$2:$D$35,0)),0,1))))</f>
        <v/>
      </c>
      <c r="I516" s="38" t="str">
        <f>IF(Data!G506="","",IF(Data!G506=Data_Val!$C$2,IF(Data!I506="",0,1),0))</f>
        <v/>
      </c>
      <c r="J516" s="38" t="str">
        <f>IF(Data!I506="","",IF(ISNUMBER(MATCH(Data!J506,Data_Val!$A$2:$A$3,0)),0,1))</f>
        <v/>
      </c>
      <c r="K516" s="38" t="str">
        <f ca="1">IF(Data!I506="","",IF(ISNUMBER(Data!K506),IF(AND(Data!K506&gt;(TODAY()-(Data_Val!$K$3*365.25)),Data!K506&lt;=(TODAY()-(Data_Val!$K$2*365.25))),0,1),1))</f>
        <v/>
      </c>
      <c r="L516" s="16" t="str">
        <f>IF(Data!G506="","",IF(Data!G506=Data_Val!$C$2,IF(Data!L506="",0,1),0))</f>
        <v/>
      </c>
      <c r="M516" s="16" t="str">
        <f>IF(Data!L506="","",IF(ISNUMBER(MATCH(Data!M506,Data_Val!$A$2:$A$3,0)),0,1))</f>
        <v/>
      </c>
      <c r="N516" s="43" t="str">
        <f ca="1">IF(Data!L506="","",IF(ISNUMBER(Data!N506),IF(AND(Data!N506&gt;(TODAY()-(Data_Val!$L$3*365.25)),Data!N506&lt;=(TODAY()-(Data_Val!$L$2*365.25))),0,1),1))</f>
        <v/>
      </c>
      <c r="O516" s="18" t="str">
        <f>IF(Data!$G506="","",IF(Data!$G506=Data_Val!$C$2,IF(Data!O506="",0,1),0))</f>
        <v/>
      </c>
      <c r="P516" s="18" t="str">
        <f>IF(Data!O506="","",IF(ISNUMBER(MATCH(Data!P506,Data_Val!$A$2:$A$3,0)),0,1))</f>
        <v/>
      </c>
      <c r="Q516" s="44" t="str">
        <f ca="1">IF(Data!O506="","",IF(ISNUMBER(Data!Q506),IF(AND(Data!Q506&gt;(TODAY()-(Data_Val!$L$3*365.25)),Data!Q506&lt;=(TODAY()-(Data_Val!$L$2*365.25))),0,1),1))</f>
        <v/>
      </c>
    </row>
    <row r="517" spans="1:17" ht="12" customHeight="1" x14ac:dyDescent="0.25">
      <c r="A517" s="36" t="str">
        <f>IF(Data!B507="","",IF(COUNTIFS(Data!A$1:'Data'!A507,Data!A507)&lt;=1,0,1))</f>
        <v/>
      </c>
      <c r="B517" s="36"/>
      <c r="C517" s="36" t="str">
        <f>IF(Data!C507="","",(IF(ISNUMBER(MATCH("*@*.?*",Data!C507,0)),0,1)+IF(COUNTIFS(Data!C$1:'Data'!C507,Data!C507)&gt;1,1,0)))</f>
        <v/>
      </c>
      <c r="D517" s="36" t="str">
        <f>IF(Data!B507="","",IF(ISNUMBER(Data!D507),IF(AND(Data!D507&gt;999999999,Data!D507&lt;=9999999999),IF(COUNTIFS(Data!D$1:'Data'!D507,Data!D507)&lt;=1,0,1),1),1))</f>
        <v/>
      </c>
      <c r="E517" s="36" t="str">
        <f>IF(Data!B507="","",IF(ISNUMBER(MATCH(Data!E507,Data_Val!$A$2:$A$3,0)),0,1))</f>
        <v/>
      </c>
      <c r="F517" s="36" t="str">
        <f ca="1">IF(Data!B507="","",IF(ISNUMBER(Data!F507),IF(AND(Data!F507&gt;(TODAY()-(Data_Val!$H$3*365.25)),Data!F507&lt;=(TODAY()-(Data_Val!$H$2*365.25))),0,1),1))</f>
        <v/>
      </c>
      <c r="G517" s="12" t="str">
        <f>IF(Data!B507="","",IF(AND(Data!G507="",Data!H507&lt;&gt;""),1,IF(ISNUMBER(MATCH(Data!G507,Data_Val!$C$2:$C$5,0)),0,1)))</f>
        <v/>
      </c>
      <c r="H517" s="12" t="str">
        <f>IF(Data!B507="","",IF(AND(Data!G507&lt;&gt;"",Data!H507=""),1,IF(Data!G507="",1,IF(ISNUMBER(MATCH(Data!H507,Data_Val!$D$2:$D$35,0)),0,1))))</f>
        <v/>
      </c>
      <c r="I517" s="38" t="str">
        <f>IF(Data!G507="","",IF(Data!G507=Data_Val!$C$2,IF(Data!I507="",0,1),0))</f>
        <v/>
      </c>
      <c r="J517" s="38" t="str">
        <f>IF(Data!I507="","",IF(ISNUMBER(MATCH(Data!J507,Data_Val!$A$2:$A$3,0)),0,1))</f>
        <v/>
      </c>
      <c r="K517" s="38" t="str">
        <f ca="1">IF(Data!I507="","",IF(ISNUMBER(Data!K507),IF(AND(Data!K507&gt;(TODAY()-(Data_Val!$K$3*365.25)),Data!K507&lt;=(TODAY()-(Data_Val!$K$2*365.25))),0,1),1))</f>
        <v/>
      </c>
      <c r="L517" s="16" t="str">
        <f>IF(Data!G507="","",IF(Data!G507=Data_Val!$C$2,IF(Data!L507="",0,1),0))</f>
        <v/>
      </c>
      <c r="M517" s="16" t="str">
        <f>IF(Data!L507="","",IF(ISNUMBER(MATCH(Data!M507,Data_Val!$A$2:$A$3,0)),0,1))</f>
        <v/>
      </c>
      <c r="N517" s="43" t="str">
        <f ca="1">IF(Data!L507="","",IF(ISNUMBER(Data!N507),IF(AND(Data!N507&gt;(TODAY()-(Data_Val!$L$3*365.25)),Data!N507&lt;=(TODAY()-(Data_Val!$L$2*365.25))),0,1),1))</f>
        <v/>
      </c>
      <c r="O517" s="18" t="str">
        <f>IF(Data!$G507="","",IF(Data!$G507=Data_Val!$C$2,IF(Data!O507="",0,1),0))</f>
        <v/>
      </c>
      <c r="P517" s="18" t="str">
        <f>IF(Data!O507="","",IF(ISNUMBER(MATCH(Data!P507,Data_Val!$A$2:$A$3,0)),0,1))</f>
        <v/>
      </c>
      <c r="Q517" s="44" t="str">
        <f ca="1">IF(Data!O507="","",IF(ISNUMBER(Data!Q507),IF(AND(Data!Q507&gt;(TODAY()-(Data_Val!$L$3*365.25)),Data!Q507&lt;=(TODAY()-(Data_Val!$L$2*365.25))),0,1),1))</f>
        <v/>
      </c>
    </row>
    <row r="518" spans="1:17" ht="12" customHeight="1" x14ac:dyDescent="0.25">
      <c r="A518" s="36" t="str">
        <f>IF(Data!B508="","",IF(COUNTIFS(Data!A$1:'Data'!A508,Data!A508)&lt;=1,0,1))</f>
        <v/>
      </c>
      <c r="B518" s="36"/>
      <c r="C518" s="36" t="str">
        <f>IF(Data!C508="","",(IF(ISNUMBER(MATCH("*@*.?*",Data!C508,0)),0,1)+IF(COUNTIFS(Data!C$1:'Data'!C508,Data!C508)&gt;1,1,0)))</f>
        <v/>
      </c>
      <c r="D518" s="36" t="str">
        <f>IF(Data!B508="","",IF(ISNUMBER(Data!D508),IF(AND(Data!D508&gt;999999999,Data!D508&lt;=9999999999),IF(COUNTIFS(Data!D$1:'Data'!D508,Data!D508)&lt;=1,0,1),1),1))</f>
        <v/>
      </c>
      <c r="E518" s="36" t="str">
        <f>IF(Data!B508="","",IF(ISNUMBER(MATCH(Data!E508,Data_Val!$A$2:$A$3,0)),0,1))</f>
        <v/>
      </c>
      <c r="F518" s="36" t="str">
        <f ca="1">IF(Data!B508="","",IF(ISNUMBER(Data!F508),IF(AND(Data!F508&gt;(TODAY()-(Data_Val!$H$3*365.25)),Data!F508&lt;=(TODAY()-(Data_Val!$H$2*365.25))),0,1),1))</f>
        <v/>
      </c>
      <c r="G518" s="12" t="str">
        <f>IF(Data!B508="","",IF(AND(Data!G508="",Data!H508&lt;&gt;""),1,IF(ISNUMBER(MATCH(Data!G508,Data_Val!$C$2:$C$5,0)),0,1)))</f>
        <v/>
      </c>
      <c r="H518" s="12" t="str">
        <f>IF(Data!B508="","",IF(AND(Data!G508&lt;&gt;"",Data!H508=""),1,IF(Data!G508="",1,IF(ISNUMBER(MATCH(Data!H508,Data_Val!$D$2:$D$35,0)),0,1))))</f>
        <v/>
      </c>
      <c r="I518" s="38" t="str">
        <f>IF(Data!G508="","",IF(Data!G508=Data_Val!$C$2,IF(Data!I508="",0,1),0))</f>
        <v/>
      </c>
      <c r="J518" s="38" t="str">
        <f>IF(Data!I508="","",IF(ISNUMBER(MATCH(Data!J508,Data_Val!$A$2:$A$3,0)),0,1))</f>
        <v/>
      </c>
      <c r="K518" s="38" t="str">
        <f ca="1">IF(Data!I508="","",IF(ISNUMBER(Data!K508),IF(AND(Data!K508&gt;(TODAY()-(Data_Val!$K$3*365.25)),Data!K508&lt;=(TODAY()-(Data_Val!$K$2*365.25))),0,1),1))</f>
        <v/>
      </c>
      <c r="L518" s="16" t="str">
        <f>IF(Data!G508="","",IF(Data!G508=Data_Val!$C$2,IF(Data!L508="",0,1),0))</f>
        <v/>
      </c>
      <c r="M518" s="16" t="str">
        <f>IF(Data!L508="","",IF(ISNUMBER(MATCH(Data!M508,Data_Val!$A$2:$A$3,0)),0,1))</f>
        <v/>
      </c>
      <c r="N518" s="43" t="str">
        <f ca="1">IF(Data!L508="","",IF(ISNUMBER(Data!N508),IF(AND(Data!N508&gt;(TODAY()-(Data_Val!$L$3*365.25)),Data!N508&lt;=(TODAY()-(Data_Val!$L$2*365.25))),0,1),1))</f>
        <v/>
      </c>
      <c r="O518" s="18" t="str">
        <f>IF(Data!$G508="","",IF(Data!$G508=Data_Val!$C$2,IF(Data!O508="",0,1),0))</f>
        <v/>
      </c>
      <c r="P518" s="18" t="str">
        <f>IF(Data!O508="","",IF(ISNUMBER(MATCH(Data!P508,Data_Val!$A$2:$A$3,0)),0,1))</f>
        <v/>
      </c>
      <c r="Q518" s="44" t="str">
        <f ca="1">IF(Data!O508="","",IF(ISNUMBER(Data!Q508),IF(AND(Data!Q508&gt;(TODAY()-(Data_Val!$L$3*365.25)),Data!Q508&lt;=(TODAY()-(Data_Val!$L$2*365.25))),0,1),1))</f>
        <v/>
      </c>
    </row>
    <row r="519" spans="1:17" ht="12" customHeight="1" x14ac:dyDescent="0.25">
      <c r="A519" s="36" t="str">
        <f>IF(Data!B509="","",IF(COUNTIFS(Data!A$1:'Data'!A509,Data!A509)&lt;=1,0,1))</f>
        <v/>
      </c>
      <c r="B519" s="36"/>
      <c r="C519" s="36" t="str">
        <f>IF(Data!C509="","",(IF(ISNUMBER(MATCH("*@*.?*",Data!C509,0)),0,1)+IF(COUNTIFS(Data!C$1:'Data'!C509,Data!C509)&gt;1,1,0)))</f>
        <v/>
      </c>
      <c r="D519" s="36" t="str">
        <f>IF(Data!B509="","",IF(ISNUMBER(Data!D509),IF(AND(Data!D509&gt;999999999,Data!D509&lt;=9999999999),IF(COUNTIFS(Data!D$1:'Data'!D509,Data!D509)&lt;=1,0,1),1),1))</f>
        <v/>
      </c>
      <c r="E519" s="36" t="str">
        <f>IF(Data!B509="","",IF(ISNUMBER(MATCH(Data!E509,Data_Val!$A$2:$A$3,0)),0,1))</f>
        <v/>
      </c>
      <c r="F519" s="36" t="str">
        <f ca="1">IF(Data!B509="","",IF(ISNUMBER(Data!F509),IF(AND(Data!F509&gt;(TODAY()-(Data_Val!$H$3*365.25)),Data!F509&lt;=(TODAY()-(Data_Val!$H$2*365.25))),0,1),1))</f>
        <v/>
      </c>
      <c r="G519" s="12" t="str">
        <f>IF(Data!B509="","",IF(AND(Data!G509="",Data!H509&lt;&gt;""),1,IF(ISNUMBER(MATCH(Data!G509,Data_Val!$C$2:$C$5,0)),0,1)))</f>
        <v/>
      </c>
      <c r="H519" s="12" t="str">
        <f>IF(Data!B509="","",IF(AND(Data!G509&lt;&gt;"",Data!H509=""),1,IF(Data!G509="",1,IF(ISNUMBER(MATCH(Data!H509,Data_Val!$D$2:$D$35,0)),0,1))))</f>
        <v/>
      </c>
      <c r="I519" s="38" t="str">
        <f>IF(Data!G509="","",IF(Data!G509=Data_Val!$C$2,IF(Data!I509="",0,1),0))</f>
        <v/>
      </c>
      <c r="J519" s="38" t="str">
        <f>IF(Data!I509="","",IF(ISNUMBER(MATCH(Data!J509,Data_Val!$A$2:$A$3,0)),0,1))</f>
        <v/>
      </c>
      <c r="K519" s="38" t="str">
        <f ca="1">IF(Data!I509="","",IF(ISNUMBER(Data!K509),IF(AND(Data!K509&gt;(TODAY()-(Data_Val!$K$3*365.25)),Data!K509&lt;=(TODAY()-(Data_Val!$K$2*365.25))),0,1),1))</f>
        <v/>
      </c>
      <c r="L519" s="16" t="str">
        <f>IF(Data!G509="","",IF(Data!G509=Data_Val!$C$2,IF(Data!L509="",0,1),0))</f>
        <v/>
      </c>
      <c r="M519" s="16" t="str">
        <f>IF(Data!L509="","",IF(ISNUMBER(MATCH(Data!M509,Data_Val!$A$2:$A$3,0)),0,1))</f>
        <v/>
      </c>
      <c r="N519" s="43" t="str">
        <f ca="1">IF(Data!L509="","",IF(ISNUMBER(Data!N509),IF(AND(Data!N509&gt;(TODAY()-(Data_Val!$L$3*365.25)),Data!N509&lt;=(TODAY()-(Data_Val!$L$2*365.25))),0,1),1))</f>
        <v/>
      </c>
      <c r="O519" s="18" t="str">
        <f>IF(Data!$G509="","",IF(Data!$G509=Data_Val!$C$2,IF(Data!O509="",0,1),0))</f>
        <v/>
      </c>
      <c r="P519" s="18" t="str">
        <f>IF(Data!O509="","",IF(ISNUMBER(MATCH(Data!P509,Data_Val!$A$2:$A$3,0)),0,1))</f>
        <v/>
      </c>
      <c r="Q519" s="44" t="str">
        <f ca="1">IF(Data!O509="","",IF(ISNUMBER(Data!Q509),IF(AND(Data!Q509&gt;(TODAY()-(Data_Val!$L$3*365.25)),Data!Q509&lt;=(TODAY()-(Data_Val!$L$2*365.25))),0,1),1))</f>
        <v/>
      </c>
    </row>
    <row r="520" spans="1:17" ht="12" customHeight="1" x14ac:dyDescent="0.25">
      <c r="A520" s="36" t="str">
        <f>IF(Data!B510="","",IF(COUNTIFS(Data!A$1:'Data'!A510,Data!A510)&lt;=1,0,1))</f>
        <v/>
      </c>
      <c r="B520" s="36"/>
      <c r="C520" s="36" t="str">
        <f>IF(Data!C510="","",(IF(ISNUMBER(MATCH("*@*.?*",Data!C510,0)),0,1)+IF(COUNTIFS(Data!C$1:'Data'!C510,Data!C510)&gt;1,1,0)))</f>
        <v/>
      </c>
      <c r="D520" s="36" t="str">
        <f>IF(Data!B510="","",IF(ISNUMBER(Data!D510),IF(AND(Data!D510&gt;999999999,Data!D510&lt;=9999999999),IF(COUNTIFS(Data!D$1:'Data'!D510,Data!D510)&lt;=1,0,1),1),1))</f>
        <v/>
      </c>
      <c r="E520" s="36" t="str">
        <f>IF(Data!B510="","",IF(ISNUMBER(MATCH(Data!E510,Data_Val!$A$2:$A$3,0)),0,1))</f>
        <v/>
      </c>
      <c r="F520" s="36" t="str">
        <f ca="1">IF(Data!B510="","",IF(ISNUMBER(Data!F510),IF(AND(Data!F510&gt;(TODAY()-(Data_Val!$H$3*365.25)),Data!F510&lt;=(TODAY()-(Data_Val!$H$2*365.25))),0,1),1))</f>
        <v/>
      </c>
      <c r="G520" s="12" t="str">
        <f>IF(Data!B510="","",IF(AND(Data!G510="",Data!H510&lt;&gt;""),1,IF(ISNUMBER(MATCH(Data!G510,Data_Val!$C$2:$C$5,0)),0,1)))</f>
        <v/>
      </c>
      <c r="H520" s="12" t="str">
        <f>IF(Data!B510="","",IF(AND(Data!G510&lt;&gt;"",Data!H510=""),1,IF(Data!G510="",1,IF(ISNUMBER(MATCH(Data!H510,Data_Val!$D$2:$D$35,0)),0,1))))</f>
        <v/>
      </c>
      <c r="I520" s="38" t="str">
        <f>IF(Data!G510="","",IF(Data!G510=Data_Val!$C$2,IF(Data!I510="",0,1),0))</f>
        <v/>
      </c>
      <c r="J520" s="38" t="str">
        <f>IF(Data!I510="","",IF(ISNUMBER(MATCH(Data!J510,Data_Val!$A$2:$A$3,0)),0,1))</f>
        <v/>
      </c>
      <c r="K520" s="38" t="str">
        <f ca="1">IF(Data!I510="","",IF(ISNUMBER(Data!K510),IF(AND(Data!K510&gt;(TODAY()-(Data_Val!$K$3*365.25)),Data!K510&lt;=(TODAY()-(Data_Val!$K$2*365.25))),0,1),1))</f>
        <v/>
      </c>
      <c r="L520" s="16" t="str">
        <f>IF(Data!G510="","",IF(Data!G510=Data_Val!$C$2,IF(Data!L510="",0,1),0))</f>
        <v/>
      </c>
      <c r="M520" s="16" t="str">
        <f>IF(Data!L510="","",IF(ISNUMBER(MATCH(Data!M510,Data_Val!$A$2:$A$3,0)),0,1))</f>
        <v/>
      </c>
      <c r="N520" s="43" t="str">
        <f ca="1">IF(Data!L510="","",IF(ISNUMBER(Data!N510),IF(AND(Data!N510&gt;(TODAY()-(Data_Val!$L$3*365.25)),Data!N510&lt;=(TODAY()-(Data_Val!$L$2*365.25))),0,1),1))</f>
        <v/>
      </c>
      <c r="O520" s="18" t="str">
        <f>IF(Data!$G510="","",IF(Data!$G510=Data_Val!$C$2,IF(Data!O510="",0,1),0))</f>
        <v/>
      </c>
      <c r="P520" s="18" t="str">
        <f>IF(Data!O510="","",IF(ISNUMBER(MATCH(Data!P510,Data_Val!$A$2:$A$3,0)),0,1))</f>
        <v/>
      </c>
      <c r="Q520" s="44" t="str">
        <f ca="1">IF(Data!O510="","",IF(ISNUMBER(Data!Q510),IF(AND(Data!Q510&gt;(TODAY()-(Data_Val!$L$3*365.25)),Data!Q510&lt;=(TODAY()-(Data_Val!$L$2*365.25))),0,1),1))</f>
        <v/>
      </c>
    </row>
    <row r="521" spans="1:17" ht="12" customHeight="1" x14ac:dyDescent="0.25">
      <c r="A521" s="36" t="str">
        <f>IF(Data!B511="","",IF(COUNTIFS(Data!A$1:'Data'!A511,Data!A511)&lt;=1,0,1))</f>
        <v/>
      </c>
      <c r="B521" s="36"/>
      <c r="C521" s="36" t="str">
        <f>IF(Data!C511="","",(IF(ISNUMBER(MATCH("*@*.?*",Data!C511,0)),0,1)+IF(COUNTIFS(Data!C$1:'Data'!C511,Data!C511)&gt;1,1,0)))</f>
        <v/>
      </c>
      <c r="D521" s="36" t="str">
        <f>IF(Data!B511="","",IF(ISNUMBER(Data!D511),IF(AND(Data!D511&gt;999999999,Data!D511&lt;=9999999999),IF(COUNTIFS(Data!D$1:'Data'!D511,Data!D511)&lt;=1,0,1),1),1))</f>
        <v/>
      </c>
      <c r="E521" s="36" t="str">
        <f>IF(Data!B511="","",IF(ISNUMBER(MATCH(Data!E511,Data_Val!$A$2:$A$3,0)),0,1))</f>
        <v/>
      </c>
      <c r="F521" s="36" t="str">
        <f ca="1">IF(Data!B511="","",IF(ISNUMBER(Data!F511),IF(AND(Data!F511&gt;(TODAY()-(Data_Val!$H$3*365.25)),Data!F511&lt;=(TODAY()-(Data_Val!$H$2*365.25))),0,1),1))</f>
        <v/>
      </c>
      <c r="G521" s="12" t="str">
        <f>IF(Data!B511="","",IF(AND(Data!G511="",Data!H511&lt;&gt;""),1,IF(ISNUMBER(MATCH(Data!G511,Data_Val!$C$2:$C$5,0)),0,1)))</f>
        <v/>
      </c>
      <c r="H521" s="12" t="str">
        <f>IF(Data!B511="","",IF(AND(Data!G511&lt;&gt;"",Data!H511=""),1,IF(Data!G511="",1,IF(ISNUMBER(MATCH(Data!H511,Data_Val!$D$2:$D$35,0)),0,1))))</f>
        <v/>
      </c>
      <c r="I521" s="38" t="str">
        <f>IF(Data!G511="","",IF(Data!G511=Data_Val!$C$2,IF(Data!I511="",0,1),0))</f>
        <v/>
      </c>
      <c r="J521" s="38" t="str">
        <f>IF(Data!I511="","",IF(ISNUMBER(MATCH(Data!J511,Data_Val!$A$2:$A$3,0)),0,1))</f>
        <v/>
      </c>
      <c r="K521" s="38" t="str">
        <f ca="1">IF(Data!I511="","",IF(ISNUMBER(Data!K511),IF(AND(Data!K511&gt;(TODAY()-(Data_Val!$K$3*365.25)),Data!K511&lt;=(TODAY()-(Data_Val!$K$2*365.25))),0,1),1))</f>
        <v/>
      </c>
      <c r="L521" s="16" t="str">
        <f>IF(Data!G511="","",IF(Data!G511=Data_Val!$C$2,IF(Data!L511="",0,1),0))</f>
        <v/>
      </c>
      <c r="M521" s="16" t="str">
        <f>IF(Data!L511="","",IF(ISNUMBER(MATCH(Data!M511,Data_Val!$A$2:$A$3,0)),0,1))</f>
        <v/>
      </c>
      <c r="N521" s="43" t="str">
        <f ca="1">IF(Data!L511="","",IF(ISNUMBER(Data!N511),IF(AND(Data!N511&gt;(TODAY()-(Data_Val!$L$3*365.25)),Data!N511&lt;=(TODAY()-(Data_Val!$L$2*365.25))),0,1),1))</f>
        <v/>
      </c>
      <c r="O521" s="18" t="str">
        <f>IF(Data!$G511="","",IF(Data!$G511=Data_Val!$C$2,IF(Data!O511="",0,1),0))</f>
        <v/>
      </c>
      <c r="P521" s="18" t="str">
        <f>IF(Data!O511="","",IF(ISNUMBER(MATCH(Data!P511,Data_Val!$A$2:$A$3,0)),0,1))</f>
        <v/>
      </c>
      <c r="Q521" s="44" t="str">
        <f ca="1">IF(Data!O511="","",IF(ISNUMBER(Data!Q511),IF(AND(Data!Q511&gt;(TODAY()-(Data_Val!$L$3*365.25)),Data!Q511&lt;=(TODAY()-(Data_Val!$L$2*365.25))),0,1),1))</f>
        <v/>
      </c>
    </row>
    <row r="522" spans="1:17" ht="12" customHeight="1" x14ac:dyDescent="0.25">
      <c r="A522" s="36" t="str">
        <f>IF(Data!B512="","",IF(COUNTIFS(Data!A$1:'Data'!A512,Data!A512)&lt;=1,0,1))</f>
        <v/>
      </c>
      <c r="B522" s="36"/>
      <c r="C522" s="36" t="str">
        <f>IF(Data!C512="","",(IF(ISNUMBER(MATCH("*@*.?*",Data!C512,0)),0,1)+IF(COUNTIFS(Data!C$1:'Data'!C512,Data!C512)&gt;1,1,0)))</f>
        <v/>
      </c>
      <c r="D522" s="36" t="str">
        <f>IF(Data!B512="","",IF(ISNUMBER(Data!D512),IF(AND(Data!D512&gt;999999999,Data!D512&lt;=9999999999),IF(COUNTIFS(Data!D$1:'Data'!D512,Data!D512)&lt;=1,0,1),1),1))</f>
        <v/>
      </c>
      <c r="E522" s="36" t="str">
        <f>IF(Data!B512="","",IF(ISNUMBER(MATCH(Data!E512,Data_Val!$A$2:$A$3,0)),0,1))</f>
        <v/>
      </c>
      <c r="F522" s="36" t="str">
        <f ca="1">IF(Data!B512="","",IF(ISNUMBER(Data!F512),IF(AND(Data!F512&gt;(TODAY()-(Data_Val!$H$3*365.25)),Data!F512&lt;=(TODAY()-(Data_Val!$H$2*365.25))),0,1),1))</f>
        <v/>
      </c>
      <c r="G522" s="12" t="str">
        <f>IF(Data!B512="","",IF(AND(Data!G512="",Data!H512&lt;&gt;""),1,IF(ISNUMBER(MATCH(Data!G512,Data_Val!$C$2:$C$5,0)),0,1)))</f>
        <v/>
      </c>
      <c r="H522" s="12" t="str">
        <f>IF(Data!B512="","",IF(AND(Data!G512&lt;&gt;"",Data!H512=""),1,IF(Data!G512="",1,IF(ISNUMBER(MATCH(Data!H512,Data_Val!$D$2:$D$35,0)),0,1))))</f>
        <v/>
      </c>
      <c r="I522" s="38" t="str">
        <f>IF(Data!G512="","",IF(Data!G512=Data_Val!$C$2,IF(Data!I512="",0,1),0))</f>
        <v/>
      </c>
      <c r="J522" s="38" t="str">
        <f>IF(Data!I512="","",IF(ISNUMBER(MATCH(Data!J512,Data_Val!$A$2:$A$3,0)),0,1))</f>
        <v/>
      </c>
      <c r="K522" s="38" t="str">
        <f ca="1">IF(Data!I512="","",IF(ISNUMBER(Data!K512),IF(AND(Data!K512&gt;(TODAY()-(Data_Val!$K$3*365.25)),Data!K512&lt;=(TODAY()-(Data_Val!$K$2*365.25))),0,1),1))</f>
        <v/>
      </c>
      <c r="L522" s="16" t="str">
        <f>IF(Data!G512="","",IF(Data!G512=Data_Val!$C$2,IF(Data!L512="",0,1),0))</f>
        <v/>
      </c>
      <c r="M522" s="16" t="str">
        <f>IF(Data!L512="","",IF(ISNUMBER(MATCH(Data!M512,Data_Val!$A$2:$A$3,0)),0,1))</f>
        <v/>
      </c>
      <c r="N522" s="43" t="str">
        <f ca="1">IF(Data!L512="","",IF(ISNUMBER(Data!N512),IF(AND(Data!N512&gt;(TODAY()-(Data_Val!$L$3*365.25)),Data!N512&lt;=(TODAY()-(Data_Val!$L$2*365.25))),0,1),1))</f>
        <v/>
      </c>
      <c r="O522" s="18" t="str">
        <f>IF(Data!$G512="","",IF(Data!$G512=Data_Val!$C$2,IF(Data!O512="",0,1),0))</f>
        <v/>
      </c>
      <c r="P522" s="18" t="str">
        <f>IF(Data!O512="","",IF(ISNUMBER(MATCH(Data!P512,Data_Val!$A$2:$A$3,0)),0,1))</f>
        <v/>
      </c>
      <c r="Q522" s="44" t="str">
        <f ca="1">IF(Data!O512="","",IF(ISNUMBER(Data!Q512),IF(AND(Data!Q512&gt;(TODAY()-(Data_Val!$L$3*365.25)),Data!Q512&lt;=(TODAY()-(Data_Val!$L$2*365.25))),0,1),1))</f>
        <v/>
      </c>
    </row>
    <row r="523" spans="1:17" ht="12" customHeight="1" x14ac:dyDescent="0.25">
      <c r="A523" s="36" t="str">
        <f>IF(Data!B513="","",IF(COUNTIFS(Data!A$1:'Data'!A513,Data!A513)&lt;=1,0,1))</f>
        <v/>
      </c>
      <c r="B523" s="36"/>
      <c r="C523" s="36" t="str">
        <f>IF(Data!C513="","",(IF(ISNUMBER(MATCH("*@*.?*",Data!C513,0)),0,1)+IF(COUNTIFS(Data!C$1:'Data'!C513,Data!C513)&gt;1,1,0)))</f>
        <v/>
      </c>
      <c r="D523" s="36" t="str">
        <f>IF(Data!B513="","",IF(ISNUMBER(Data!D513),IF(AND(Data!D513&gt;999999999,Data!D513&lt;=9999999999),IF(COUNTIFS(Data!D$1:'Data'!D513,Data!D513)&lt;=1,0,1),1),1))</f>
        <v/>
      </c>
      <c r="E523" s="36" t="str">
        <f>IF(Data!B513="","",IF(ISNUMBER(MATCH(Data!E513,Data_Val!$A$2:$A$3,0)),0,1))</f>
        <v/>
      </c>
      <c r="F523" s="36" t="str">
        <f ca="1">IF(Data!B513="","",IF(ISNUMBER(Data!F513),IF(AND(Data!F513&gt;(TODAY()-(Data_Val!$H$3*365.25)),Data!F513&lt;=(TODAY()-(Data_Val!$H$2*365.25))),0,1),1))</f>
        <v/>
      </c>
      <c r="G523" s="12" t="str">
        <f>IF(Data!B513="","",IF(AND(Data!G513="",Data!H513&lt;&gt;""),1,IF(ISNUMBER(MATCH(Data!G513,Data_Val!$C$2:$C$5,0)),0,1)))</f>
        <v/>
      </c>
      <c r="H523" s="12" t="str">
        <f>IF(Data!B513="","",IF(AND(Data!G513&lt;&gt;"",Data!H513=""),1,IF(Data!G513="",1,IF(ISNUMBER(MATCH(Data!H513,Data_Val!$D$2:$D$35,0)),0,1))))</f>
        <v/>
      </c>
      <c r="I523" s="38" t="str">
        <f>IF(Data!G513="","",IF(Data!G513=Data_Val!$C$2,IF(Data!I513="",0,1),0))</f>
        <v/>
      </c>
      <c r="J523" s="38" t="str">
        <f>IF(Data!I513="","",IF(ISNUMBER(MATCH(Data!J513,Data_Val!$A$2:$A$3,0)),0,1))</f>
        <v/>
      </c>
      <c r="K523" s="38" t="str">
        <f ca="1">IF(Data!I513="","",IF(ISNUMBER(Data!K513),IF(AND(Data!K513&gt;(TODAY()-(Data_Val!$K$3*365.25)),Data!K513&lt;=(TODAY()-(Data_Val!$K$2*365.25))),0,1),1))</f>
        <v/>
      </c>
      <c r="L523" s="16" t="str">
        <f>IF(Data!G513="","",IF(Data!G513=Data_Val!$C$2,IF(Data!L513="",0,1),0))</f>
        <v/>
      </c>
      <c r="M523" s="16" t="str">
        <f>IF(Data!L513="","",IF(ISNUMBER(MATCH(Data!M513,Data_Val!$A$2:$A$3,0)),0,1))</f>
        <v/>
      </c>
      <c r="N523" s="43" t="str">
        <f ca="1">IF(Data!L513="","",IF(ISNUMBER(Data!N513),IF(AND(Data!N513&gt;(TODAY()-(Data_Val!$L$3*365.25)),Data!N513&lt;=(TODAY()-(Data_Val!$L$2*365.25))),0,1),1))</f>
        <v/>
      </c>
      <c r="O523" s="18" t="str">
        <f>IF(Data!$G513="","",IF(Data!$G513=Data_Val!$C$2,IF(Data!O513="",0,1),0))</f>
        <v/>
      </c>
      <c r="P523" s="18" t="str">
        <f>IF(Data!O513="","",IF(ISNUMBER(MATCH(Data!P513,Data_Val!$A$2:$A$3,0)),0,1))</f>
        <v/>
      </c>
      <c r="Q523" s="44" t="str">
        <f ca="1">IF(Data!O513="","",IF(ISNUMBER(Data!Q513),IF(AND(Data!Q513&gt;(TODAY()-(Data_Val!$L$3*365.25)),Data!Q513&lt;=(TODAY()-(Data_Val!$L$2*365.25))),0,1),1))</f>
        <v/>
      </c>
    </row>
    <row r="524" spans="1:17" ht="12" customHeight="1" x14ac:dyDescent="0.25">
      <c r="A524" s="36" t="str">
        <f>IF(Data!B514="","",IF(COUNTIFS(Data!A$1:'Data'!A514,Data!A514)&lt;=1,0,1))</f>
        <v/>
      </c>
      <c r="B524" s="36"/>
      <c r="C524" s="36" t="str">
        <f>IF(Data!C514="","",(IF(ISNUMBER(MATCH("*@*.?*",Data!C514,0)),0,1)+IF(COUNTIFS(Data!C$1:'Data'!C514,Data!C514)&gt;1,1,0)))</f>
        <v/>
      </c>
      <c r="D524" s="36" t="str">
        <f>IF(Data!B514="","",IF(ISNUMBER(Data!D514),IF(AND(Data!D514&gt;999999999,Data!D514&lt;=9999999999),IF(COUNTIFS(Data!D$1:'Data'!D514,Data!D514)&lt;=1,0,1),1),1))</f>
        <v/>
      </c>
      <c r="E524" s="36" t="str">
        <f>IF(Data!B514="","",IF(ISNUMBER(MATCH(Data!E514,Data_Val!$A$2:$A$3,0)),0,1))</f>
        <v/>
      </c>
      <c r="F524" s="36" t="str">
        <f ca="1">IF(Data!B514="","",IF(ISNUMBER(Data!F514),IF(AND(Data!F514&gt;(TODAY()-(Data_Val!$H$3*365.25)),Data!F514&lt;=(TODAY()-(Data_Val!$H$2*365.25))),0,1),1))</f>
        <v/>
      </c>
      <c r="G524" s="12" t="str">
        <f>IF(Data!B514="","",IF(AND(Data!G514="",Data!H514&lt;&gt;""),1,IF(ISNUMBER(MATCH(Data!G514,Data_Val!$C$2:$C$5,0)),0,1)))</f>
        <v/>
      </c>
      <c r="H524" s="12" t="str">
        <f>IF(Data!B514="","",IF(AND(Data!G514&lt;&gt;"",Data!H514=""),1,IF(Data!G514="",1,IF(ISNUMBER(MATCH(Data!H514,Data_Val!$D$2:$D$35,0)),0,1))))</f>
        <v/>
      </c>
      <c r="I524" s="38" t="str">
        <f>IF(Data!G514="","",IF(Data!G514=Data_Val!$C$2,IF(Data!I514="",0,1),0))</f>
        <v/>
      </c>
      <c r="J524" s="38" t="str">
        <f>IF(Data!I514="","",IF(ISNUMBER(MATCH(Data!J514,Data_Val!$A$2:$A$3,0)),0,1))</f>
        <v/>
      </c>
      <c r="K524" s="38" t="str">
        <f ca="1">IF(Data!I514="","",IF(ISNUMBER(Data!K514),IF(AND(Data!K514&gt;(TODAY()-(Data_Val!$K$3*365.25)),Data!K514&lt;=(TODAY()-(Data_Val!$K$2*365.25))),0,1),1))</f>
        <v/>
      </c>
      <c r="L524" s="16" t="str">
        <f>IF(Data!G514="","",IF(Data!G514=Data_Val!$C$2,IF(Data!L514="",0,1),0))</f>
        <v/>
      </c>
      <c r="M524" s="16" t="str">
        <f>IF(Data!L514="","",IF(ISNUMBER(MATCH(Data!M514,Data_Val!$A$2:$A$3,0)),0,1))</f>
        <v/>
      </c>
      <c r="N524" s="43" t="str">
        <f ca="1">IF(Data!L514="","",IF(ISNUMBER(Data!N514),IF(AND(Data!N514&gt;(TODAY()-(Data_Val!$L$3*365.25)),Data!N514&lt;=(TODAY()-(Data_Val!$L$2*365.25))),0,1),1))</f>
        <v/>
      </c>
      <c r="O524" s="18" t="str">
        <f>IF(Data!$G514="","",IF(Data!$G514=Data_Val!$C$2,IF(Data!O514="",0,1),0))</f>
        <v/>
      </c>
      <c r="P524" s="18" t="str">
        <f>IF(Data!O514="","",IF(ISNUMBER(MATCH(Data!P514,Data_Val!$A$2:$A$3,0)),0,1))</f>
        <v/>
      </c>
      <c r="Q524" s="44" t="str">
        <f ca="1">IF(Data!O514="","",IF(ISNUMBER(Data!Q514),IF(AND(Data!Q514&gt;(TODAY()-(Data_Val!$L$3*365.25)),Data!Q514&lt;=(TODAY()-(Data_Val!$L$2*365.25))),0,1),1))</f>
        <v/>
      </c>
    </row>
    <row r="525" spans="1:17" ht="12" customHeight="1" x14ac:dyDescent="0.25">
      <c r="A525" s="36" t="str">
        <f>IF(Data!B515="","",IF(COUNTIFS(Data!A$1:'Data'!A515,Data!A515)&lt;=1,0,1))</f>
        <v/>
      </c>
      <c r="B525" s="36"/>
      <c r="C525" s="36" t="str">
        <f>IF(Data!C515="","",(IF(ISNUMBER(MATCH("*@*.?*",Data!C515,0)),0,1)+IF(COUNTIFS(Data!C$1:'Data'!C515,Data!C515)&gt;1,1,0)))</f>
        <v/>
      </c>
      <c r="D525" s="36" t="str">
        <f>IF(Data!B515="","",IF(ISNUMBER(Data!D515),IF(AND(Data!D515&gt;999999999,Data!D515&lt;=9999999999),IF(COUNTIFS(Data!D$1:'Data'!D515,Data!D515)&lt;=1,0,1),1),1))</f>
        <v/>
      </c>
      <c r="E525" s="36" t="str">
        <f>IF(Data!B515="","",IF(ISNUMBER(MATCH(Data!E515,Data_Val!$A$2:$A$3,0)),0,1))</f>
        <v/>
      </c>
      <c r="F525" s="36" t="str">
        <f ca="1">IF(Data!B515="","",IF(ISNUMBER(Data!F515),IF(AND(Data!F515&gt;(TODAY()-(Data_Val!$H$3*365.25)),Data!F515&lt;=(TODAY()-(Data_Val!$H$2*365.25))),0,1),1))</f>
        <v/>
      </c>
      <c r="G525" s="12" t="str">
        <f>IF(Data!B515="","",IF(AND(Data!G515="",Data!H515&lt;&gt;""),1,IF(ISNUMBER(MATCH(Data!G515,Data_Val!$C$2:$C$5,0)),0,1)))</f>
        <v/>
      </c>
      <c r="H525" s="12" t="str">
        <f>IF(Data!B515="","",IF(AND(Data!G515&lt;&gt;"",Data!H515=""),1,IF(Data!G515="",1,IF(ISNUMBER(MATCH(Data!H515,Data_Val!$D$2:$D$35,0)),0,1))))</f>
        <v/>
      </c>
      <c r="I525" s="38" t="str">
        <f>IF(Data!G515="","",IF(Data!G515=Data_Val!$C$2,IF(Data!I515="",0,1),0))</f>
        <v/>
      </c>
      <c r="J525" s="38" t="str">
        <f>IF(Data!I515="","",IF(ISNUMBER(MATCH(Data!J515,Data_Val!$A$2:$A$3,0)),0,1))</f>
        <v/>
      </c>
      <c r="K525" s="38" t="str">
        <f ca="1">IF(Data!I515="","",IF(ISNUMBER(Data!K515),IF(AND(Data!K515&gt;(TODAY()-(Data_Val!$K$3*365.25)),Data!K515&lt;=(TODAY()-(Data_Val!$K$2*365.25))),0,1),1))</f>
        <v/>
      </c>
      <c r="L525" s="16" t="str">
        <f>IF(Data!G515="","",IF(Data!G515=Data_Val!$C$2,IF(Data!L515="",0,1),0))</f>
        <v/>
      </c>
      <c r="M525" s="16" t="str">
        <f>IF(Data!L515="","",IF(ISNUMBER(MATCH(Data!M515,Data_Val!$A$2:$A$3,0)),0,1))</f>
        <v/>
      </c>
      <c r="N525" s="43" t="str">
        <f ca="1">IF(Data!L515="","",IF(ISNUMBER(Data!N515),IF(AND(Data!N515&gt;(TODAY()-(Data_Val!$L$3*365.25)),Data!N515&lt;=(TODAY()-(Data_Val!$L$2*365.25))),0,1),1))</f>
        <v/>
      </c>
      <c r="O525" s="18" t="str">
        <f>IF(Data!$G515="","",IF(Data!$G515=Data_Val!$C$2,IF(Data!O515="",0,1),0))</f>
        <v/>
      </c>
      <c r="P525" s="18" t="str">
        <f>IF(Data!O515="","",IF(ISNUMBER(MATCH(Data!P515,Data_Val!$A$2:$A$3,0)),0,1))</f>
        <v/>
      </c>
      <c r="Q525" s="44" t="str">
        <f ca="1">IF(Data!O515="","",IF(ISNUMBER(Data!Q515),IF(AND(Data!Q515&gt;(TODAY()-(Data_Val!$L$3*365.25)),Data!Q515&lt;=(TODAY()-(Data_Val!$L$2*365.25))),0,1),1))</f>
        <v/>
      </c>
    </row>
    <row r="526" spans="1:17" ht="12" customHeight="1" x14ac:dyDescent="0.25">
      <c r="A526" s="36" t="str">
        <f>IF(Data!B516="","",IF(COUNTIFS(Data!A$1:'Data'!A516,Data!A516)&lt;=1,0,1))</f>
        <v/>
      </c>
      <c r="B526" s="36"/>
      <c r="C526" s="36" t="str">
        <f>IF(Data!C516="","",(IF(ISNUMBER(MATCH("*@*.?*",Data!C516,0)),0,1)+IF(COUNTIFS(Data!C$1:'Data'!C516,Data!C516)&gt;1,1,0)))</f>
        <v/>
      </c>
      <c r="D526" s="36" t="str">
        <f>IF(Data!B516="","",IF(ISNUMBER(Data!D516),IF(AND(Data!D516&gt;999999999,Data!D516&lt;=9999999999),IF(COUNTIFS(Data!D$1:'Data'!D516,Data!D516)&lt;=1,0,1),1),1))</f>
        <v/>
      </c>
      <c r="E526" s="36" t="str">
        <f>IF(Data!B516="","",IF(ISNUMBER(MATCH(Data!E516,Data_Val!$A$2:$A$3,0)),0,1))</f>
        <v/>
      </c>
      <c r="F526" s="36" t="str">
        <f ca="1">IF(Data!B516="","",IF(ISNUMBER(Data!F516),IF(AND(Data!F516&gt;(TODAY()-(Data_Val!$H$3*365.25)),Data!F516&lt;=(TODAY()-(Data_Val!$H$2*365.25))),0,1),1))</f>
        <v/>
      </c>
      <c r="G526" s="12" t="str">
        <f>IF(Data!B516="","",IF(AND(Data!G516="",Data!H516&lt;&gt;""),1,IF(ISNUMBER(MATCH(Data!G516,Data_Val!$C$2:$C$5,0)),0,1)))</f>
        <v/>
      </c>
      <c r="H526" s="12" t="str">
        <f>IF(Data!B516="","",IF(AND(Data!G516&lt;&gt;"",Data!H516=""),1,IF(Data!G516="",1,IF(ISNUMBER(MATCH(Data!H516,Data_Val!$D$2:$D$35,0)),0,1))))</f>
        <v/>
      </c>
      <c r="I526" s="38" t="str">
        <f>IF(Data!G516="","",IF(Data!G516=Data_Val!$C$2,IF(Data!I516="",0,1),0))</f>
        <v/>
      </c>
      <c r="J526" s="38" t="str">
        <f>IF(Data!I516="","",IF(ISNUMBER(MATCH(Data!J516,Data_Val!$A$2:$A$3,0)),0,1))</f>
        <v/>
      </c>
      <c r="K526" s="38" t="str">
        <f ca="1">IF(Data!I516="","",IF(ISNUMBER(Data!K516),IF(AND(Data!K516&gt;(TODAY()-(Data_Val!$K$3*365.25)),Data!K516&lt;=(TODAY()-(Data_Val!$K$2*365.25))),0,1),1))</f>
        <v/>
      </c>
      <c r="L526" s="16" t="str">
        <f>IF(Data!G516="","",IF(Data!G516=Data_Val!$C$2,IF(Data!L516="",0,1),0))</f>
        <v/>
      </c>
      <c r="M526" s="16" t="str">
        <f>IF(Data!L516="","",IF(ISNUMBER(MATCH(Data!M516,Data_Val!$A$2:$A$3,0)),0,1))</f>
        <v/>
      </c>
      <c r="N526" s="43" t="str">
        <f ca="1">IF(Data!L516="","",IF(ISNUMBER(Data!N516),IF(AND(Data!N516&gt;(TODAY()-(Data_Val!$L$3*365.25)),Data!N516&lt;=(TODAY()-(Data_Val!$L$2*365.25))),0,1),1))</f>
        <v/>
      </c>
      <c r="O526" s="18" t="str">
        <f>IF(Data!$G516="","",IF(Data!$G516=Data_Val!$C$2,IF(Data!O516="",0,1),0))</f>
        <v/>
      </c>
      <c r="P526" s="18" t="str">
        <f>IF(Data!O516="","",IF(ISNUMBER(MATCH(Data!P516,Data_Val!$A$2:$A$3,0)),0,1))</f>
        <v/>
      </c>
      <c r="Q526" s="44" t="str">
        <f ca="1">IF(Data!O516="","",IF(ISNUMBER(Data!Q516),IF(AND(Data!Q516&gt;(TODAY()-(Data_Val!$L$3*365.25)),Data!Q516&lt;=(TODAY()-(Data_Val!$L$2*365.25))),0,1),1))</f>
        <v/>
      </c>
    </row>
    <row r="527" spans="1:17" ht="12" customHeight="1" x14ac:dyDescent="0.25">
      <c r="A527" s="36" t="str">
        <f>IF(Data!B517="","",IF(COUNTIFS(Data!A$1:'Data'!A517,Data!A517)&lt;=1,0,1))</f>
        <v/>
      </c>
      <c r="B527" s="36"/>
      <c r="C527" s="36" t="str">
        <f>IF(Data!C517="","",(IF(ISNUMBER(MATCH("*@*.?*",Data!C517,0)),0,1)+IF(COUNTIFS(Data!C$1:'Data'!C517,Data!C517)&gt;1,1,0)))</f>
        <v/>
      </c>
      <c r="D527" s="36" t="str">
        <f>IF(Data!B517="","",IF(ISNUMBER(Data!D517),IF(AND(Data!D517&gt;999999999,Data!D517&lt;=9999999999),IF(COUNTIFS(Data!D$1:'Data'!D517,Data!D517)&lt;=1,0,1),1),1))</f>
        <v/>
      </c>
      <c r="E527" s="36" t="str">
        <f>IF(Data!B517="","",IF(ISNUMBER(MATCH(Data!E517,Data_Val!$A$2:$A$3,0)),0,1))</f>
        <v/>
      </c>
      <c r="F527" s="36" t="str">
        <f ca="1">IF(Data!B517="","",IF(ISNUMBER(Data!F517),IF(AND(Data!F517&gt;(TODAY()-(Data_Val!$H$3*365.25)),Data!F517&lt;=(TODAY()-(Data_Val!$H$2*365.25))),0,1),1))</f>
        <v/>
      </c>
      <c r="G527" s="12" t="str">
        <f>IF(Data!B517="","",IF(AND(Data!G517="",Data!H517&lt;&gt;""),1,IF(ISNUMBER(MATCH(Data!G517,Data_Val!$C$2:$C$5,0)),0,1)))</f>
        <v/>
      </c>
      <c r="H527" s="12" t="str">
        <f>IF(Data!B517="","",IF(AND(Data!G517&lt;&gt;"",Data!H517=""),1,IF(Data!G517="",1,IF(ISNUMBER(MATCH(Data!H517,Data_Val!$D$2:$D$35,0)),0,1))))</f>
        <v/>
      </c>
      <c r="I527" s="38" t="str">
        <f>IF(Data!G517="","",IF(Data!G517=Data_Val!$C$2,IF(Data!I517="",0,1),0))</f>
        <v/>
      </c>
      <c r="J527" s="38" t="str">
        <f>IF(Data!I517="","",IF(ISNUMBER(MATCH(Data!J517,Data_Val!$A$2:$A$3,0)),0,1))</f>
        <v/>
      </c>
      <c r="K527" s="38" t="str">
        <f ca="1">IF(Data!I517="","",IF(ISNUMBER(Data!K517),IF(AND(Data!K517&gt;(TODAY()-(Data_Val!$K$3*365.25)),Data!K517&lt;=(TODAY()-(Data_Val!$K$2*365.25))),0,1),1))</f>
        <v/>
      </c>
      <c r="L527" s="16" t="str">
        <f>IF(Data!G517="","",IF(Data!G517=Data_Val!$C$2,IF(Data!L517="",0,1),0))</f>
        <v/>
      </c>
      <c r="M527" s="16" t="str">
        <f>IF(Data!L517="","",IF(ISNUMBER(MATCH(Data!M517,Data_Val!$A$2:$A$3,0)),0,1))</f>
        <v/>
      </c>
      <c r="N527" s="43" t="str">
        <f ca="1">IF(Data!L517="","",IF(ISNUMBER(Data!N517),IF(AND(Data!N517&gt;(TODAY()-(Data_Val!$L$3*365.25)),Data!N517&lt;=(TODAY()-(Data_Val!$L$2*365.25))),0,1),1))</f>
        <v/>
      </c>
      <c r="O527" s="18" t="str">
        <f>IF(Data!$G517="","",IF(Data!$G517=Data_Val!$C$2,IF(Data!O517="",0,1),0))</f>
        <v/>
      </c>
      <c r="P527" s="18" t="str">
        <f>IF(Data!O517="","",IF(ISNUMBER(MATCH(Data!P517,Data_Val!$A$2:$A$3,0)),0,1))</f>
        <v/>
      </c>
      <c r="Q527" s="44" t="str">
        <f ca="1">IF(Data!O517="","",IF(ISNUMBER(Data!Q517),IF(AND(Data!Q517&gt;(TODAY()-(Data_Val!$L$3*365.25)),Data!Q517&lt;=(TODAY()-(Data_Val!$L$2*365.25))),0,1),1))</f>
        <v/>
      </c>
    </row>
    <row r="528" spans="1:17" ht="12" customHeight="1" x14ac:dyDescent="0.25">
      <c r="A528" s="36" t="str">
        <f>IF(Data!B518="","",IF(COUNTIFS(Data!A$1:'Data'!A518,Data!A518)&lt;=1,0,1))</f>
        <v/>
      </c>
      <c r="B528" s="36"/>
      <c r="C528" s="36" t="str">
        <f>IF(Data!C518="","",(IF(ISNUMBER(MATCH("*@*.?*",Data!C518,0)),0,1)+IF(COUNTIFS(Data!C$1:'Data'!C518,Data!C518)&gt;1,1,0)))</f>
        <v/>
      </c>
      <c r="D528" s="36" t="str">
        <f>IF(Data!B518="","",IF(ISNUMBER(Data!D518),IF(AND(Data!D518&gt;999999999,Data!D518&lt;=9999999999),IF(COUNTIFS(Data!D$1:'Data'!D518,Data!D518)&lt;=1,0,1),1),1))</f>
        <v/>
      </c>
      <c r="E528" s="36" t="str">
        <f>IF(Data!B518="","",IF(ISNUMBER(MATCH(Data!E518,Data_Val!$A$2:$A$3,0)),0,1))</f>
        <v/>
      </c>
      <c r="F528" s="36" t="str">
        <f ca="1">IF(Data!B518="","",IF(ISNUMBER(Data!F518),IF(AND(Data!F518&gt;(TODAY()-(Data_Val!$H$3*365.25)),Data!F518&lt;=(TODAY()-(Data_Val!$H$2*365.25))),0,1),1))</f>
        <v/>
      </c>
      <c r="G528" s="12" t="str">
        <f>IF(Data!B518="","",IF(AND(Data!G518="",Data!H518&lt;&gt;""),1,IF(ISNUMBER(MATCH(Data!G518,Data_Val!$C$2:$C$5,0)),0,1)))</f>
        <v/>
      </c>
      <c r="H528" s="12" t="str">
        <f>IF(Data!B518="","",IF(AND(Data!G518&lt;&gt;"",Data!H518=""),1,IF(Data!G518="",1,IF(ISNUMBER(MATCH(Data!H518,Data_Val!$D$2:$D$35,0)),0,1))))</f>
        <v/>
      </c>
      <c r="I528" s="38" t="str">
        <f>IF(Data!G518="","",IF(Data!G518=Data_Val!$C$2,IF(Data!I518="",0,1),0))</f>
        <v/>
      </c>
      <c r="J528" s="38" t="str">
        <f>IF(Data!I518="","",IF(ISNUMBER(MATCH(Data!J518,Data_Val!$A$2:$A$3,0)),0,1))</f>
        <v/>
      </c>
      <c r="K528" s="38" t="str">
        <f ca="1">IF(Data!I518="","",IF(ISNUMBER(Data!K518),IF(AND(Data!K518&gt;(TODAY()-(Data_Val!$K$3*365.25)),Data!K518&lt;=(TODAY()-(Data_Val!$K$2*365.25))),0,1),1))</f>
        <v/>
      </c>
      <c r="L528" s="16" t="str">
        <f>IF(Data!G518="","",IF(Data!G518=Data_Val!$C$2,IF(Data!L518="",0,1),0))</f>
        <v/>
      </c>
      <c r="M528" s="16" t="str">
        <f>IF(Data!L518="","",IF(ISNUMBER(MATCH(Data!M518,Data_Val!$A$2:$A$3,0)),0,1))</f>
        <v/>
      </c>
      <c r="N528" s="43" t="str">
        <f ca="1">IF(Data!L518="","",IF(ISNUMBER(Data!N518),IF(AND(Data!N518&gt;(TODAY()-(Data_Val!$L$3*365.25)),Data!N518&lt;=(TODAY()-(Data_Val!$L$2*365.25))),0,1),1))</f>
        <v/>
      </c>
      <c r="O528" s="18" t="str">
        <f>IF(Data!$G518="","",IF(Data!$G518=Data_Val!$C$2,IF(Data!O518="",0,1),0))</f>
        <v/>
      </c>
      <c r="P528" s="18" t="str">
        <f>IF(Data!O518="","",IF(ISNUMBER(MATCH(Data!P518,Data_Val!$A$2:$A$3,0)),0,1))</f>
        <v/>
      </c>
      <c r="Q528" s="44" t="str">
        <f ca="1">IF(Data!O518="","",IF(ISNUMBER(Data!Q518),IF(AND(Data!Q518&gt;(TODAY()-(Data_Val!$L$3*365.25)),Data!Q518&lt;=(TODAY()-(Data_Val!$L$2*365.25))),0,1),1))</f>
        <v/>
      </c>
    </row>
    <row r="529" spans="1:17" ht="12" customHeight="1" x14ac:dyDescent="0.25">
      <c r="A529" s="36" t="str">
        <f>IF(Data!B519="","",IF(COUNTIFS(Data!A$1:'Data'!A519,Data!A519)&lt;=1,0,1))</f>
        <v/>
      </c>
      <c r="B529" s="36"/>
      <c r="C529" s="36" t="str">
        <f>IF(Data!C519="","",(IF(ISNUMBER(MATCH("*@*.?*",Data!C519,0)),0,1)+IF(COUNTIFS(Data!C$1:'Data'!C519,Data!C519)&gt;1,1,0)))</f>
        <v/>
      </c>
      <c r="D529" s="36" t="str">
        <f>IF(Data!B519="","",IF(ISNUMBER(Data!D519),IF(AND(Data!D519&gt;999999999,Data!D519&lt;=9999999999),IF(COUNTIFS(Data!D$1:'Data'!D519,Data!D519)&lt;=1,0,1),1),1))</f>
        <v/>
      </c>
      <c r="E529" s="36" t="str">
        <f>IF(Data!B519="","",IF(ISNUMBER(MATCH(Data!E519,Data_Val!$A$2:$A$3,0)),0,1))</f>
        <v/>
      </c>
      <c r="F529" s="36" t="str">
        <f ca="1">IF(Data!B519="","",IF(ISNUMBER(Data!F519),IF(AND(Data!F519&gt;(TODAY()-(Data_Val!$H$3*365.25)),Data!F519&lt;=(TODAY()-(Data_Val!$H$2*365.25))),0,1),1))</f>
        <v/>
      </c>
      <c r="G529" s="12" t="str">
        <f>IF(Data!B519="","",IF(AND(Data!G519="",Data!H519&lt;&gt;""),1,IF(ISNUMBER(MATCH(Data!G519,Data_Val!$C$2:$C$5,0)),0,1)))</f>
        <v/>
      </c>
      <c r="H529" s="12" t="str">
        <f>IF(Data!B519="","",IF(AND(Data!G519&lt;&gt;"",Data!H519=""),1,IF(Data!G519="",1,IF(ISNUMBER(MATCH(Data!H519,Data_Val!$D$2:$D$35,0)),0,1))))</f>
        <v/>
      </c>
      <c r="I529" s="38" t="str">
        <f>IF(Data!G519="","",IF(Data!G519=Data_Val!$C$2,IF(Data!I519="",0,1),0))</f>
        <v/>
      </c>
      <c r="J529" s="38" t="str">
        <f>IF(Data!I519="","",IF(ISNUMBER(MATCH(Data!J519,Data_Val!$A$2:$A$3,0)),0,1))</f>
        <v/>
      </c>
      <c r="K529" s="38" t="str">
        <f ca="1">IF(Data!I519="","",IF(ISNUMBER(Data!K519),IF(AND(Data!K519&gt;(TODAY()-(Data_Val!$K$3*365.25)),Data!K519&lt;=(TODAY()-(Data_Val!$K$2*365.25))),0,1),1))</f>
        <v/>
      </c>
      <c r="L529" s="16" t="str">
        <f>IF(Data!G519="","",IF(Data!G519=Data_Val!$C$2,IF(Data!L519="",0,1),0))</f>
        <v/>
      </c>
      <c r="M529" s="16" t="str">
        <f>IF(Data!L519="","",IF(ISNUMBER(MATCH(Data!M519,Data_Val!$A$2:$A$3,0)),0,1))</f>
        <v/>
      </c>
      <c r="N529" s="43" t="str">
        <f ca="1">IF(Data!L519="","",IF(ISNUMBER(Data!N519),IF(AND(Data!N519&gt;(TODAY()-(Data_Val!$L$3*365.25)),Data!N519&lt;=(TODAY()-(Data_Val!$L$2*365.25))),0,1),1))</f>
        <v/>
      </c>
      <c r="O529" s="18" t="str">
        <f>IF(Data!$G519="","",IF(Data!$G519=Data_Val!$C$2,IF(Data!O519="",0,1),0))</f>
        <v/>
      </c>
      <c r="P529" s="18" t="str">
        <f>IF(Data!O519="","",IF(ISNUMBER(MATCH(Data!P519,Data_Val!$A$2:$A$3,0)),0,1))</f>
        <v/>
      </c>
      <c r="Q529" s="44" t="str">
        <f ca="1">IF(Data!O519="","",IF(ISNUMBER(Data!Q519),IF(AND(Data!Q519&gt;(TODAY()-(Data_Val!$L$3*365.25)),Data!Q519&lt;=(TODAY()-(Data_Val!$L$2*365.25))),0,1),1))</f>
        <v/>
      </c>
    </row>
    <row r="530" spans="1:17" ht="12" customHeight="1" x14ac:dyDescent="0.25">
      <c r="A530" s="36" t="str">
        <f>IF(Data!B520="","",IF(COUNTIFS(Data!A$1:'Data'!A520,Data!A520)&lt;=1,0,1))</f>
        <v/>
      </c>
      <c r="B530" s="36"/>
      <c r="C530" s="36" t="str">
        <f>IF(Data!C520="","",(IF(ISNUMBER(MATCH("*@*.?*",Data!C520,0)),0,1)+IF(COUNTIFS(Data!C$1:'Data'!C520,Data!C520)&gt;1,1,0)))</f>
        <v/>
      </c>
      <c r="D530" s="36" t="str">
        <f>IF(Data!B520="","",IF(ISNUMBER(Data!D520),IF(AND(Data!D520&gt;999999999,Data!D520&lt;=9999999999),IF(COUNTIFS(Data!D$1:'Data'!D520,Data!D520)&lt;=1,0,1),1),1))</f>
        <v/>
      </c>
      <c r="E530" s="36" t="str">
        <f>IF(Data!B520="","",IF(ISNUMBER(MATCH(Data!E520,Data_Val!$A$2:$A$3,0)),0,1))</f>
        <v/>
      </c>
      <c r="F530" s="36" t="str">
        <f ca="1">IF(Data!B520="","",IF(ISNUMBER(Data!F520),IF(AND(Data!F520&gt;(TODAY()-(Data_Val!$H$3*365.25)),Data!F520&lt;=(TODAY()-(Data_Val!$H$2*365.25))),0,1),1))</f>
        <v/>
      </c>
      <c r="G530" s="12" t="str">
        <f>IF(Data!B520="","",IF(AND(Data!G520="",Data!H520&lt;&gt;""),1,IF(ISNUMBER(MATCH(Data!G520,Data_Val!$C$2:$C$5,0)),0,1)))</f>
        <v/>
      </c>
      <c r="H530" s="12" t="str">
        <f>IF(Data!B520="","",IF(AND(Data!G520&lt;&gt;"",Data!H520=""),1,IF(Data!G520="",1,IF(ISNUMBER(MATCH(Data!H520,Data_Val!$D$2:$D$35,0)),0,1))))</f>
        <v/>
      </c>
      <c r="I530" s="38" t="str">
        <f>IF(Data!G520="","",IF(Data!G520=Data_Val!$C$2,IF(Data!I520="",0,1),0))</f>
        <v/>
      </c>
      <c r="J530" s="38" t="str">
        <f>IF(Data!I520="","",IF(ISNUMBER(MATCH(Data!J520,Data_Val!$A$2:$A$3,0)),0,1))</f>
        <v/>
      </c>
      <c r="K530" s="38" t="str">
        <f ca="1">IF(Data!I520="","",IF(ISNUMBER(Data!K520),IF(AND(Data!K520&gt;(TODAY()-(Data_Val!$K$3*365.25)),Data!K520&lt;=(TODAY()-(Data_Val!$K$2*365.25))),0,1),1))</f>
        <v/>
      </c>
      <c r="L530" s="16" t="str">
        <f>IF(Data!G520="","",IF(Data!G520=Data_Val!$C$2,IF(Data!L520="",0,1),0))</f>
        <v/>
      </c>
      <c r="M530" s="16" t="str">
        <f>IF(Data!L520="","",IF(ISNUMBER(MATCH(Data!M520,Data_Val!$A$2:$A$3,0)),0,1))</f>
        <v/>
      </c>
      <c r="N530" s="43" t="str">
        <f ca="1">IF(Data!L520="","",IF(ISNUMBER(Data!N520),IF(AND(Data!N520&gt;(TODAY()-(Data_Val!$L$3*365.25)),Data!N520&lt;=(TODAY()-(Data_Val!$L$2*365.25))),0,1),1))</f>
        <v/>
      </c>
      <c r="O530" s="18" t="str">
        <f>IF(Data!$G520="","",IF(Data!$G520=Data_Val!$C$2,IF(Data!O520="",0,1),0))</f>
        <v/>
      </c>
      <c r="P530" s="18" t="str">
        <f>IF(Data!O520="","",IF(ISNUMBER(MATCH(Data!P520,Data_Val!$A$2:$A$3,0)),0,1))</f>
        <v/>
      </c>
      <c r="Q530" s="44" t="str">
        <f ca="1">IF(Data!O520="","",IF(ISNUMBER(Data!Q520),IF(AND(Data!Q520&gt;(TODAY()-(Data_Val!$L$3*365.25)),Data!Q520&lt;=(TODAY()-(Data_Val!$L$2*365.25))),0,1),1))</f>
        <v/>
      </c>
    </row>
    <row r="531" spans="1:17" ht="12" customHeight="1" x14ac:dyDescent="0.25">
      <c r="A531" s="36" t="str">
        <f>IF(Data!B521="","",IF(COUNTIFS(Data!A$1:'Data'!A521,Data!A521)&lt;=1,0,1))</f>
        <v/>
      </c>
      <c r="B531" s="36"/>
      <c r="C531" s="36" t="str">
        <f>IF(Data!C521="","",(IF(ISNUMBER(MATCH("*@*.?*",Data!C521,0)),0,1)+IF(COUNTIFS(Data!C$1:'Data'!C521,Data!C521)&gt;1,1,0)))</f>
        <v/>
      </c>
      <c r="D531" s="36" t="str">
        <f>IF(Data!B521="","",IF(ISNUMBER(Data!D521),IF(AND(Data!D521&gt;999999999,Data!D521&lt;=9999999999),IF(COUNTIFS(Data!D$1:'Data'!D521,Data!D521)&lt;=1,0,1),1),1))</f>
        <v/>
      </c>
      <c r="E531" s="36" t="str">
        <f>IF(Data!B521="","",IF(ISNUMBER(MATCH(Data!E521,Data_Val!$A$2:$A$3,0)),0,1))</f>
        <v/>
      </c>
      <c r="F531" s="36" t="str">
        <f ca="1">IF(Data!B521="","",IF(ISNUMBER(Data!F521),IF(AND(Data!F521&gt;(TODAY()-(Data_Val!$H$3*365.25)),Data!F521&lt;=(TODAY()-(Data_Val!$H$2*365.25))),0,1),1))</f>
        <v/>
      </c>
      <c r="G531" s="12" t="str">
        <f>IF(Data!B521="","",IF(AND(Data!G521="",Data!H521&lt;&gt;""),1,IF(ISNUMBER(MATCH(Data!G521,Data_Val!$C$2:$C$5,0)),0,1)))</f>
        <v/>
      </c>
      <c r="H531" s="12" t="str">
        <f>IF(Data!B521="","",IF(AND(Data!G521&lt;&gt;"",Data!H521=""),1,IF(Data!G521="",1,IF(ISNUMBER(MATCH(Data!H521,Data_Val!$D$2:$D$35,0)),0,1))))</f>
        <v/>
      </c>
      <c r="I531" s="38" t="str">
        <f>IF(Data!G521="","",IF(Data!G521=Data_Val!$C$2,IF(Data!I521="",0,1),0))</f>
        <v/>
      </c>
      <c r="J531" s="38" t="str">
        <f>IF(Data!I521="","",IF(ISNUMBER(MATCH(Data!J521,Data_Val!$A$2:$A$3,0)),0,1))</f>
        <v/>
      </c>
      <c r="K531" s="38" t="str">
        <f ca="1">IF(Data!I521="","",IF(ISNUMBER(Data!K521),IF(AND(Data!K521&gt;(TODAY()-(Data_Val!$K$3*365.25)),Data!K521&lt;=(TODAY()-(Data_Val!$K$2*365.25))),0,1),1))</f>
        <v/>
      </c>
      <c r="L531" s="16" t="str">
        <f>IF(Data!G521="","",IF(Data!G521=Data_Val!$C$2,IF(Data!L521="",0,1),0))</f>
        <v/>
      </c>
      <c r="M531" s="16" t="str">
        <f>IF(Data!L521="","",IF(ISNUMBER(MATCH(Data!M521,Data_Val!$A$2:$A$3,0)),0,1))</f>
        <v/>
      </c>
      <c r="N531" s="43" t="str">
        <f ca="1">IF(Data!L521="","",IF(ISNUMBER(Data!N521),IF(AND(Data!N521&gt;(TODAY()-(Data_Val!$L$3*365.25)),Data!N521&lt;=(TODAY()-(Data_Val!$L$2*365.25))),0,1),1))</f>
        <v/>
      </c>
      <c r="O531" s="18" t="str">
        <f>IF(Data!$G521="","",IF(Data!$G521=Data_Val!$C$2,IF(Data!O521="",0,1),0))</f>
        <v/>
      </c>
      <c r="P531" s="18" t="str">
        <f>IF(Data!O521="","",IF(ISNUMBER(MATCH(Data!P521,Data_Val!$A$2:$A$3,0)),0,1))</f>
        <v/>
      </c>
      <c r="Q531" s="44" t="str">
        <f ca="1">IF(Data!O521="","",IF(ISNUMBER(Data!Q521),IF(AND(Data!Q521&gt;(TODAY()-(Data_Val!$L$3*365.25)),Data!Q521&lt;=(TODAY()-(Data_Val!$L$2*365.25))),0,1),1))</f>
        <v/>
      </c>
    </row>
    <row r="532" spans="1:17" ht="12" customHeight="1" x14ac:dyDescent="0.25">
      <c r="A532" s="36" t="str">
        <f>IF(Data!B522="","",IF(COUNTIFS(Data!A$1:'Data'!A522,Data!A522)&lt;=1,0,1))</f>
        <v/>
      </c>
      <c r="B532" s="36"/>
      <c r="C532" s="36" t="str">
        <f>IF(Data!C522="","",(IF(ISNUMBER(MATCH("*@*.?*",Data!C522,0)),0,1)+IF(COUNTIFS(Data!C$1:'Data'!C522,Data!C522)&gt;1,1,0)))</f>
        <v/>
      </c>
      <c r="D532" s="36" t="str">
        <f>IF(Data!B522="","",IF(ISNUMBER(Data!D522),IF(AND(Data!D522&gt;999999999,Data!D522&lt;=9999999999),IF(COUNTIFS(Data!D$1:'Data'!D522,Data!D522)&lt;=1,0,1),1),1))</f>
        <v/>
      </c>
      <c r="E532" s="36" t="str">
        <f>IF(Data!B522="","",IF(ISNUMBER(MATCH(Data!E522,Data_Val!$A$2:$A$3,0)),0,1))</f>
        <v/>
      </c>
      <c r="F532" s="36" t="str">
        <f ca="1">IF(Data!B522="","",IF(ISNUMBER(Data!F522),IF(AND(Data!F522&gt;(TODAY()-(Data_Val!$H$3*365.25)),Data!F522&lt;=(TODAY()-(Data_Val!$H$2*365.25))),0,1),1))</f>
        <v/>
      </c>
      <c r="G532" s="12" t="str">
        <f>IF(Data!B522="","",IF(AND(Data!G522="",Data!H522&lt;&gt;""),1,IF(ISNUMBER(MATCH(Data!G522,Data_Val!$C$2:$C$5,0)),0,1)))</f>
        <v/>
      </c>
      <c r="H532" s="12" t="str">
        <f>IF(Data!B522="","",IF(AND(Data!G522&lt;&gt;"",Data!H522=""),1,IF(Data!G522="",1,IF(ISNUMBER(MATCH(Data!H522,Data_Val!$D$2:$D$35,0)),0,1))))</f>
        <v/>
      </c>
      <c r="I532" s="38" t="str">
        <f>IF(Data!G522="","",IF(Data!G522=Data_Val!$C$2,IF(Data!I522="",0,1),0))</f>
        <v/>
      </c>
      <c r="J532" s="38" t="str">
        <f>IF(Data!I522="","",IF(ISNUMBER(MATCH(Data!J522,Data_Val!$A$2:$A$3,0)),0,1))</f>
        <v/>
      </c>
      <c r="K532" s="38" t="str">
        <f ca="1">IF(Data!I522="","",IF(ISNUMBER(Data!K522),IF(AND(Data!K522&gt;(TODAY()-(Data_Val!$K$3*365.25)),Data!K522&lt;=(TODAY()-(Data_Val!$K$2*365.25))),0,1),1))</f>
        <v/>
      </c>
      <c r="L532" s="16" t="str">
        <f>IF(Data!G522="","",IF(Data!G522=Data_Val!$C$2,IF(Data!L522="",0,1),0))</f>
        <v/>
      </c>
      <c r="M532" s="16" t="str">
        <f>IF(Data!L522="","",IF(ISNUMBER(MATCH(Data!M522,Data_Val!$A$2:$A$3,0)),0,1))</f>
        <v/>
      </c>
      <c r="N532" s="43" t="str">
        <f ca="1">IF(Data!L522="","",IF(ISNUMBER(Data!N522),IF(AND(Data!N522&gt;(TODAY()-(Data_Val!$L$3*365.25)),Data!N522&lt;=(TODAY()-(Data_Val!$L$2*365.25))),0,1),1))</f>
        <v/>
      </c>
      <c r="O532" s="18" t="str">
        <f>IF(Data!$G522="","",IF(Data!$G522=Data_Val!$C$2,IF(Data!O522="",0,1),0))</f>
        <v/>
      </c>
      <c r="P532" s="18" t="str">
        <f>IF(Data!O522="","",IF(ISNUMBER(MATCH(Data!P522,Data_Val!$A$2:$A$3,0)),0,1))</f>
        <v/>
      </c>
      <c r="Q532" s="44" t="str">
        <f ca="1">IF(Data!O522="","",IF(ISNUMBER(Data!Q522),IF(AND(Data!Q522&gt;(TODAY()-(Data_Val!$L$3*365.25)),Data!Q522&lt;=(TODAY()-(Data_Val!$L$2*365.25))),0,1),1))</f>
        <v/>
      </c>
    </row>
    <row r="533" spans="1:17" ht="12" customHeight="1" x14ac:dyDescent="0.25">
      <c r="A533" s="36" t="str">
        <f>IF(Data!B523="","",IF(COUNTIFS(Data!A$1:'Data'!A523,Data!A523)&lt;=1,0,1))</f>
        <v/>
      </c>
      <c r="B533" s="36"/>
      <c r="C533" s="36" t="str">
        <f>IF(Data!C523="","",(IF(ISNUMBER(MATCH("*@*.?*",Data!C523,0)),0,1)+IF(COUNTIFS(Data!C$1:'Data'!C523,Data!C523)&gt;1,1,0)))</f>
        <v/>
      </c>
      <c r="D533" s="36" t="str">
        <f>IF(Data!B523="","",IF(ISNUMBER(Data!D523),IF(AND(Data!D523&gt;999999999,Data!D523&lt;=9999999999),IF(COUNTIFS(Data!D$1:'Data'!D523,Data!D523)&lt;=1,0,1),1),1))</f>
        <v/>
      </c>
      <c r="E533" s="36" t="str">
        <f>IF(Data!B523="","",IF(ISNUMBER(MATCH(Data!E523,Data_Val!$A$2:$A$3,0)),0,1))</f>
        <v/>
      </c>
      <c r="F533" s="36" t="str">
        <f ca="1">IF(Data!B523="","",IF(ISNUMBER(Data!F523),IF(AND(Data!F523&gt;(TODAY()-(Data_Val!$H$3*365.25)),Data!F523&lt;=(TODAY()-(Data_Val!$H$2*365.25))),0,1),1))</f>
        <v/>
      </c>
      <c r="G533" s="12" t="str">
        <f>IF(Data!B523="","",IF(AND(Data!G523="",Data!H523&lt;&gt;""),1,IF(ISNUMBER(MATCH(Data!G523,Data_Val!$C$2:$C$5,0)),0,1)))</f>
        <v/>
      </c>
      <c r="H533" s="12" t="str">
        <f>IF(Data!B523="","",IF(AND(Data!G523&lt;&gt;"",Data!H523=""),1,IF(Data!G523="",1,IF(ISNUMBER(MATCH(Data!H523,Data_Val!$D$2:$D$35,0)),0,1))))</f>
        <v/>
      </c>
      <c r="I533" s="38" t="str">
        <f>IF(Data!G523="","",IF(Data!G523=Data_Val!$C$2,IF(Data!I523="",0,1),0))</f>
        <v/>
      </c>
      <c r="J533" s="38" t="str">
        <f>IF(Data!I523="","",IF(ISNUMBER(MATCH(Data!J523,Data_Val!$A$2:$A$3,0)),0,1))</f>
        <v/>
      </c>
      <c r="K533" s="38" t="str">
        <f ca="1">IF(Data!I523="","",IF(ISNUMBER(Data!K523),IF(AND(Data!K523&gt;(TODAY()-(Data_Val!$K$3*365.25)),Data!K523&lt;=(TODAY()-(Data_Val!$K$2*365.25))),0,1),1))</f>
        <v/>
      </c>
      <c r="L533" s="16" t="str">
        <f>IF(Data!G523="","",IF(Data!G523=Data_Val!$C$2,IF(Data!L523="",0,1),0))</f>
        <v/>
      </c>
      <c r="M533" s="16" t="str">
        <f>IF(Data!L523="","",IF(ISNUMBER(MATCH(Data!M523,Data_Val!$A$2:$A$3,0)),0,1))</f>
        <v/>
      </c>
      <c r="N533" s="43" t="str">
        <f ca="1">IF(Data!L523="","",IF(ISNUMBER(Data!N523),IF(AND(Data!N523&gt;(TODAY()-(Data_Val!$L$3*365.25)),Data!N523&lt;=(TODAY()-(Data_Val!$L$2*365.25))),0,1),1))</f>
        <v/>
      </c>
      <c r="O533" s="18" t="str">
        <f>IF(Data!$G523="","",IF(Data!$G523=Data_Val!$C$2,IF(Data!O523="",0,1),0))</f>
        <v/>
      </c>
      <c r="P533" s="18" t="str">
        <f>IF(Data!O523="","",IF(ISNUMBER(MATCH(Data!P523,Data_Val!$A$2:$A$3,0)),0,1))</f>
        <v/>
      </c>
      <c r="Q533" s="44" t="str">
        <f ca="1">IF(Data!O523="","",IF(ISNUMBER(Data!Q523),IF(AND(Data!Q523&gt;(TODAY()-(Data_Val!$L$3*365.25)),Data!Q523&lt;=(TODAY()-(Data_Val!$L$2*365.25))),0,1),1))</f>
        <v/>
      </c>
    </row>
    <row r="534" spans="1:17" ht="12" customHeight="1" x14ac:dyDescent="0.25">
      <c r="A534" s="36" t="str">
        <f>IF(Data!B524="","",IF(COUNTIFS(Data!A$1:'Data'!A524,Data!A524)&lt;=1,0,1))</f>
        <v/>
      </c>
      <c r="B534" s="36"/>
      <c r="C534" s="36" t="str">
        <f>IF(Data!C524="","",(IF(ISNUMBER(MATCH("*@*.?*",Data!C524,0)),0,1)+IF(COUNTIFS(Data!C$1:'Data'!C524,Data!C524)&gt;1,1,0)))</f>
        <v/>
      </c>
      <c r="D534" s="36" t="str">
        <f>IF(Data!B524="","",IF(ISNUMBER(Data!D524),IF(AND(Data!D524&gt;999999999,Data!D524&lt;=9999999999),IF(COUNTIFS(Data!D$1:'Data'!D524,Data!D524)&lt;=1,0,1),1),1))</f>
        <v/>
      </c>
      <c r="E534" s="36" t="str">
        <f>IF(Data!B524="","",IF(ISNUMBER(MATCH(Data!E524,Data_Val!$A$2:$A$3,0)),0,1))</f>
        <v/>
      </c>
      <c r="F534" s="36" t="str">
        <f ca="1">IF(Data!B524="","",IF(ISNUMBER(Data!F524),IF(AND(Data!F524&gt;(TODAY()-(Data_Val!$H$3*365.25)),Data!F524&lt;=(TODAY()-(Data_Val!$H$2*365.25))),0,1),1))</f>
        <v/>
      </c>
      <c r="G534" s="12" t="str">
        <f>IF(Data!B524="","",IF(AND(Data!G524="",Data!H524&lt;&gt;""),1,IF(ISNUMBER(MATCH(Data!G524,Data_Val!$C$2:$C$5,0)),0,1)))</f>
        <v/>
      </c>
      <c r="H534" s="12" t="str">
        <f>IF(Data!B524="","",IF(AND(Data!G524&lt;&gt;"",Data!H524=""),1,IF(Data!G524="",1,IF(ISNUMBER(MATCH(Data!H524,Data_Val!$D$2:$D$35,0)),0,1))))</f>
        <v/>
      </c>
      <c r="I534" s="38" t="str">
        <f>IF(Data!G524="","",IF(Data!G524=Data_Val!$C$2,IF(Data!I524="",0,1),0))</f>
        <v/>
      </c>
      <c r="J534" s="38" t="str">
        <f>IF(Data!I524="","",IF(ISNUMBER(MATCH(Data!J524,Data_Val!$A$2:$A$3,0)),0,1))</f>
        <v/>
      </c>
      <c r="K534" s="38" t="str">
        <f ca="1">IF(Data!I524="","",IF(ISNUMBER(Data!K524),IF(AND(Data!K524&gt;(TODAY()-(Data_Val!$K$3*365.25)),Data!K524&lt;=(TODAY()-(Data_Val!$K$2*365.25))),0,1),1))</f>
        <v/>
      </c>
      <c r="L534" s="16" t="str">
        <f>IF(Data!G524="","",IF(Data!G524=Data_Val!$C$2,IF(Data!L524="",0,1),0))</f>
        <v/>
      </c>
      <c r="M534" s="16" t="str">
        <f>IF(Data!L524="","",IF(ISNUMBER(MATCH(Data!M524,Data_Val!$A$2:$A$3,0)),0,1))</f>
        <v/>
      </c>
      <c r="N534" s="43" t="str">
        <f ca="1">IF(Data!L524="","",IF(ISNUMBER(Data!N524),IF(AND(Data!N524&gt;(TODAY()-(Data_Val!$L$3*365.25)),Data!N524&lt;=(TODAY()-(Data_Val!$L$2*365.25))),0,1),1))</f>
        <v/>
      </c>
      <c r="O534" s="18" t="str">
        <f>IF(Data!$G524="","",IF(Data!$G524=Data_Val!$C$2,IF(Data!O524="",0,1),0))</f>
        <v/>
      </c>
      <c r="P534" s="18" t="str">
        <f>IF(Data!O524="","",IF(ISNUMBER(MATCH(Data!P524,Data_Val!$A$2:$A$3,0)),0,1))</f>
        <v/>
      </c>
      <c r="Q534" s="44" t="str">
        <f ca="1">IF(Data!O524="","",IF(ISNUMBER(Data!Q524),IF(AND(Data!Q524&gt;(TODAY()-(Data_Val!$L$3*365.25)),Data!Q524&lt;=(TODAY()-(Data_Val!$L$2*365.25))),0,1),1))</f>
        <v/>
      </c>
    </row>
    <row r="535" spans="1:17" ht="12" customHeight="1" x14ac:dyDescent="0.25">
      <c r="A535" s="36" t="str">
        <f>IF(Data!B525="","",IF(COUNTIFS(Data!A$1:'Data'!A525,Data!A525)&lt;=1,0,1))</f>
        <v/>
      </c>
      <c r="B535" s="36"/>
      <c r="C535" s="36" t="str">
        <f>IF(Data!C525="","",(IF(ISNUMBER(MATCH("*@*.?*",Data!C525,0)),0,1)+IF(COUNTIFS(Data!C$1:'Data'!C525,Data!C525)&gt;1,1,0)))</f>
        <v/>
      </c>
      <c r="D535" s="36" t="str">
        <f>IF(Data!B525="","",IF(ISNUMBER(Data!D525),IF(AND(Data!D525&gt;999999999,Data!D525&lt;=9999999999),IF(COUNTIFS(Data!D$1:'Data'!D525,Data!D525)&lt;=1,0,1),1),1))</f>
        <v/>
      </c>
      <c r="E535" s="36" t="str">
        <f>IF(Data!B525="","",IF(ISNUMBER(MATCH(Data!E525,Data_Val!$A$2:$A$3,0)),0,1))</f>
        <v/>
      </c>
      <c r="F535" s="36" t="str">
        <f ca="1">IF(Data!B525="","",IF(ISNUMBER(Data!F525),IF(AND(Data!F525&gt;(TODAY()-(Data_Val!$H$3*365.25)),Data!F525&lt;=(TODAY()-(Data_Val!$H$2*365.25))),0,1),1))</f>
        <v/>
      </c>
      <c r="G535" s="12" t="str">
        <f>IF(Data!B525="","",IF(AND(Data!G525="",Data!H525&lt;&gt;""),1,IF(ISNUMBER(MATCH(Data!G525,Data_Val!$C$2:$C$5,0)),0,1)))</f>
        <v/>
      </c>
      <c r="H535" s="12" t="str">
        <f>IF(Data!B525="","",IF(AND(Data!G525&lt;&gt;"",Data!H525=""),1,IF(Data!G525="",1,IF(ISNUMBER(MATCH(Data!H525,Data_Val!$D$2:$D$35,0)),0,1))))</f>
        <v/>
      </c>
      <c r="I535" s="38" t="str">
        <f>IF(Data!G525="","",IF(Data!G525=Data_Val!$C$2,IF(Data!I525="",0,1),0))</f>
        <v/>
      </c>
      <c r="J535" s="38" t="str">
        <f>IF(Data!I525="","",IF(ISNUMBER(MATCH(Data!J525,Data_Val!$A$2:$A$3,0)),0,1))</f>
        <v/>
      </c>
      <c r="K535" s="38" t="str">
        <f ca="1">IF(Data!I525="","",IF(ISNUMBER(Data!K525),IF(AND(Data!K525&gt;(TODAY()-(Data_Val!$K$3*365.25)),Data!K525&lt;=(TODAY()-(Data_Val!$K$2*365.25))),0,1),1))</f>
        <v/>
      </c>
      <c r="L535" s="16" t="str">
        <f>IF(Data!G525="","",IF(Data!G525=Data_Val!$C$2,IF(Data!L525="",0,1),0))</f>
        <v/>
      </c>
      <c r="M535" s="16" t="str">
        <f>IF(Data!L525="","",IF(ISNUMBER(MATCH(Data!M525,Data_Val!$A$2:$A$3,0)),0,1))</f>
        <v/>
      </c>
      <c r="N535" s="43" t="str">
        <f ca="1">IF(Data!L525="","",IF(ISNUMBER(Data!N525),IF(AND(Data!N525&gt;(TODAY()-(Data_Val!$L$3*365.25)),Data!N525&lt;=(TODAY()-(Data_Val!$L$2*365.25))),0,1),1))</f>
        <v/>
      </c>
      <c r="O535" s="18" t="str">
        <f>IF(Data!$G525="","",IF(Data!$G525=Data_Val!$C$2,IF(Data!O525="",0,1),0))</f>
        <v/>
      </c>
      <c r="P535" s="18" t="str">
        <f>IF(Data!O525="","",IF(ISNUMBER(MATCH(Data!P525,Data_Val!$A$2:$A$3,0)),0,1))</f>
        <v/>
      </c>
      <c r="Q535" s="44" t="str">
        <f ca="1">IF(Data!O525="","",IF(ISNUMBER(Data!Q525),IF(AND(Data!Q525&gt;(TODAY()-(Data_Val!$L$3*365.25)),Data!Q525&lt;=(TODAY()-(Data_Val!$L$2*365.25))),0,1),1))</f>
        <v/>
      </c>
    </row>
    <row r="536" spans="1:17" ht="12" customHeight="1" x14ac:dyDescent="0.25">
      <c r="A536" s="36" t="str">
        <f>IF(Data!B526="","",IF(COUNTIFS(Data!A$1:'Data'!A526,Data!A526)&lt;=1,0,1))</f>
        <v/>
      </c>
      <c r="B536" s="36"/>
      <c r="C536" s="36" t="str">
        <f>IF(Data!C526="","",(IF(ISNUMBER(MATCH("*@*.?*",Data!C526,0)),0,1)+IF(COUNTIFS(Data!C$1:'Data'!C526,Data!C526)&gt;1,1,0)))</f>
        <v/>
      </c>
      <c r="D536" s="36" t="str">
        <f>IF(Data!B526="","",IF(ISNUMBER(Data!D526),IF(AND(Data!D526&gt;999999999,Data!D526&lt;=9999999999),IF(COUNTIFS(Data!D$1:'Data'!D526,Data!D526)&lt;=1,0,1),1),1))</f>
        <v/>
      </c>
      <c r="E536" s="36" t="str">
        <f>IF(Data!B526="","",IF(ISNUMBER(MATCH(Data!E526,Data_Val!$A$2:$A$3,0)),0,1))</f>
        <v/>
      </c>
      <c r="F536" s="36" t="str">
        <f ca="1">IF(Data!B526="","",IF(ISNUMBER(Data!F526),IF(AND(Data!F526&gt;(TODAY()-(Data_Val!$H$3*365.25)),Data!F526&lt;=(TODAY()-(Data_Val!$H$2*365.25))),0,1),1))</f>
        <v/>
      </c>
      <c r="G536" s="12" t="str">
        <f>IF(Data!B526="","",IF(AND(Data!G526="",Data!H526&lt;&gt;""),1,IF(ISNUMBER(MATCH(Data!G526,Data_Val!$C$2:$C$5,0)),0,1)))</f>
        <v/>
      </c>
      <c r="H536" s="12" t="str">
        <f>IF(Data!B526="","",IF(AND(Data!G526&lt;&gt;"",Data!H526=""),1,IF(Data!G526="",1,IF(ISNUMBER(MATCH(Data!H526,Data_Val!$D$2:$D$35,0)),0,1))))</f>
        <v/>
      </c>
      <c r="I536" s="38" t="str">
        <f>IF(Data!G526="","",IF(Data!G526=Data_Val!$C$2,IF(Data!I526="",0,1),0))</f>
        <v/>
      </c>
      <c r="J536" s="38" t="str">
        <f>IF(Data!I526="","",IF(ISNUMBER(MATCH(Data!J526,Data_Val!$A$2:$A$3,0)),0,1))</f>
        <v/>
      </c>
      <c r="K536" s="38" t="str">
        <f ca="1">IF(Data!I526="","",IF(ISNUMBER(Data!K526),IF(AND(Data!K526&gt;(TODAY()-(Data_Val!$K$3*365.25)),Data!K526&lt;=(TODAY()-(Data_Val!$K$2*365.25))),0,1),1))</f>
        <v/>
      </c>
      <c r="L536" s="16" t="str">
        <f>IF(Data!G526="","",IF(Data!G526=Data_Val!$C$2,IF(Data!L526="",0,1),0))</f>
        <v/>
      </c>
      <c r="M536" s="16" t="str">
        <f>IF(Data!L526="","",IF(ISNUMBER(MATCH(Data!M526,Data_Val!$A$2:$A$3,0)),0,1))</f>
        <v/>
      </c>
      <c r="N536" s="43" t="str">
        <f ca="1">IF(Data!L526="","",IF(ISNUMBER(Data!N526),IF(AND(Data!N526&gt;(TODAY()-(Data_Val!$L$3*365.25)),Data!N526&lt;=(TODAY()-(Data_Val!$L$2*365.25))),0,1),1))</f>
        <v/>
      </c>
      <c r="O536" s="18" t="str">
        <f>IF(Data!$G526="","",IF(Data!$G526=Data_Val!$C$2,IF(Data!O526="",0,1),0))</f>
        <v/>
      </c>
      <c r="P536" s="18" t="str">
        <f>IF(Data!O526="","",IF(ISNUMBER(MATCH(Data!P526,Data_Val!$A$2:$A$3,0)),0,1))</f>
        <v/>
      </c>
      <c r="Q536" s="44" t="str">
        <f ca="1">IF(Data!O526="","",IF(ISNUMBER(Data!Q526),IF(AND(Data!Q526&gt;(TODAY()-(Data_Val!$L$3*365.25)),Data!Q526&lt;=(TODAY()-(Data_Val!$L$2*365.25))),0,1),1))</f>
        <v/>
      </c>
    </row>
    <row r="537" spans="1:17" ht="12" customHeight="1" x14ac:dyDescent="0.25">
      <c r="A537" s="36" t="str">
        <f>IF(Data!B527="","",IF(COUNTIFS(Data!A$1:'Data'!A527,Data!A527)&lt;=1,0,1))</f>
        <v/>
      </c>
      <c r="B537" s="36"/>
      <c r="C537" s="36" t="str">
        <f>IF(Data!C527="","",(IF(ISNUMBER(MATCH("*@*.?*",Data!C527,0)),0,1)+IF(COUNTIFS(Data!C$1:'Data'!C527,Data!C527)&gt;1,1,0)))</f>
        <v/>
      </c>
      <c r="D537" s="36" t="str">
        <f>IF(Data!B527="","",IF(ISNUMBER(Data!D527),IF(AND(Data!D527&gt;999999999,Data!D527&lt;=9999999999),IF(COUNTIFS(Data!D$1:'Data'!D527,Data!D527)&lt;=1,0,1),1),1))</f>
        <v/>
      </c>
      <c r="E537" s="36" t="str">
        <f>IF(Data!B527="","",IF(ISNUMBER(MATCH(Data!E527,Data_Val!$A$2:$A$3,0)),0,1))</f>
        <v/>
      </c>
      <c r="F537" s="36" t="str">
        <f ca="1">IF(Data!B527="","",IF(ISNUMBER(Data!F527),IF(AND(Data!F527&gt;(TODAY()-(Data_Val!$H$3*365.25)),Data!F527&lt;=(TODAY()-(Data_Val!$H$2*365.25))),0,1),1))</f>
        <v/>
      </c>
      <c r="G537" s="12" t="str">
        <f>IF(Data!B527="","",IF(AND(Data!G527="",Data!H527&lt;&gt;""),1,IF(ISNUMBER(MATCH(Data!G527,Data_Val!$C$2:$C$5,0)),0,1)))</f>
        <v/>
      </c>
      <c r="H537" s="12" t="str">
        <f>IF(Data!B527="","",IF(AND(Data!G527&lt;&gt;"",Data!H527=""),1,IF(Data!G527="",1,IF(ISNUMBER(MATCH(Data!H527,Data_Val!$D$2:$D$35,0)),0,1))))</f>
        <v/>
      </c>
      <c r="I537" s="38" t="str">
        <f>IF(Data!G527="","",IF(Data!G527=Data_Val!$C$2,IF(Data!I527="",0,1),0))</f>
        <v/>
      </c>
      <c r="J537" s="38" t="str">
        <f>IF(Data!I527="","",IF(ISNUMBER(MATCH(Data!J527,Data_Val!$A$2:$A$3,0)),0,1))</f>
        <v/>
      </c>
      <c r="K537" s="38" t="str">
        <f ca="1">IF(Data!I527="","",IF(ISNUMBER(Data!K527),IF(AND(Data!K527&gt;(TODAY()-(Data_Val!$K$3*365.25)),Data!K527&lt;=(TODAY()-(Data_Val!$K$2*365.25))),0,1),1))</f>
        <v/>
      </c>
      <c r="L537" s="16" t="str">
        <f>IF(Data!G527="","",IF(Data!G527=Data_Val!$C$2,IF(Data!L527="",0,1),0))</f>
        <v/>
      </c>
      <c r="M537" s="16" t="str">
        <f>IF(Data!L527="","",IF(ISNUMBER(MATCH(Data!M527,Data_Val!$A$2:$A$3,0)),0,1))</f>
        <v/>
      </c>
      <c r="N537" s="43" t="str">
        <f ca="1">IF(Data!L527="","",IF(ISNUMBER(Data!N527),IF(AND(Data!N527&gt;(TODAY()-(Data_Val!$L$3*365.25)),Data!N527&lt;=(TODAY()-(Data_Val!$L$2*365.25))),0,1),1))</f>
        <v/>
      </c>
      <c r="O537" s="18" t="str">
        <f>IF(Data!$G527="","",IF(Data!$G527=Data_Val!$C$2,IF(Data!O527="",0,1),0))</f>
        <v/>
      </c>
      <c r="P537" s="18" t="str">
        <f>IF(Data!O527="","",IF(ISNUMBER(MATCH(Data!P527,Data_Val!$A$2:$A$3,0)),0,1))</f>
        <v/>
      </c>
      <c r="Q537" s="44" t="str">
        <f ca="1">IF(Data!O527="","",IF(ISNUMBER(Data!Q527),IF(AND(Data!Q527&gt;(TODAY()-(Data_Val!$L$3*365.25)),Data!Q527&lt;=(TODAY()-(Data_Val!$L$2*365.25))),0,1),1))</f>
        <v/>
      </c>
    </row>
    <row r="538" spans="1:17" ht="12" customHeight="1" x14ac:dyDescent="0.25">
      <c r="A538" s="36" t="str">
        <f>IF(Data!B528="","",IF(COUNTIFS(Data!A$1:'Data'!A528,Data!A528)&lt;=1,0,1))</f>
        <v/>
      </c>
      <c r="B538" s="36"/>
      <c r="C538" s="36" t="str">
        <f>IF(Data!C528="","",(IF(ISNUMBER(MATCH("*@*.?*",Data!C528,0)),0,1)+IF(COUNTIFS(Data!C$1:'Data'!C528,Data!C528)&gt;1,1,0)))</f>
        <v/>
      </c>
      <c r="D538" s="36" t="str">
        <f>IF(Data!B528="","",IF(ISNUMBER(Data!D528),IF(AND(Data!D528&gt;999999999,Data!D528&lt;=9999999999),IF(COUNTIFS(Data!D$1:'Data'!D528,Data!D528)&lt;=1,0,1),1),1))</f>
        <v/>
      </c>
      <c r="E538" s="36" t="str">
        <f>IF(Data!B528="","",IF(ISNUMBER(MATCH(Data!E528,Data_Val!$A$2:$A$3,0)),0,1))</f>
        <v/>
      </c>
      <c r="F538" s="36" t="str">
        <f ca="1">IF(Data!B528="","",IF(ISNUMBER(Data!F528),IF(AND(Data!F528&gt;(TODAY()-(Data_Val!$H$3*365.25)),Data!F528&lt;=(TODAY()-(Data_Val!$H$2*365.25))),0,1),1))</f>
        <v/>
      </c>
      <c r="G538" s="12" t="str">
        <f>IF(Data!B528="","",IF(AND(Data!G528="",Data!H528&lt;&gt;""),1,IF(ISNUMBER(MATCH(Data!G528,Data_Val!$C$2:$C$5,0)),0,1)))</f>
        <v/>
      </c>
      <c r="H538" s="12" t="str">
        <f>IF(Data!B528="","",IF(AND(Data!G528&lt;&gt;"",Data!H528=""),1,IF(Data!G528="",1,IF(ISNUMBER(MATCH(Data!H528,Data_Val!$D$2:$D$35,0)),0,1))))</f>
        <v/>
      </c>
      <c r="I538" s="38" t="str">
        <f>IF(Data!G528="","",IF(Data!G528=Data_Val!$C$2,IF(Data!I528="",0,1),0))</f>
        <v/>
      </c>
      <c r="J538" s="38" t="str">
        <f>IF(Data!I528="","",IF(ISNUMBER(MATCH(Data!J528,Data_Val!$A$2:$A$3,0)),0,1))</f>
        <v/>
      </c>
      <c r="K538" s="38" t="str">
        <f ca="1">IF(Data!I528="","",IF(ISNUMBER(Data!K528),IF(AND(Data!K528&gt;(TODAY()-(Data_Val!$K$3*365.25)),Data!K528&lt;=(TODAY()-(Data_Val!$K$2*365.25))),0,1),1))</f>
        <v/>
      </c>
      <c r="L538" s="16" t="str">
        <f>IF(Data!G528="","",IF(Data!G528=Data_Val!$C$2,IF(Data!L528="",0,1),0))</f>
        <v/>
      </c>
      <c r="M538" s="16" t="str">
        <f>IF(Data!L528="","",IF(ISNUMBER(MATCH(Data!M528,Data_Val!$A$2:$A$3,0)),0,1))</f>
        <v/>
      </c>
      <c r="N538" s="43" t="str">
        <f ca="1">IF(Data!L528="","",IF(ISNUMBER(Data!N528),IF(AND(Data!N528&gt;(TODAY()-(Data_Val!$L$3*365.25)),Data!N528&lt;=(TODAY()-(Data_Val!$L$2*365.25))),0,1),1))</f>
        <v/>
      </c>
      <c r="O538" s="18" t="str">
        <f>IF(Data!$G528="","",IF(Data!$G528=Data_Val!$C$2,IF(Data!O528="",0,1),0))</f>
        <v/>
      </c>
      <c r="P538" s="18" t="str">
        <f>IF(Data!O528="","",IF(ISNUMBER(MATCH(Data!P528,Data_Val!$A$2:$A$3,0)),0,1))</f>
        <v/>
      </c>
      <c r="Q538" s="44" t="str">
        <f ca="1">IF(Data!O528="","",IF(ISNUMBER(Data!Q528),IF(AND(Data!Q528&gt;(TODAY()-(Data_Val!$L$3*365.25)),Data!Q528&lt;=(TODAY()-(Data_Val!$L$2*365.25))),0,1),1))</f>
        <v/>
      </c>
    </row>
    <row r="539" spans="1:17" ht="12" customHeight="1" x14ac:dyDescent="0.25">
      <c r="A539" s="36" t="str">
        <f>IF(Data!B529="","",IF(COUNTIFS(Data!A$1:'Data'!A529,Data!A529)&lt;=1,0,1))</f>
        <v/>
      </c>
      <c r="B539" s="36"/>
      <c r="C539" s="36" t="str">
        <f>IF(Data!C529="","",(IF(ISNUMBER(MATCH("*@*.?*",Data!C529,0)),0,1)+IF(COUNTIFS(Data!C$1:'Data'!C529,Data!C529)&gt;1,1,0)))</f>
        <v/>
      </c>
      <c r="D539" s="36" t="str">
        <f>IF(Data!B529="","",IF(ISNUMBER(Data!D529),IF(AND(Data!D529&gt;999999999,Data!D529&lt;=9999999999),IF(COUNTIFS(Data!D$1:'Data'!D529,Data!D529)&lt;=1,0,1),1),1))</f>
        <v/>
      </c>
      <c r="E539" s="36" t="str">
        <f>IF(Data!B529="","",IF(ISNUMBER(MATCH(Data!E529,Data_Val!$A$2:$A$3,0)),0,1))</f>
        <v/>
      </c>
      <c r="F539" s="36" t="str">
        <f ca="1">IF(Data!B529="","",IF(ISNUMBER(Data!F529),IF(AND(Data!F529&gt;(TODAY()-(Data_Val!$H$3*365.25)),Data!F529&lt;=(TODAY()-(Data_Val!$H$2*365.25))),0,1),1))</f>
        <v/>
      </c>
      <c r="G539" s="12" t="str">
        <f>IF(Data!B529="","",IF(AND(Data!G529="",Data!H529&lt;&gt;""),1,IF(ISNUMBER(MATCH(Data!G529,Data_Val!$C$2:$C$5,0)),0,1)))</f>
        <v/>
      </c>
      <c r="H539" s="12" t="str">
        <f>IF(Data!B529="","",IF(AND(Data!G529&lt;&gt;"",Data!H529=""),1,IF(Data!G529="",1,IF(ISNUMBER(MATCH(Data!H529,Data_Val!$D$2:$D$35,0)),0,1))))</f>
        <v/>
      </c>
      <c r="I539" s="38" t="str">
        <f>IF(Data!G529="","",IF(Data!G529=Data_Val!$C$2,IF(Data!I529="",0,1),0))</f>
        <v/>
      </c>
      <c r="J539" s="38" t="str">
        <f>IF(Data!I529="","",IF(ISNUMBER(MATCH(Data!J529,Data_Val!$A$2:$A$3,0)),0,1))</f>
        <v/>
      </c>
      <c r="K539" s="38" t="str">
        <f ca="1">IF(Data!I529="","",IF(ISNUMBER(Data!K529),IF(AND(Data!K529&gt;(TODAY()-(Data_Val!$K$3*365.25)),Data!K529&lt;=(TODAY()-(Data_Val!$K$2*365.25))),0,1),1))</f>
        <v/>
      </c>
      <c r="L539" s="16" t="str">
        <f>IF(Data!G529="","",IF(Data!G529=Data_Val!$C$2,IF(Data!L529="",0,1),0))</f>
        <v/>
      </c>
      <c r="M539" s="16" t="str">
        <f>IF(Data!L529="","",IF(ISNUMBER(MATCH(Data!M529,Data_Val!$A$2:$A$3,0)),0,1))</f>
        <v/>
      </c>
      <c r="N539" s="43" t="str">
        <f ca="1">IF(Data!L529="","",IF(ISNUMBER(Data!N529),IF(AND(Data!N529&gt;(TODAY()-(Data_Val!$L$3*365.25)),Data!N529&lt;=(TODAY()-(Data_Val!$L$2*365.25))),0,1),1))</f>
        <v/>
      </c>
      <c r="O539" s="18" t="str">
        <f>IF(Data!$G529="","",IF(Data!$G529=Data_Val!$C$2,IF(Data!O529="",0,1),0))</f>
        <v/>
      </c>
      <c r="P539" s="18" t="str">
        <f>IF(Data!O529="","",IF(ISNUMBER(MATCH(Data!P529,Data_Val!$A$2:$A$3,0)),0,1))</f>
        <v/>
      </c>
      <c r="Q539" s="44" t="str">
        <f ca="1">IF(Data!O529="","",IF(ISNUMBER(Data!Q529),IF(AND(Data!Q529&gt;(TODAY()-(Data_Val!$L$3*365.25)),Data!Q529&lt;=(TODAY()-(Data_Val!$L$2*365.25))),0,1),1))</f>
        <v/>
      </c>
    </row>
    <row r="540" spans="1:17" ht="12" customHeight="1" x14ac:dyDescent="0.25">
      <c r="A540" s="36" t="str">
        <f>IF(Data!B530="","",IF(COUNTIFS(Data!A$1:'Data'!A530,Data!A530)&lt;=1,0,1))</f>
        <v/>
      </c>
      <c r="B540" s="36"/>
      <c r="C540" s="36" t="str">
        <f>IF(Data!C530="","",(IF(ISNUMBER(MATCH("*@*.?*",Data!C530,0)),0,1)+IF(COUNTIFS(Data!C$1:'Data'!C530,Data!C530)&gt;1,1,0)))</f>
        <v/>
      </c>
      <c r="D540" s="36" t="str">
        <f>IF(Data!B530="","",IF(ISNUMBER(Data!D530),IF(AND(Data!D530&gt;999999999,Data!D530&lt;=9999999999),IF(COUNTIFS(Data!D$1:'Data'!D530,Data!D530)&lt;=1,0,1),1),1))</f>
        <v/>
      </c>
      <c r="E540" s="36" t="str">
        <f>IF(Data!B530="","",IF(ISNUMBER(MATCH(Data!E530,Data_Val!$A$2:$A$3,0)),0,1))</f>
        <v/>
      </c>
      <c r="F540" s="36" t="str">
        <f ca="1">IF(Data!B530="","",IF(ISNUMBER(Data!F530),IF(AND(Data!F530&gt;(TODAY()-(Data_Val!$H$3*365.25)),Data!F530&lt;=(TODAY()-(Data_Val!$H$2*365.25))),0,1),1))</f>
        <v/>
      </c>
      <c r="G540" s="12" t="str">
        <f>IF(Data!B530="","",IF(AND(Data!G530="",Data!H530&lt;&gt;""),1,IF(ISNUMBER(MATCH(Data!G530,Data_Val!$C$2:$C$5,0)),0,1)))</f>
        <v/>
      </c>
      <c r="H540" s="12" t="str">
        <f>IF(Data!B530="","",IF(AND(Data!G530&lt;&gt;"",Data!H530=""),1,IF(Data!G530="",1,IF(ISNUMBER(MATCH(Data!H530,Data_Val!$D$2:$D$35,0)),0,1))))</f>
        <v/>
      </c>
      <c r="I540" s="38" t="str">
        <f>IF(Data!G530="","",IF(Data!G530=Data_Val!$C$2,IF(Data!I530="",0,1),0))</f>
        <v/>
      </c>
      <c r="J540" s="38" t="str">
        <f>IF(Data!I530="","",IF(ISNUMBER(MATCH(Data!J530,Data_Val!$A$2:$A$3,0)),0,1))</f>
        <v/>
      </c>
      <c r="K540" s="38" t="str">
        <f ca="1">IF(Data!I530="","",IF(ISNUMBER(Data!K530),IF(AND(Data!K530&gt;(TODAY()-(Data_Val!$K$3*365.25)),Data!K530&lt;=(TODAY()-(Data_Val!$K$2*365.25))),0,1),1))</f>
        <v/>
      </c>
      <c r="L540" s="16" t="str">
        <f>IF(Data!G530="","",IF(Data!G530=Data_Val!$C$2,IF(Data!L530="",0,1),0))</f>
        <v/>
      </c>
      <c r="M540" s="16" t="str">
        <f>IF(Data!L530="","",IF(ISNUMBER(MATCH(Data!M530,Data_Val!$A$2:$A$3,0)),0,1))</f>
        <v/>
      </c>
      <c r="N540" s="43" t="str">
        <f ca="1">IF(Data!L530="","",IF(ISNUMBER(Data!N530),IF(AND(Data!N530&gt;(TODAY()-(Data_Val!$L$3*365.25)),Data!N530&lt;=(TODAY()-(Data_Val!$L$2*365.25))),0,1),1))</f>
        <v/>
      </c>
      <c r="O540" s="18" t="str">
        <f>IF(Data!$G530="","",IF(Data!$G530=Data_Val!$C$2,IF(Data!O530="",0,1),0))</f>
        <v/>
      </c>
      <c r="P540" s="18" t="str">
        <f>IF(Data!O530="","",IF(ISNUMBER(MATCH(Data!P530,Data_Val!$A$2:$A$3,0)),0,1))</f>
        <v/>
      </c>
      <c r="Q540" s="44" t="str">
        <f ca="1">IF(Data!O530="","",IF(ISNUMBER(Data!Q530),IF(AND(Data!Q530&gt;(TODAY()-(Data_Val!$L$3*365.25)),Data!Q530&lt;=(TODAY()-(Data_Val!$L$2*365.25))),0,1),1))</f>
        <v/>
      </c>
    </row>
    <row r="541" spans="1:17" ht="12" customHeight="1" x14ac:dyDescent="0.25">
      <c r="A541" s="36" t="str">
        <f>IF(Data!B531="","",IF(COUNTIFS(Data!A$1:'Data'!A531,Data!A531)&lt;=1,0,1))</f>
        <v/>
      </c>
      <c r="B541" s="36"/>
      <c r="C541" s="36" t="str">
        <f>IF(Data!C531="","",(IF(ISNUMBER(MATCH("*@*.?*",Data!C531,0)),0,1)+IF(COUNTIFS(Data!C$1:'Data'!C531,Data!C531)&gt;1,1,0)))</f>
        <v/>
      </c>
      <c r="D541" s="36" t="str">
        <f>IF(Data!B531="","",IF(ISNUMBER(Data!D531),IF(AND(Data!D531&gt;999999999,Data!D531&lt;=9999999999),IF(COUNTIFS(Data!D$1:'Data'!D531,Data!D531)&lt;=1,0,1),1),1))</f>
        <v/>
      </c>
      <c r="E541" s="36" t="str">
        <f>IF(Data!B531="","",IF(ISNUMBER(MATCH(Data!E531,Data_Val!$A$2:$A$3,0)),0,1))</f>
        <v/>
      </c>
      <c r="F541" s="36" t="str">
        <f ca="1">IF(Data!B531="","",IF(ISNUMBER(Data!F531),IF(AND(Data!F531&gt;(TODAY()-(Data_Val!$H$3*365.25)),Data!F531&lt;=(TODAY()-(Data_Val!$H$2*365.25))),0,1),1))</f>
        <v/>
      </c>
      <c r="G541" s="12" t="str">
        <f>IF(Data!B531="","",IF(AND(Data!G531="",Data!H531&lt;&gt;""),1,IF(ISNUMBER(MATCH(Data!G531,Data_Val!$C$2:$C$5,0)),0,1)))</f>
        <v/>
      </c>
      <c r="H541" s="12" t="str">
        <f>IF(Data!B531="","",IF(AND(Data!G531&lt;&gt;"",Data!H531=""),1,IF(Data!G531="",1,IF(ISNUMBER(MATCH(Data!H531,Data_Val!$D$2:$D$35,0)),0,1))))</f>
        <v/>
      </c>
      <c r="I541" s="38" t="str">
        <f>IF(Data!G531="","",IF(Data!G531=Data_Val!$C$2,IF(Data!I531="",0,1),0))</f>
        <v/>
      </c>
      <c r="J541" s="38" t="str">
        <f>IF(Data!I531="","",IF(ISNUMBER(MATCH(Data!J531,Data_Val!$A$2:$A$3,0)),0,1))</f>
        <v/>
      </c>
      <c r="K541" s="38" t="str">
        <f ca="1">IF(Data!I531="","",IF(ISNUMBER(Data!K531),IF(AND(Data!K531&gt;(TODAY()-(Data_Val!$K$3*365.25)),Data!K531&lt;=(TODAY()-(Data_Val!$K$2*365.25))),0,1),1))</f>
        <v/>
      </c>
      <c r="L541" s="16" t="str">
        <f>IF(Data!G531="","",IF(Data!G531=Data_Val!$C$2,IF(Data!L531="",0,1),0))</f>
        <v/>
      </c>
      <c r="M541" s="16" t="str">
        <f>IF(Data!L531="","",IF(ISNUMBER(MATCH(Data!M531,Data_Val!$A$2:$A$3,0)),0,1))</f>
        <v/>
      </c>
      <c r="N541" s="43" t="str">
        <f ca="1">IF(Data!L531="","",IF(ISNUMBER(Data!N531),IF(AND(Data!N531&gt;(TODAY()-(Data_Val!$L$3*365.25)),Data!N531&lt;=(TODAY()-(Data_Val!$L$2*365.25))),0,1),1))</f>
        <v/>
      </c>
      <c r="O541" s="18" t="str">
        <f>IF(Data!$G531="","",IF(Data!$G531=Data_Val!$C$2,IF(Data!O531="",0,1),0))</f>
        <v/>
      </c>
      <c r="P541" s="18" t="str">
        <f>IF(Data!O531="","",IF(ISNUMBER(MATCH(Data!P531,Data_Val!$A$2:$A$3,0)),0,1))</f>
        <v/>
      </c>
      <c r="Q541" s="44" t="str">
        <f ca="1">IF(Data!O531="","",IF(ISNUMBER(Data!Q531),IF(AND(Data!Q531&gt;(TODAY()-(Data_Val!$L$3*365.25)),Data!Q531&lt;=(TODAY()-(Data_Val!$L$2*365.25))),0,1),1))</f>
        <v/>
      </c>
    </row>
    <row r="542" spans="1:17" ht="12" customHeight="1" x14ac:dyDescent="0.25">
      <c r="A542" s="36" t="str">
        <f>IF(Data!B532="","",IF(COUNTIFS(Data!A$1:'Data'!A532,Data!A532)&lt;=1,0,1))</f>
        <v/>
      </c>
      <c r="B542" s="36"/>
      <c r="C542" s="36" t="str">
        <f>IF(Data!C532="","",(IF(ISNUMBER(MATCH("*@*.?*",Data!C532,0)),0,1)+IF(COUNTIFS(Data!C$1:'Data'!C532,Data!C532)&gt;1,1,0)))</f>
        <v/>
      </c>
      <c r="D542" s="36" t="str">
        <f>IF(Data!B532="","",IF(ISNUMBER(Data!D532),IF(AND(Data!D532&gt;999999999,Data!D532&lt;=9999999999),IF(COUNTIFS(Data!D$1:'Data'!D532,Data!D532)&lt;=1,0,1),1),1))</f>
        <v/>
      </c>
      <c r="E542" s="36" t="str">
        <f>IF(Data!B532="","",IF(ISNUMBER(MATCH(Data!E532,Data_Val!$A$2:$A$3,0)),0,1))</f>
        <v/>
      </c>
      <c r="F542" s="36" t="str">
        <f ca="1">IF(Data!B532="","",IF(ISNUMBER(Data!F532),IF(AND(Data!F532&gt;(TODAY()-(Data_Val!$H$3*365.25)),Data!F532&lt;=(TODAY()-(Data_Val!$H$2*365.25))),0,1),1))</f>
        <v/>
      </c>
      <c r="G542" s="12" t="str">
        <f>IF(Data!B532="","",IF(AND(Data!G532="",Data!H532&lt;&gt;""),1,IF(ISNUMBER(MATCH(Data!G532,Data_Val!$C$2:$C$5,0)),0,1)))</f>
        <v/>
      </c>
      <c r="H542" s="12" t="str">
        <f>IF(Data!B532="","",IF(AND(Data!G532&lt;&gt;"",Data!H532=""),1,IF(Data!G532="",1,IF(ISNUMBER(MATCH(Data!H532,Data_Val!$D$2:$D$35,0)),0,1))))</f>
        <v/>
      </c>
      <c r="I542" s="38" t="str">
        <f>IF(Data!G532="","",IF(Data!G532=Data_Val!$C$2,IF(Data!I532="",0,1),0))</f>
        <v/>
      </c>
      <c r="J542" s="38" t="str">
        <f>IF(Data!I532="","",IF(ISNUMBER(MATCH(Data!J532,Data_Val!$A$2:$A$3,0)),0,1))</f>
        <v/>
      </c>
      <c r="K542" s="38" t="str">
        <f ca="1">IF(Data!I532="","",IF(ISNUMBER(Data!K532),IF(AND(Data!K532&gt;(TODAY()-(Data_Val!$K$3*365.25)),Data!K532&lt;=(TODAY()-(Data_Val!$K$2*365.25))),0,1),1))</f>
        <v/>
      </c>
      <c r="L542" s="16" t="str">
        <f>IF(Data!G532="","",IF(Data!G532=Data_Val!$C$2,IF(Data!L532="",0,1),0))</f>
        <v/>
      </c>
      <c r="M542" s="16" t="str">
        <f>IF(Data!L532="","",IF(ISNUMBER(MATCH(Data!M532,Data_Val!$A$2:$A$3,0)),0,1))</f>
        <v/>
      </c>
      <c r="N542" s="43" t="str">
        <f ca="1">IF(Data!L532="","",IF(ISNUMBER(Data!N532),IF(AND(Data!N532&gt;(TODAY()-(Data_Val!$L$3*365.25)),Data!N532&lt;=(TODAY()-(Data_Val!$L$2*365.25))),0,1),1))</f>
        <v/>
      </c>
      <c r="O542" s="18" t="str">
        <f>IF(Data!$G532="","",IF(Data!$G532=Data_Val!$C$2,IF(Data!O532="",0,1),0))</f>
        <v/>
      </c>
      <c r="P542" s="18" t="str">
        <f>IF(Data!O532="","",IF(ISNUMBER(MATCH(Data!P532,Data_Val!$A$2:$A$3,0)),0,1))</f>
        <v/>
      </c>
      <c r="Q542" s="44" t="str">
        <f ca="1">IF(Data!O532="","",IF(ISNUMBER(Data!Q532),IF(AND(Data!Q532&gt;(TODAY()-(Data_Val!$L$3*365.25)),Data!Q532&lt;=(TODAY()-(Data_Val!$L$2*365.25))),0,1),1))</f>
        <v/>
      </c>
    </row>
    <row r="543" spans="1:17" ht="12" customHeight="1" x14ac:dyDescent="0.25">
      <c r="A543" s="36" t="str">
        <f>IF(Data!B533="","",IF(COUNTIFS(Data!A$1:'Data'!A533,Data!A533)&lt;=1,0,1))</f>
        <v/>
      </c>
      <c r="B543" s="36"/>
      <c r="C543" s="36" t="str">
        <f>IF(Data!C533="","",(IF(ISNUMBER(MATCH("*@*.?*",Data!C533,0)),0,1)+IF(COUNTIFS(Data!C$1:'Data'!C533,Data!C533)&gt;1,1,0)))</f>
        <v/>
      </c>
      <c r="D543" s="36" t="str">
        <f>IF(Data!B533="","",IF(ISNUMBER(Data!D533),IF(AND(Data!D533&gt;999999999,Data!D533&lt;=9999999999),IF(COUNTIFS(Data!D$1:'Data'!D533,Data!D533)&lt;=1,0,1),1),1))</f>
        <v/>
      </c>
      <c r="E543" s="36" t="str">
        <f>IF(Data!B533="","",IF(ISNUMBER(MATCH(Data!E533,Data_Val!$A$2:$A$3,0)),0,1))</f>
        <v/>
      </c>
      <c r="F543" s="36" t="str">
        <f ca="1">IF(Data!B533="","",IF(ISNUMBER(Data!F533),IF(AND(Data!F533&gt;(TODAY()-(Data_Val!$H$3*365.25)),Data!F533&lt;=(TODAY()-(Data_Val!$H$2*365.25))),0,1),1))</f>
        <v/>
      </c>
      <c r="G543" s="12" t="str">
        <f>IF(Data!B533="","",IF(AND(Data!G533="",Data!H533&lt;&gt;""),1,IF(ISNUMBER(MATCH(Data!G533,Data_Val!$C$2:$C$5,0)),0,1)))</f>
        <v/>
      </c>
      <c r="H543" s="12" t="str">
        <f>IF(Data!B533="","",IF(AND(Data!G533&lt;&gt;"",Data!H533=""),1,IF(Data!G533="",1,IF(ISNUMBER(MATCH(Data!H533,Data_Val!$D$2:$D$35,0)),0,1))))</f>
        <v/>
      </c>
      <c r="I543" s="38" t="str">
        <f>IF(Data!G533="","",IF(Data!G533=Data_Val!$C$2,IF(Data!I533="",0,1),0))</f>
        <v/>
      </c>
      <c r="J543" s="38" t="str">
        <f>IF(Data!I533="","",IF(ISNUMBER(MATCH(Data!J533,Data_Val!$A$2:$A$3,0)),0,1))</f>
        <v/>
      </c>
      <c r="K543" s="38" t="str">
        <f ca="1">IF(Data!I533="","",IF(ISNUMBER(Data!K533),IF(AND(Data!K533&gt;(TODAY()-(Data_Val!$K$3*365.25)),Data!K533&lt;=(TODAY()-(Data_Val!$K$2*365.25))),0,1),1))</f>
        <v/>
      </c>
      <c r="L543" s="16" t="str">
        <f>IF(Data!G533="","",IF(Data!G533=Data_Val!$C$2,IF(Data!L533="",0,1),0))</f>
        <v/>
      </c>
      <c r="M543" s="16" t="str">
        <f>IF(Data!L533="","",IF(ISNUMBER(MATCH(Data!M533,Data_Val!$A$2:$A$3,0)),0,1))</f>
        <v/>
      </c>
      <c r="N543" s="43" t="str">
        <f ca="1">IF(Data!L533="","",IF(ISNUMBER(Data!N533),IF(AND(Data!N533&gt;(TODAY()-(Data_Val!$L$3*365.25)),Data!N533&lt;=(TODAY()-(Data_Val!$L$2*365.25))),0,1),1))</f>
        <v/>
      </c>
      <c r="O543" s="18" t="str">
        <f>IF(Data!$G533="","",IF(Data!$G533=Data_Val!$C$2,IF(Data!O533="",0,1),0))</f>
        <v/>
      </c>
      <c r="P543" s="18" t="str">
        <f>IF(Data!O533="","",IF(ISNUMBER(MATCH(Data!P533,Data_Val!$A$2:$A$3,0)),0,1))</f>
        <v/>
      </c>
      <c r="Q543" s="44" t="str">
        <f ca="1">IF(Data!O533="","",IF(ISNUMBER(Data!Q533),IF(AND(Data!Q533&gt;(TODAY()-(Data_Val!$L$3*365.25)),Data!Q533&lt;=(TODAY()-(Data_Val!$L$2*365.25))),0,1),1))</f>
        <v/>
      </c>
    </row>
    <row r="544" spans="1:17" ht="12" customHeight="1" x14ac:dyDescent="0.25">
      <c r="A544" s="36" t="str">
        <f>IF(Data!B534="","",IF(COUNTIFS(Data!A$1:'Data'!A534,Data!A534)&lt;=1,0,1))</f>
        <v/>
      </c>
      <c r="B544" s="36"/>
      <c r="C544" s="36" t="str">
        <f>IF(Data!C534="","",(IF(ISNUMBER(MATCH("*@*.?*",Data!C534,0)),0,1)+IF(COUNTIFS(Data!C$1:'Data'!C534,Data!C534)&gt;1,1,0)))</f>
        <v/>
      </c>
      <c r="D544" s="36" t="str">
        <f>IF(Data!B534="","",IF(ISNUMBER(Data!D534),IF(AND(Data!D534&gt;999999999,Data!D534&lt;=9999999999),IF(COUNTIFS(Data!D$1:'Data'!D534,Data!D534)&lt;=1,0,1),1),1))</f>
        <v/>
      </c>
      <c r="E544" s="36" t="str">
        <f>IF(Data!B534="","",IF(ISNUMBER(MATCH(Data!E534,Data_Val!$A$2:$A$3,0)),0,1))</f>
        <v/>
      </c>
      <c r="F544" s="36" t="str">
        <f ca="1">IF(Data!B534="","",IF(ISNUMBER(Data!F534),IF(AND(Data!F534&gt;(TODAY()-(Data_Val!$H$3*365.25)),Data!F534&lt;=(TODAY()-(Data_Val!$H$2*365.25))),0,1),1))</f>
        <v/>
      </c>
      <c r="G544" s="12" t="str">
        <f>IF(Data!B534="","",IF(AND(Data!G534="",Data!H534&lt;&gt;""),1,IF(ISNUMBER(MATCH(Data!G534,Data_Val!$C$2:$C$5,0)),0,1)))</f>
        <v/>
      </c>
      <c r="H544" s="12" t="str">
        <f>IF(Data!B534="","",IF(AND(Data!G534&lt;&gt;"",Data!H534=""),1,IF(Data!G534="",1,IF(ISNUMBER(MATCH(Data!H534,Data_Val!$D$2:$D$35,0)),0,1))))</f>
        <v/>
      </c>
      <c r="I544" s="38" t="str">
        <f>IF(Data!G534="","",IF(Data!G534=Data_Val!$C$2,IF(Data!I534="",0,1),0))</f>
        <v/>
      </c>
      <c r="J544" s="38" t="str">
        <f>IF(Data!I534="","",IF(ISNUMBER(MATCH(Data!J534,Data_Val!$A$2:$A$3,0)),0,1))</f>
        <v/>
      </c>
      <c r="K544" s="38" t="str">
        <f ca="1">IF(Data!I534="","",IF(ISNUMBER(Data!K534),IF(AND(Data!K534&gt;(TODAY()-(Data_Val!$K$3*365.25)),Data!K534&lt;=(TODAY()-(Data_Val!$K$2*365.25))),0,1),1))</f>
        <v/>
      </c>
      <c r="L544" s="16" t="str">
        <f>IF(Data!G534="","",IF(Data!G534=Data_Val!$C$2,IF(Data!L534="",0,1),0))</f>
        <v/>
      </c>
      <c r="M544" s="16" t="str">
        <f>IF(Data!L534="","",IF(ISNUMBER(MATCH(Data!M534,Data_Val!$A$2:$A$3,0)),0,1))</f>
        <v/>
      </c>
      <c r="N544" s="43" t="str">
        <f ca="1">IF(Data!L534="","",IF(ISNUMBER(Data!N534),IF(AND(Data!N534&gt;(TODAY()-(Data_Val!$L$3*365.25)),Data!N534&lt;=(TODAY()-(Data_Val!$L$2*365.25))),0,1),1))</f>
        <v/>
      </c>
      <c r="O544" s="18" t="str">
        <f>IF(Data!$G534="","",IF(Data!$G534=Data_Val!$C$2,IF(Data!O534="",0,1),0))</f>
        <v/>
      </c>
      <c r="P544" s="18" t="str">
        <f>IF(Data!O534="","",IF(ISNUMBER(MATCH(Data!P534,Data_Val!$A$2:$A$3,0)),0,1))</f>
        <v/>
      </c>
      <c r="Q544" s="44" t="str">
        <f ca="1">IF(Data!O534="","",IF(ISNUMBER(Data!Q534),IF(AND(Data!Q534&gt;(TODAY()-(Data_Val!$L$3*365.25)),Data!Q534&lt;=(TODAY()-(Data_Val!$L$2*365.25))),0,1),1))</f>
        <v/>
      </c>
    </row>
    <row r="545" spans="1:17" ht="12" customHeight="1" x14ac:dyDescent="0.25">
      <c r="A545" s="36" t="str">
        <f>IF(Data!B535="","",IF(COUNTIFS(Data!A$1:'Data'!A535,Data!A535)&lt;=1,0,1))</f>
        <v/>
      </c>
      <c r="B545" s="36"/>
      <c r="C545" s="36" t="str">
        <f>IF(Data!C535="","",(IF(ISNUMBER(MATCH("*@*.?*",Data!C535,0)),0,1)+IF(COUNTIFS(Data!C$1:'Data'!C535,Data!C535)&gt;1,1,0)))</f>
        <v/>
      </c>
      <c r="D545" s="36" t="str">
        <f>IF(Data!B535="","",IF(ISNUMBER(Data!D535),IF(AND(Data!D535&gt;999999999,Data!D535&lt;=9999999999),IF(COUNTIFS(Data!D$1:'Data'!D535,Data!D535)&lt;=1,0,1),1),1))</f>
        <v/>
      </c>
      <c r="E545" s="36" t="str">
        <f>IF(Data!B535="","",IF(ISNUMBER(MATCH(Data!E535,Data_Val!$A$2:$A$3,0)),0,1))</f>
        <v/>
      </c>
      <c r="F545" s="36" t="str">
        <f ca="1">IF(Data!B535="","",IF(ISNUMBER(Data!F535),IF(AND(Data!F535&gt;(TODAY()-(Data_Val!$H$3*365.25)),Data!F535&lt;=(TODAY()-(Data_Val!$H$2*365.25))),0,1),1))</f>
        <v/>
      </c>
      <c r="G545" s="12" t="str">
        <f>IF(Data!B535="","",IF(AND(Data!G535="",Data!H535&lt;&gt;""),1,IF(ISNUMBER(MATCH(Data!G535,Data_Val!$C$2:$C$5,0)),0,1)))</f>
        <v/>
      </c>
      <c r="H545" s="12" t="str">
        <f>IF(Data!B535="","",IF(AND(Data!G535&lt;&gt;"",Data!H535=""),1,IF(Data!G535="",1,IF(ISNUMBER(MATCH(Data!H535,Data_Val!$D$2:$D$35,0)),0,1))))</f>
        <v/>
      </c>
      <c r="I545" s="38" t="str">
        <f>IF(Data!G535="","",IF(Data!G535=Data_Val!$C$2,IF(Data!I535="",0,1),0))</f>
        <v/>
      </c>
      <c r="J545" s="38" t="str">
        <f>IF(Data!I535="","",IF(ISNUMBER(MATCH(Data!J535,Data_Val!$A$2:$A$3,0)),0,1))</f>
        <v/>
      </c>
      <c r="K545" s="38" t="str">
        <f ca="1">IF(Data!I535="","",IF(ISNUMBER(Data!K535),IF(AND(Data!K535&gt;(TODAY()-(Data_Val!$K$3*365.25)),Data!K535&lt;=(TODAY()-(Data_Val!$K$2*365.25))),0,1),1))</f>
        <v/>
      </c>
      <c r="L545" s="16" t="str">
        <f>IF(Data!G535="","",IF(Data!G535=Data_Val!$C$2,IF(Data!L535="",0,1),0))</f>
        <v/>
      </c>
      <c r="M545" s="16" t="str">
        <f>IF(Data!L535="","",IF(ISNUMBER(MATCH(Data!M535,Data_Val!$A$2:$A$3,0)),0,1))</f>
        <v/>
      </c>
      <c r="N545" s="43" t="str">
        <f ca="1">IF(Data!L535="","",IF(ISNUMBER(Data!N535),IF(AND(Data!N535&gt;(TODAY()-(Data_Val!$L$3*365.25)),Data!N535&lt;=(TODAY()-(Data_Val!$L$2*365.25))),0,1),1))</f>
        <v/>
      </c>
      <c r="O545" s="18" t="str">
        <f>IF(Data!$G535="","",IF(Data!$G535=Data_Val!$C$2,IF(Data!O535="",0,1),0))</f>
        <v/>
      </c>
      <c r="P545" s="18" t="str">
        <f>IF(Data!O535="","",IF(ISNUMBER(MATCH(Data!P535,Data_Val!$A$2:$A$3,0)),0,1))</f>
        <v/>
      </c>
      <c r="Q545" s="44" t="str">
        <f ca="1">IF(Data!O535="","",IF(ISNUMBER(Data!Q535),IF(AND(Data!Q535&gt;(TODAY()-(Data_Val!$L$3*365.25)),Data!Q535&lt;=(TODAY()-(Data_Val!$L$2*365.25))),0,1),1))</f>
        <v/>
      </c>
    </row>
    <row r="546" spans="1:17" ht="12" customHeight="1" x14ac:dyDescent="0.25">
      <c r="A546" s="36" t="str">
        <f>IF(Data!B536="","",IF(COUNTIFS(Data!A$1:'Data'!A536,Data!A536)&lt;=1,0,1))</f>
        <v/>
      </c>
      <c r="B546" s="36"/>
      <c r="C546" s="36" t="str">
        <f>IF(Data!C536="","",(IF(ISNUMBER(MATCH("*@*.?*",Data!C536,0)),0,1)+IF(COUNTIFS(Data!C$1:'Data'!C536,Data!C536)&gt;1,1,0)))</f>
        <v/>
      </c>
      <c r="D546" s="36" t="str">
        <f>IF(Data!B536="","",IF(ISNUMBER(Data!D536),IF(AND(Data!D536&gt;999999999,Data!D536&lt;=9999999999),IF(COUNTIFS(Data!D$1:'Data'!D536,Data!D536)&lt;=1,0,1),1),1))</f>
        <v/>
      </c>
      <c r="E546" s="36" t="str">
        <f>IF(Data!B536="","",IF(ISNUMBER(MATCH(Data!E536,Data_Val!$A$2:$A$3,0)),0,1))</f>
        <v/>
      </c>
      <c r="F546" s="36" t="str">
        <f ca="1">IF(Data!B536="","",IF(ISNUMBER(Data!F536),IF(AND(Data!F536&gt;(TODAY()-(Data_Val!$H$3*365.25)),Data!F536&lt;=(TODAY()-(Data_Val!$H$2*365.25))),0,1),1))</f>
        <v/>
      </c>
      <c r="G546" s="12" t="str">
        <f>IF(Data!B536="","",IF(AND(Data!G536="",Data!H536&lt;&gt;""),1,IF(ISNUMBER(MATCH(Data!G536,Data_Val!$C$2:$C$5,0)),0,1)))</f>
        <v/>
      </c>
      <c r="H546" s="12" t="str">
        <f>IF(Data!B536="","",IF(AND(Data!G536&lt;&gt;"",Data!H536=""),1,IF(Data!G536="",1,IF(ISNUMBER(MATCH(Data!H536,Data_Val!$D$2:$D$35,0)),0,1))))</f>
        <v/>
      </c>
      <c r="I546" s="38" t="str">
        <f>IF(Data!G536="","",IF(Data!G536=Data_Val!$C$2,IF(Data!I536="",0,1),0))</f>
        <v/>
      </c>
      <c r="J546" s="38" t="str">
        <f>IF(Data!I536="","",IF(ISNUMBER(MATCH(Data!J536,Data_Val!$A$2:$A$3,0)),0,1))</f>
        <v/>
      </c>
      <c r="K546" s="38" t="str">
        <f ca="1">IF(Data!I536="","",IF(ISNUMBER(Data!K536),IF(AND(Data!K536&gt;(TODAY()-(Data_Val!$K$3*365.25)),Data!K536&lt;=(TODAY()-(Data_Val!$K$2*365.25))),0,1),1))</f>
        <v/>
      </c>
      <c r="L546" s="16" t="str">
        <f>IF(Data!G536="","",IF(Data!G536=Data_Val!$C$2,IF(Data!L536="",0,1),0))</f>
        <v/>
      </c>
      <c r="M546" s="16" t="str">
        <f>IF(Data!L536="","",IF(ISNUMBER(MATCH(Data!M536,Data_Val!$A$2:$A$3,0)),0,1))</f>
        <v/>
      </c>
      <c r="N546" s="43" t="str">
        <f ca="1">IF(Data!L536="","",IF(ISNUMBER(Data!N536),IF(AND(Data!N536&gt;(TODAY()-(Data_Val!$L$3*365.25)),Data!N536&lt;=(TODAY()-(Data_Val!$L$2*365.25))),0,1),1))</f>
        <v/>
      </c>
      <c r="O546" s="18" t="str">
        <f>IF(Data!$G536="","",IF(Data!$G536=Data_Val!$C$2,IF(Data!O536="",0,1),0))</f>
        <v/>
      </c>
      <c r="P546" s="18" t="str">
        <f>IF(Data!O536="","",IF(ISNUMBER(MATCH(Data!P536,Data_Val!$A$2:$A$3,0)),0,1))</f>
        <v/>
      </c>
      <c r="Q546" s="44" t="str">
        <f ca="1">IF(Data!O536="","",IF(ISNUMBER(Data!Q536),IF(AND(Data!Q536&gt;(TODAY()-(Data_Val!$L$3*365.25)),Data!Q536&lt;=(TODAY()-(Data_Val!$L$2*365.25))),0,1),1))</f>
        <v/>
      </c>
    </row>
    <row r="547" spans="1:17" ht="12" customHeight="1" x14ac:dyDescent="0.25">
      <c r="A547" s="36" t="str">
        <f>IF(Data!B537="","",IF(COUNTIFS(Data!A$1:'Data'!A537,Data!A537)&lt;=1,0,1))</f>
        <v/>
      </c>
      <c r="B547" s="36"/>
      <c r="C547" s="36" t="str">
        <f>IF(Data!C537="","",(IF(ISNUMBER(MATCH("*@*.?*",Data!C537,0)),0,1)+IF(COUNTIFS(Data!C$1:'Data'!C537,Data!C537)&gt;1,1,0)))</f>
        <v/>
      </c>
      <c r="D547" s="36" t="str">
        <f>IF(Data!B537="","",IF(ISNUMBER(Data!D537),IF(AND(Data!D537&gt;999999999,Data!D537&lt;=9999999999),IF(COUNTIFS(Data!D$1:'Data'!D537,Data!D537)&lt;=1,0,1),1),1))</f>
        <v/>
      </c>
      <c r="E547" s="36" t="str">
        <f>IF(Data!B537="","",IF(ISNUMBER(MATCH(Data!E537,Data_Val!$A$2:$A$3,0)),0,1))</f>
        <v/>
      </c>
      <c r="F547" s="36" t="str">
        <f ca="1">IF(Data!B537="","",IF(ISNUMBER(Data!F537),IF(AND(Data!F537&gt;(TODAY()-(Data_Val!$H$3*365.25)),Data!F537&lt;=(TODAY()-(Data_Val!$H$2*365.25))),0,1),1))</f>
        <v/>
      </c>
      <c r="G547" s="12" t="str">
        <f>IF(Data!B537="","",IF(AND(Data!G537="",Data!H537&lt;&gt;""),1,IF(ISNUMBER(MATCH(Data!G537,Data_Val!$C$2:$C$5,0)),0,1)))</f>
        <v/>
      </c>
      <c r="H547" s="12" t="str">
        <f>IF(Data!B537="","",IF(AND(Data!G537&lt;&gt;"",Data!H537=""),1,IF(Data!G537="",1,IF(ISNUMBER(MATCH(Data!H537,Data_Val!$D$2:$D$35,0)),0,1))))</f>
        <v/>
      </c>
      <c r="I547" s="38" t="str">
        <f>IF(Data!G537="","",IF(Data!G537=Data_Val!$C$2,IF(Data!I537="",0,1),0))</f>
        <v/>
      </c>
      <c r="J547" s="38" t="str">
        <f>IF(Data!I537="","",IF(ISNUMBER(MATCH(Data!J537,Data_Val!$A$2:$A$3,0)),0,1))</f>
        <v/>
      </c>
      <c r="K547" s="38" t="str">
        <f ca="1">IF(Data!I537="","",IF(ISNUMBER(Data!K537),IF(AND(Data!K537&gt;(TODAY()-(Data_Val!$K$3*365.25)),Data!K537&lt;=(TODAY()-(Data_Val!$K$2*365.25))),0,1),1))</f>
        <v/>
      </c>
      <c r="L547" s="16" t="str">
        <f>IF(Data!G537="","",IF(Data!G537=Data_Val!$C$2,IF(Data!L537="",0,1),0))</f>
        <v/>
      </c>
      <c r="M547" s="16" t="str">
        <f>IF(Data!L537="","",IF(ISNUMBER(MATCH(Data!M537,Data_Val!$A$2:$A$3,0)),0,1))</f>
        <v/>
      </c>
      <c r="N547" s="43" t="str">
        <f ca="1">IF(Data!L537="","",IF(ISNUMBER(Data!N537),IF(AND(Data!N537&gt;(TODAY()-(Data_Val!$L$3*365.25)),Data!N537&lt;=(TODAY()-(Data_Val!$L$2*365.25))),0,1),1))</f>
        <v/>
      </c>
      <c r="O547" s="18" t="str">
        <f>IF(Data!$G537="","",IF(Data!$G537=Data_Val!$C$2,IF(Data!O537="",0,1),0))</f>
        <v/>
      </c>
      <c r="P547" s="18" t="str">
        <f>IF(Data!O537="","",IF(ISNUMBER(MATCH(Data!P537,Data_Val!$A$2:$A$3,0)),0,1))</f>
        <v/>
      </c>
      <c r="Q547" s="44" t="str">
        <f ca="1">IF(Data!O537="","",IF(ISNUMBER(Data!Q537),IF(AND(Data!Q537&gt;(TODAY()-(Data_Val!$L$3*365.25)),Data!Q537&lt;=(TODAY()-(Data_Val!$L$2*365.25))),0,1),1))</f>
        <v/>
      </c>
    </row>
    <row r="548" spans="1:17" ht="12" customHeight="1" x14ac:dyDescent="0.25">
      <c r="A548" s="36" t="str">
        <f>IF(Data!B538="","",IF(COUNTIFS(Data!A$1:'Data'!A538,Data!A538)&lt;=1,0,1))</f>
        <v/>
      </c>
      <c r="B548" s="36"/>
      <c r="C548" s="36" t="str">
        <f>IF(Data!C538="","",(IF(ISNUMBER(MATCH("*@*.?*",Data!C538,0)),0,1)+IF(COUNTIFS(Data!C$1:'Data'!C538,Data!C538)&gt;1,1,0)))</f>
        <v/>
      </c>
      <c r="D548" s="36" t="str">
        <f>IF(Data!B538="","",IF(ISNUMBER(Data!D538),IF(AND(Data!D538&gt;999999999,Data!D538&lt;=9999999999),IF(COUNTIFS(Data!D$1:'Data'!D538,Data!D538)&lt;=1,0,1),1),1))</f>
        <v/>
      </c>
      <c r="E548" s="36" t="str">
        <f>IF(Data!B538="","",IF(ISNUMBER(MATCH(Data!E538,Data_Val!$A$2:$A$3,0)),0,1))</f>
        <v/>
      </c>
      <c r="F548" s="36" t="str">
        <f ca="1">IF(Data!B538="","",IF(ISNUMBER(Data!F538),IF(AND(Data!F538&gt;(TODAY()-(Data_Val!$H$3*365.25)),Data!F538&lt;=(TODAY()-(Data_Val!$H$2*365.25))),0,1),1))</f>
        <v/>
      </c>
      <c r="G548" s="12" t="str">
        <f>IF(Data!B538="","",IF(AND(Data!G538="",Data!H538&lt;&gt;""),1,IF(ISNUMBER(MATCH(Data!G538,Data_Val!$C$2:$C$5,0)),0,1)))</f>
        <v/>
      </c>
      <c r="H548" s="12" t="str">
        <f>IF(Data!B538="","",IF(AND(Data!G538&lt;&gt;"",Data!H538=""),1,IF(Data!G538="",1,IF(ISNUMBER(MATCH(Data!H538,Data_Val!$D$2:$D$35,0)),0,1))))</f>
        <v/>
      </c>
      <c r="I548" s="38" t="str">
        <f>IF(Data!G538="","",IF(Data!G538=Data_Val!$C$2,IF(Data!I538="",0,1),0))</f>
        <v/>
      </c>
      <c r="J548" s="38" t="str">
        <f>IF(Data!I538="","",IF(ISNUMBER(MATCH(Data!J538,Data_Val!$A$2:$A$3,0)),0,1))</f>
        <v/>
      </c>
      <c r="K548" s="38" t="str">
        <f ca="1">IF(Data!I538="","",IF(ISNUMBER(Data!K538),IF(AND(Data!K538&gt;(TODAY()-(Data_Val!$K$3*365.25)),Data!K538&lt;=(TODAY()-(Data_Val!$K$2*365.25))),0,1),1))</f>
        <v/>
      </c>
      <c r="L548" s="16" t="str">
        <f>IF(Data!G538="","",IF(Data!G538=Data_Val!$C$2,IF(Data!L538="",0,1),0))</f>
        <v/>
      </c>
      <c r="M548" s="16" t="str">
        <f>IF(Data!L538="","",IF(ISNUMBER(MATCH(Data!M538,Data_Val!$A$2:$A$3,0)),0,1))</f>
        <v/>
      </c>
      <c r="N548" s="43" t="str">
        <f ca="1">IF(Data!L538="","",IF(ISNUMBER(Data!N538),IF(AND(Data!N538&gt;(TODAY()-(Data_Val!$L$3*365.25)),Data!N538&lt;=(TODAY()-(Data_Val!$L$2*365.25))),0,1),1))</f>
        <v/>
      </c>
      <c r="O548" s="18" t="str">
        <f>IF(Data!$G538="","",IF(Data!$G538=Data_Val!$C$2,IF(Data!O538="",0,1),0))</f>
        <v/>
      </c>
      <c r="P548" s="18" t="str">
        <f>IF(Data!O538="","",IF(ISNUMBER(MATCH(Data!P538,Data_Val!$A$2:$A$3,0)),0,1))</f>
        <v/>
      </c>
      <c r="Q548" s="44" t="str">
        <f ca="1">IF(Data!O538="","",IF(ISNUMBER(Data!Q538),IF(AND(Data!Q538&gt;(TODAY()-(Data_Val!$L$3*365.25)),Data!Q538&lt;=(TODAY()-(Data_Val!$L$2*365.25))),0,1),1))</f>
        <v/>
      </c>
    </row>
    <row r="549" spans="1:17" ht="12" customHeight="1" x14ac:dyDescent="0.25">
      <c r="A549" s="36" t="str">
        <f>IF(Data!B539="","",IF(COUNTIFS(Data!A$1:'Data'!A539,Data!A539)&lt;=1,0,1))</f>
        <v/>
      </c>
      <c r="B549" s="36"/>
      <c r="C549" s="36" t="str">
        <f>IF(Data!C539="","",(IF(ISNUMBER(MATCH("*@*.?*",Data!C539,0)),0,1)+IF(COUNTIFS(Data!C$1:'Data'!C539,Data!C539)&gt;1,1,0)))</f>
        <v/>
      </c>
      <c r="D549" s="36" t="str">
        <f>IF(Data!B539="","",IF(ISNUMBER(Data!D539),IF(AND(Data!D539&gt;999999999,Data!D539&lt;=9999999999),IF(COUNTIFS(Data!D$1:'Data'!D539,Data!D539)&lt;=1,0,1),1),1))</f>
        <v/>
      </c>
      <c r="E549" s="36" t="str">
        <f>IF(Data!B539="","",IF(ISNUMBER(MATCH(Data!E539,Data_Val!$A$2:$A$3,0)),0,1))</f>
        <v/>
      </c>
      <c r="F549" s="36" t="str">
        <f ca="1">IF(Data!B539="","",IF(ISNUMBER(Data!F539),IF(AND(Data!F539&gt;(TODAY()-(Data_Val!$H$3*365.25)),Data!F539&lt;=(TODAY()-(Data_Val!$H$2*365.25))),0,1),1))</f>
        <v/>
      </c>
      <c r="G549" s="12" t="str">
        <f>IF(Data!B539="","",IF(AND(Data!G539="",Data!H539&lt;&gt;""),1,IF(ISNUMBER(MATCH(Data!G539,Data_Val!$C$2:$C$5,0)),0,1)))</f>
        <v/>
      </c>
      <c r="H549" s="12" t="str">
        <f>IF(Data!B539="","",IF(AND(Data!G539&lt;&gt;"",Data!H539=""),1,IF(Data!G539="",1,IF(ISNUMBER(MATCH(Data!H539,Data_Val!$D$2:$D$35,0)),0,1))))</f>
        <v/>
      </c>
      <c r="I549" s="38" t="str">
        <f>IF(Data!G539="","",IF(Data!G539=Data_Val!$C$2,IF(Data!I539="",0,1),0))</f>
        <v/>
      </c>
      <c r="J549" s="38" t="str">
        <f>IF(Data!I539="","",IF(ISNUMBER(MATCH(Data!J539,Data_Val!$A$2:$A$3,0)),0,1))</f>
        <v/>
      </c>
      <c r="K549" s="38" t="str">
        <f ca="1">IF(Data!I539="","",IF(ISNUMBER(Data!K539),IF(AND(Data!K539&gt;(TODAY()-(Data_Val!$K$3*365.25)),Data!K539&lt;=(TODAY()-(Data_Val!$K$2*365.25))),0,1),1))</f>
        <v/>
      </c>
      <c r="L549" s="16" t="str">
        <f>IF(Data!G539="","",IF(Data!G539=Data_Val!$C$2,IF(Data!L539="",0,1),0))</f>
        <v/>
      </c>
      <c r="M549" s="16" t="str">
        <f>IF(Data!L539="","",IF(ISNUMBER(MATCH(Data!M539,Data_Val!$A$2:$A$3,0)),0,1))</f>
        <v/>
      </c>
      <c r="N549" s="43" t="str">
        <f ca="1">IF(Data!L539="","",IF(ISNUMBER(Data!N539),IF(AND(Data!N539&gt;(TODAY()-(Data_Val!$L$3*365.25)),Data!N539&lt;=(TODAY()-(Data_Val!$L$2*365.25))),0,1),1))</f>
        <v/>
      </c>
      <c r="O549" s="18" t="str">
        <f>IF(Data!$G539="","",IF(Data!$G539=Data_Val!$C$2,IF(Data!O539="",0,1),0))</f>
        <v/>
      </c>
      <c r="P549" s="18" t="str">
        <f>IF(Data!O539="","",IF(ISNUMBER(MATCH(Data!P539,Data_Val!$A$2:$A$3,0)),0,1))</f>
        <v/>
      </c>
      <c r="Q549" s="44" t="str">
        <f ca="1">IF(Data!O539="","",IF(ISNUMBER(Data!Q539),IF(AND(Data!Q539&gt;(TODAY()-(Data_Val!$L$3*365.25)),Data!Q539&lt;=(TODAY()-(Data_Val!$L$2*365.25))),0,1),1))</f>
        <v/>
      </c>
    </row>
    <row r="550" spans="1:17" ht="12" customHeight="1" x14ac:dyDescent="0.25">
      <c r="A550" s="36" t="str">
        <f>IF(Data!B540="","",IF(COUNTIFS(Data!A$1:'Data'!A540,Data!A540)&lt;=1,0,1))</f>
        <v/>
      </c>
      <c r="B550" s="36"/>
      <c r="C550" s="36" t="str">
        <f>IF(Data!C540="","",(IF(ISNUMBER(MATCH("*@*.?*",Data!C540,0)),0,1)+IF(COUNTIFS(Data!C$1:'Data'!C540,Data!C540)&gt;1,1,0)))</f>
        <v/>
      </c>
      <c r="D550" s="36" t="str">
        <f>IF(Data!B540="","",IF(ISNUMBER(Data!D540),IF(AND(Data!D540&gt;999999999,Data!D540&lt;=9999999999),IF(COUNTIFS(Data!D$1:'Data'!D540,Data!D540)&lt;=1,0,1),1),1))</f>
        <v/>
      </c>
      <c r="E550" s="36" t="str">
        <f>IF(Data!B540="","",IF(ISNUMBER(MATCH(Data!E540,Data_Val!$A$2:$A$3,0)),0,1))</f>
        <v/>
      </c>
      <c r="F550" s="36" t="str">
        <f ca="1">IF(Data!B540="","",IF(ISNUMBER(Data!F540),IF(AND(Data!F540&gt;(TODAY()-(Data_Val!$H$3*365.25)),Data!F540&lt;=(TODAY()-(Data_Val!$H$2*365.25))),0,1),1))</f>
        <v/>
      </c>
      <c r="G550" s="12" t="str">
        <f>IF(Data!B540="","",IF(AND(Data!G540="",Data!H540&lt;&gt;""),1,IF(ISNUMBER(MATCH(Data!G540,Data_Val!$C$2:$C$5,0)),0,1)))</f>
        <v/>
      </c>
      <c r="H550" s="12" t="str">
        <f>IF(Data!B540="","",IF(AND(Data!G540&lt;&gt;"",Data!H540=""),1,IF(Data!G540="",1,IF(ISNUMBER(MATCH(Data!H540,Data_Val!$D$2:$D$35,0)),0,1))))</f>
        <v/>
      </c>
      <c r="I550" s="38" t="str">
        <f>IF(Data!G540="","",IF(Data!G540=Data_Val!$C$2,IF(Data!I540="",0,1),0))</f>
        <v/>
      </c>
      <c r="J550" s="38" t="str">
        <f>IF(Data!I540="","",IF(ISNUMBER(MATCH(Data!J540,Data_Val!$A$2:$A$3,0)),0,1))</f>
        <v/>
      </c>
      <c r="K550" s="38" t="str">
        <f ca="1">IF(Data!I540="","",IF(ISNUMBER(Data!K540),IF(AND(Data!K540&gt;(TODAY()-(Data_Val!$K$3*365.25)),Data!K540&lt;=(TODAY()-(Data_Val!$K$2*365.25))),0,1),1))</f>
        <v/>
      </c>
      <c r="L550" s="16" t="str">
        <f>IF(Data!G540="","",IF(Data!G540=Data_Val!$C$2,IF(Data!L540="",0,1),0))</f>
        <v/>
      </c>
      <c r="M550" s="16" t="str">
        <f>IF(Data!L540="","",IF(ISNUMBER(MATCH(Data!M540,Data_Val!$A$2:$A$3,0)),0,1))</f>
        <v/>
      </c>
      <c r="N550" s="43" t="str">
        <f ca="1">IF(Data!L540="","",IF(ISNUMBER(Data!N540),IF(AND(Data!N540&gt;(TODAY()-(Data_Val!$L$3*365.25)),Data!N540&lt;=(TODAY()-(Data_Val!$L$2*365.25))),0,1),1))</f>
        <v/>
      </c>
      <c r="O550" s="18" t="str">
        <f>IF(Data!$G540="","",IF(Data!$G540=Data_Val!$C$2,IF(Data!O540="",0,1),0))</f>
        <v/>
      </c>
      <c r="P550" s="18" t="str">
        <f>IF(Data!O540="","",IF(ISNUMBER(MATCH(Data!P540,Data_Val!$A$2:$A$3,0)),0,1))</f>
        <v/>
      </c>
      <c r="Q550" s="44" t="str">
        <f ca="1">IF(Data!O540="","",IF(ISNUMBER(Data!Q540),IF(AND(Data!Q540&gt;(TODAY()-(Data_Val!$L$3*365.25)),Data!Q540&lt;=(TODAY()-(Data_Val!$L$2*365.25))),0,1),1))</f>
        <v/>
      </c>
    </row>
    <row r="551" spans="1:17" ht="12" customHeight="1" x14ac:dyDescent="0.25">
      <c r="A551" s="36" t="str">
        <f>IF(Data!B541="","",IF(COUNTIFS(Data!A$1:'Data'!A541,Data!A541)&lt;=1,0,1))</f>
        <v/>
      </c>
      <c r="B551" s="36"/>
      <c r="C551" s="36" t="str">
        <f>IF(Data!C541="","",(IF(ISNUMBER(MATCH("*@*.?*",Data!C541,0)),0,1)+IF(COUNTIFS(Data!C$1:'Data'!C541,Data!C541)&gt;1,1,0)))</f>
        <v/>
      </c>
      <c r="D551" s="36" t="str">
        <f>IF(Data!B541="","",IF(ISNUMBER(Data!D541),IF(AND(Data!D541&gt;999999999,Data!D541&lt;=9999999999),IF(COUNTIFS(Data!D$1:'Data'!D541,Data!D541)&lt;=1,0,1),1),1))</f>
        <v/>
      </c>
      <c r="E551" s="36" t="str">
        <f>IF(Data!B541="","",IF(ISNUMBER(MATCH(Data!E541,Data_Val!$A$2:$A$3,0)),0,1))</f>
        <v/>
      </c>
      <c r="F551" s="36" t="str">
        <f ca="1">IF(Data!B541="","",IF(ISNUMBER(Data!F541),IF(AND(Data!F541&gt;(TODAY()-(Data_Val!$H$3*365.25)),Data!F541&lt;=(TODAY()-(Data_Val!$H$2*365.25))),0,1),1))</f>
        <v/>
      </c>
      <c r="G551" s="12" t="str">
        <f>IF(Data!B541="","",IF(AND(Data!G541="",Data!H541&lt;&gt;""),1,IF(ISNUMBER(MATCH(Data!G541,Data_Val!$C$2:$C$5,0)),0,1)))</f>
        <v/>
      </c>
      <c r="H551" s="12" t="str">
        <f>IF(Data!B541="","",IF(AND(Data!G541&lt;&gt;"",Data!H541=""),1,IF(Data!G541="",1,IF(ISNUMBER(MATCH(Data!H541,Data_Val!$D$2:$D$35,0)),0,1))))</f>
        <v/>
      </c>
      <c r="I551" s="38" t="str">
        <f>IF(Data!G541="","",IF(Data!G541=Data_Val!$C$2,IF(Data!I541="",0,1),0))</f>
        <v/>
      </c>
      <c r="J551" s="38" t="str">
        <f>IF(Data!I541="","",IF(ISNUMBER(MATCH(Data!J541,Data_Val!$A$2:$A$3,0)),0,1))</f>
        <v/>
      </c>
      <c r="K551" s="38" t="str">
        <f ca="1">IF(Data!I541="","",IF(ISNUMBER(Data!K541),IF(AND(Data!K541&gt;(TODAY()-(Data_Val!$K$3*365.25)),Data!K541&lt;=(TODAY()-(Data_Val!$K$2*365.25))),0,1),1))</f>
        <v/>
      </c>
      <c r="L551" s="16" t="str">
        <f>IF(Data!G541="","",IF(Data!G541=Data_Val!$C$2,IF(Data!L541="",0,1),0))</f>
        <v/>
      </c>
      <c r="M551" s="16" t="str">
        <f>IF(Data!L541="","",IF(ISNUMBER(MATCH(Data!M541,Data_Val!$A$2:$A$3,0)),0,1))</f>
        <v/>
      </c>
      <c r="N551" s="43" t="str">
        <f ca="1">IF(Data!L541="","",IF(ISNUMBER(Data!N541),IF(AND(Data!N541&gt;(TODAY()-(Data_Val!$L$3*365.25)),Data!N541&lt;=(TODAY()-(Data_Val!$L$2*365.25))),0,1),1))</f>
        <v/>
      </c>
      <c r="O551" s="18" t="str">
        <f>IF(Data!$G541="","",IF(Data!$G541=Data_Val!$C$2,IF(Data!O541="",0,1),0))</f>
        <v/>
      </c>
      <c r="P551" s="18" t="str">
        <f>IF(Data!O541="","",IF(ISNUMBER(MATCH(Data!P541,Data_Val!$A$2:$A$3,0)),0,1))</f>
        <v/>
      </c>
      <c r="Q551" s="44" t="str">
        <f ca="1">IF(Data!O541="","",IF(ISNUMBER(Data!Q541),IF(AND(Data!Q541&gt;(TODAY()-(Data_Val!$L$3*365.25)),Data!Q541&lt;=(TODAY()-(Data_Val!$L$2*365.25))),0,1),1))</f>
        <v/>
      </c>
    </row>
    <row r="552" spans="1:17" ht="12" customHeight="1" x14ac:dyDescent="0.25">
      <c r="A552" s="36" t="str">
        <f>IF(Data!B542="","",IF(COUNTIFS(Data!A$1:'Data'!A542,Data!A542)&lt;=1,0,1))</f>
        <v/>
      </c>
      <c r="B552" s="36"/>
      <c r="C552" s="36" t="str">
        <f>IF(Data!C542="","",(IF(ISNUMBER(MATCH("*@*.?*",Data!C542,0)),0,1)+IF(COUNTIFS(Data!C$1:'Data'!C542,Data!C542)&gt;1,1,0)))</f>
        <v/>
      </c>
      <c r="D552" s="36" t="str">
        <f>IF(Data!B542="","",IF(ISNUMBER(Data!D542),IF(AND(Data!D542&gt;999999999,Data!D542&lt;=9999999999),IF(COUNTIFS(Data!D$1:'Data'!D542,Data!D542)&lt;=1,0,1),1),1))</f>
        <v/>
      </c>
      <c r="E552" s="36" t="str">
        <f>IF(Data!B542="","",IF(ISNUMBER(MATCH(Data!E542,Data_Val!$A$2:$A$3,0)),0,1))</f>
        <v/>
      </c>
      <c r="F552" s="36" t="str">
        <f ca="1">IF(Data!B542="","",IF(ISNUMBER(Data!F542),IF(AND(Data!F542&gt;(TODAY()-(Data_Val!$H$3*365.25)),Data!F542&lt;=(TODAY()-(Data_Val!$H$2*365.25))),0,1),1))</f>
        <v/>
      </c>
      <c r="G552" s="12" t="str">
        <f>IF(Data!B542="","",IF(AND(Data!G542="",Data!H542&lt;&gt;""),1,IF(ISNUMBER(MATCH(Data!G542,Data_Val!$C$2:$C$5,0)),0,1)))</f>
        <v/>
      </c>
      <c r="H552" s="12" t="str">
        <f>IF(Data!B542="","",IF(AND(Data!G542&lt;&gt;"",Data!H542=""),1,IF(Data!G542="",1,IF(ISNUMBER(MATCH(Data!H542,Data_Val!$D$2:$D$35,0)),0,1))))</f>
        <v/>
      </c>
      <c r="I552" s="38" t="str">
        <f>IF(Data!G542="","",IF(Data!G542=Data_Val!$C$2,IF(Data!I542="",0,1),0))</f>
        <v/>
      </c>
      <c r="J552" s="38" t="str">
        <f>IF(Data!I542="","",IF(ISNUMBER(MATCH(Data!J542,Data_Val!$A$2:$A$3,0)),0,1))</f>
        <v/>
      </c>
      <c r="K552" s="38" t="str">
        <f ca="1">IF(Data!I542="","",IF(ISNUMBER(Data!K542),IF(AND(Data!K542&gt;(TODAY()-(Data_Val!$K$3*365.25)),Data!K542&lt;=(TODAY()-(Data_Val!$K$2*365.25))),0,1),1))</f>
        <v/>
      </c>
      <c r="L552" s="16" t="str">
        <f>IF(Data!G542="","",IF(Data!G542=Data_Val!$C$2,IF(Data!L542="",0,1),0))</f>
        <v/>
      </c>
      <c r="M552" s="16" t="str">
        <f>IF(Data!L542="","",IF(ISNUMBER(MATCH(Data!M542,Data_Val!$A$2:$A$3,0)),0,1))</f>
        <v/>
      </c>
      <c r="N552" s="43" t="str">
        <f ca="1">IF(Data!L542="","",IF(ISNUMBER(Data!N542),IF(AND(Data!N542&gt;(TODAY()-(Data_Val!$L$3*365.25)),Data!N542&lt;=(TODAY()-(Data_Val!$L$2*365.25))),0,1),1))</f>
        <v/>
      </c>
      <c r="O552" s="18" t="str">
        <f>IF(Data!$G542="","",IF(Data!$G542=Data_Val!$C$2,IF(Data!O542="",0,1),0))</f>
        <v/>
      </c>
      <c r="P552" s="18" t="str">
        <f>IF(Data!O542="","",IF(ISNUMBER(MATCH(Data!P542,Data_Val!$A$2:$A$3,0)),0,1))</f>
        <v/>
      </c>
      <c r="Q552" s="44" t="str">
        <f ca="1">IF(Data!O542="","",IF(ISNUMBER(Data!Q542),IF(AND(Data!Q542&gt;(TODAY()-(Data_Val!$L$3*365.25)),Data!Q542&lt;=(TODAY()-(Data_Val!$L$2*365.25))),0,1),1))</f>
        <v/>
      </c>
    </row>
    <row r="553" spans="1:17" ht="12" customHeight="1" x14ac:dyDescent="0.25">
      <c r="A553" s="36" t="str">
        <f>IF(Data!B543="","",IF(COUNTIFS(Data!A$1:'Data'!A543,Data!A543)&lt;=1,0,1))</f>
        <v/>
      </c>
      <c r="B553" s="36"/>
      <c r="C553" s="36" t="str">
        <f>IF(Data!C543="","",(IF(ISNUMBER(MATCH("*@*.?*",Data!C543,0)),0,1)+IF(COUNTIFS(Data!C$1:'Data'!C543,Data!C543)&gt;1,1,0)))</f>
        <v/>
      </c>
      <c r="D553" s="36" t="str">
        <f>IF(Data!B543="","",IF(ISNUMBER(Data!D543),IF(AND(Data!D543&gt;999999999,Data!D543&lt;=9999999999),IF(COUNTIFS(Data!D$1:'Data'!D543,Data!D543)&lt;=1,0,1),1),1))</f>
        <v/>
      </c>
      <c r="E553" s="36" t="str">
        <f>IF(Data!B543="","",IF(ISNUMBER(MATCH(Data!E543,Data_Val!$A$2:$A$3,0)),0,1))</f>
        <v/>
      </c>
      <c r="F553" s="36" t="str">
        <f ca="1">IF(Data!B543="","",IF(ISNUMBER(Data!F543),IF(AND(Data!F543&gt;(TODAY()-(Data_Val!$H$3*365.25)),Data!F543&lt;=(TODAY()-(Data_Val!$H$2*365.25))),0,1),1))</f>
        <v/>
      </c>
      <c r="G553" s="12" t="str">
        <f>IF(Data!B543="","",IF(AND(Data!G543="",Data!H543&lt;&gt;""),1,IF(ISNUMBER(MATCH(Data!G543,Data_Val!$C$2:$C$5,0)),0,1)))</f>
        <v/>
      </c>
      <c r="H553" s="12" t="str">
        <f>IF(Data!B543="","",IF(AND(Data!G543&lt;&gt;"",Data!H543=""),1,IF(Data!G543="",1,IF(ISNUMBER(MATCH(Data!H543,Data_Val!$D$2:$D$35,0)),0,1))))</f>
        <v/>
      </c>
      <c r="I553" s="38" t="str">
        <f>IF(Data!G543="","",IF(Data!G543=Data_Val!$C$2,IF(Data!I543="",0,1),0))</f>
        <v/>
      </c>
      <c r="J553" s="38" t="str">
        <f>IF(Data!I543="","",IF(ISNUMBER(MATCH(Data!J543,Data_Val!$A$2:$A$3,0)),0,1))</f>
        <v/>
      </c>
      <c r="K553" s="38" t="str">
        <f ca="1">IF(Data!I543="","",IF(ISNUMBER(Data!K543),IF(AND(Data!K543&gt;(TODAY()-(Data_Val!$K$3*365.25)),Data!K543&lt;=(TODAY()-(Data_Val!$K$2*365.25))),0,1),1))</f>
        <v/>
      </c>
      <c r="L553" s="16" t="str">
        <f>IF(Data!G543="","",IF(Data!G543=Data_Val!$C$2,IF(Data!L543="",0,1),0))</f>
        <v/>
      </c>
      <c r="M553" s="16" t="str">
        <f>IF(Data!L543="","",IF(ISNUMBER(MATCH(Data!M543,Data_Val!$A$2:$A$3,0)),0,1))</f>
        <v/>
      </c>
      <c r="N553" s="43" t="str">
        <f ca="1">IF(Data!L543="","",IF(ISNUMBER(Data!N543),IF(AND(Data!N543&gt;(TODAY()-(Data_Val!$L$3*365.25)),Data!N543&lt;=(TODAY()-(Data_Val!$L$2*365.25))),0,1),1))</f>
        <v/>
      </c>
      <c r="O553" s="18" t="str">
        <f>IF(Data!$G543="","",IF(Data!$G543=Data_Val!$C$2,IF(Data!O543="",0,1),0))</f>
        <v/>
      </c>
      <c r="P553" s="18" t="str">
        <f>IF(Data!O543="","",IF(ISNUMBER(MATCH(Data!P543,Data_Val!$A$2:$A$3,0)),0,1))</f>
        <v/>
      </c>
      <c r="Q553" s="44" t="str">
        <f ca="1">IF(Data!O543="","",IF(ISNUMBER(Data!Q543),IF(AND(Data!Q543&gt;(TODAY()-(Data_Val!$L$3*365.25)),Data!Q543&lt;=(TODAY()-(Data_Val!$L$2*365.25))),0,1),1))</f>
        <v/>
      </c>
    </row>
    <row r="554" spans="1:17" ht="12" customHeight="1" x14ac:dyDescent="0.25">
      <c r="A554" s="36" t="str">
        <f>IF(Data!B544="","",IF(COUNTIFS(Data!A$1:'Data'!A544,Data!A544)&lt;=1,0,1))</f>
        <v/>
      </c>
      <c r="B554" s="36"/>
      <c r="C554" s="36" t="str">
        <f>IF(Data!C544="","",(IF(ISNUMBER(MATCH("*@*.?*",Data!C544,0)),0,1)+IF(COUNTIFS(Data!C$1:'Data'!C544,Data!C544)&gt;1,1,0)))</f>
        <v/>
      </c>
      <c r="D554" s="36" t="str">
        <f>IF(Data!B544="","",IF(ISNUMBER(Data!D544),IF(AND(Data!D544&gt;999999999,Data!D544&lt;=9999999999),IF(COUNTIFS(Data!D$1:'Data'!D544,Data!D544)&lt;=1,0,1),1),1))</f>
        <v/>
      </c>
      <c r="E554" s="36" t="str">
        <f>IF(Data!B544="","",IF(ISNUMBER(MATCH(Data!E544,Data_Val!$A$2:$A$3,0)),0,1))</f>
        <v/>
      </c>
      <c r="F554" s="36" t="str">
        <f ca="1">IF(Data!B544="","",IF(ISNUMBER(Data!F544),IF(AND(Data!F544&gt;(TODAY()-(Data_Val!$H$3*365.25)),Data!F544&lt;=(TODAY()-(Data_Val!$H$2*365.25))),0,1),1))</f>
        <v/>
      </c>
      <c r="G554" s="12" t="str">
        <f>IF(Data!B544="","",IF(AND(Data!G544="",Data!H544&lt;&gt;""),1,IF(ISNUMBER(MATCH(Data!G544,Data_Val!$C$2:$C$5,0)),0,1)))</f>
        <v/>
      </c>
      <c r="H554" s="12" t="str">
        <f>IF(Data!B544="","",IF(AND(Data!G544&lt;&gt;"",Data!H544=""),1,IF(Data!G544="",1,IF(ISNUMBER(MATCH(Data!H544,Data_Val!$D$2:$D$35,0)),0,1))))</f>
        <v/>
      </c>
      <c r="I554" s="38" t="str">
        <f>IF(Data!G544="","",IF(Data!G544=Data_Val!$C$2,IF(Data!I544="",0,1),0))</f>
        <v/>
      </c>
      <c r="J554" s="38" t="str">
        <f>IF(Data!I544="","",IF(ISNUMBER(MATCH(Data!J544,Data_Val!$A$2:$A$3,0)),0,1))</f>
        <v/>
      </c>
      <c r="K554" s="38" t="str">
        <f ca="1">IF(Data!I544="","",IF(ISNUMBER(Data!K544),IF(AND(Data!K544&gt;(TODAY()-(Data_Val!$K$3*365.25)),Data!K544&lt;=(TODAY()-(Data_Val!$K$2*365.25))),0,1),1))</f>
        <v/>
      </c>
      <c r="L554" s="16" t="str">
        <f>IF(Data!G544="","",IF(Data!G544=Data_Val!$C$2,IF(Data!L544="",0,1),0))</f>
        <v/>
      </c>
      <c r="M554" s="16" t="str">
        <f>IF(Data!L544="","",IF(ISNUMBER(MATCH(Data!M544,Data_Val!$A$2:$A$3,0)),0,1))</f>
        <v/>
      </c>
      <c r="N554" s="43" t="str">
        <f ca="1">IF(Data!L544="","",IF(ISNUMBER(Data!N544),IF(AND(Data!N544&gt;(TODAY()-(Data_Val!$L$3*365.25)),Data!N544&lt;=(TODAY()-(Data_Val!$L$2*365.25))),0,1),1))</f>
        <v/>
      </c>
      <c r="O554" s="18" t="str">
        <f>IF(Data!$G544="","",IF(Data!$G544=Data_Val!$C$2,IF(Data!O544="",0,1),0))</f>
        <v/>
      </c>
      <c r="P554" s="18" t="str">
        <f>IF(Data!O544="","",IF(ISNUMBER(MATCH(Data!P544,Data_Val!$A$2:$A$3,0)),0,1))</f>
        <v/>
      </c>
      <c r="Q554" s="44" t="str">
        <f ca="1">IF(Data!O544="","",IF(ISNUMBER(Data!Q544),IF(AND(Data!Q544&gt;(TODAY()-(Data_Val!$L$3*365.25)),Data!Q544&lt;=(TODAY()-(Data_Val!$L$2*365.25))),0,1),1))</f>
        <v/>
      </c>
    </row>
    <row r="555" spans="1:17" ht="12" customHeight="1" x14ac:dyDescent="0.25">
      <c r="A555" s="36" t="str">
        <f>IF(Data!B545="","",IF(COUNTIFS(Data!A$1:'Data'!A545,Data!A545)&lt;=1,0,1))</f>
        <v/>
      </c>
      <c r="B555" s="36"/>
      <c r="C555" s="36" t="str">
        <f>IF(Data!C545="","",(IF(ISNUMBER(MATCH("*@*.?*",Data!C545,0)),0,1)+IF(COUNTIFS(Data!C$1:'Data'!C545,Data!C545)&gt;1,1,0)))</f>
        <v/>
      </c>
      <c r="D555" s="36" t="str">
        <f>IF(Data!B545="","",IF(ISNUMBER(Data!D545),IF(AND(Data!D545&gt;999999999,Data!D545&lt;=9999999999),IF(COUNTIFS(Data!D$1:'Data'!D545,Data!D545)&lt;=1,0,1),1),1))</f>
        <v/>
      </c>
      <c r="E555" s="36" t="str">
        <f>IF(Data!B545="","",IF(ISNUMBER(MATCH(Data!E545,Data_Val!$A$2:$A$3,0)),0,1))</f>
        <v/>
      </c>
      <c r="F555" s="36" t="str">
        <f ca="1">IF(Data!B545="","",IF(ISNUMBER(Data!F545),IF(AND(Data!F545&gt;(TODAY()-(Data_Val!$H$3*365.25)),Data!F545&lt;=(TODAY()-(Data_Val!$H$2*365.25))),0,1),1))</f>
        <v/>
      </c>
      <c r="G555" s="12" t="str">
        <f>IF(Data!B545="","",IF(AND(Data!G545="",Data!H545&lt;&gt;""),1,IF(ISNUMBER(MATCH(Data!G545,Data_Val!$C$2:$C$5,0)),0,1)))</f>
        <v/>
      </c>
      <c r="H555" s="12" t="str">
        <f>IF(Data!B545="","",IF(AND(Data!G545&lt;&gt;"",Data!H545=""),1,IF(Data!G545="",1,IF(ISNUMBER(MATCH(Data!H545,Data_Val!$D$2:$D$35,0)),0,1))))</f>
        <v/>
      </c>
      <c r="I555" s="38" t="str">
        <f>IF(Data!G545="","",IF(Data!G545=Data_Val!$C$2,IF(Data!I545="",0,1),0))</f>
        <v/>
      </c>
      <c r="J555" s="38" t="str">
        <f>IF(Data!I545="","",IF(ISNUMBER(MATCH(Data!J545,Data_Val!$A$2:$A$3,0)),0,1))</f>
        <v/>
      </c>
      <c r="K555" s="38" t="str">
        <f ca="1">IF(Data!I545="","",IF(ISNUMBER(Data!K545),IF(AND(Data!K545&gt;(TODAY()-(Data_Val!$K$3*365.25)),Data!K545&lt;=(TODAY()-(Data_Val!$K$2*365.25))),0,1),1))</f>
        <v/>
      </c>
      <c r="L555" s="16" t="str">
        <f>IF(Data!G545="","",IF(Data!G545=Data_Val!$C$2,IF(Data!L545="",0,1),0))</f>
        <v/>
      </c>
      <c r="M555" s="16" t="str">
        <f>IF(Data!L545="","",IF(ISNUMBER(MATCH(Data!M545,Data_Val!$A$2:$A$3,0)),0,1))</f>
        <v/>
      </c>
      <c r="N555" s="43" t="str">
        <f ca="1">IF(Data!L545="","",IF(ISNUMBER(Data!N545),IF(AND(Data!N545&gt;(TODAY()-(Data_Val!$L$3*365.25)),Data!N545&lt;=(TODAY()-(Data_Val!$L$2*365.25))),0,1),1))</f>
        <v/>
      </c>
      <c r="O555" s="18" t="str">
        <f>IF(Data!$G545="","",IF(Data!$G545=Data_Val!$C$2,IF(Data!O545="",0,1),0))</f>
        <v/>
      </c>
      <c r="P555" s="18" t="str">
        <f>IF(Data!O545="","",IF(ISNUMBER(MATCH(Data!P545,Data_Val!$A$2:$A$3,0)),0,1))</f>
        <v/>
      </c>
      <c r="Q555" s="44" t="str">
        <f ca="1">IF(Data!O545="","",IF(ISNUMBER(Data!Q545),IF(AND(Data!Q545&gt;(TODAY()-(Data_Val!$L$3*365.25)),Data!Q545&lt;=(TODAY()-(Data_Val!$L$2*365.25))),0,1),1))</f>
        <v/>
      </c>
    </row>
    <row r="556" spans="1:17" ht="12" customHeight="1" x14ac:dyDescent="0.25">
      <c r="A556" s="36" t="str">
        <f>IF(Data!B546="","",IF(COUNTIFS(Data!A$1:'Data'!A546,Data!A546)&lt;=1,0,1))</f>
        <v/>
      </c>
      <c r="B556" s="36"/>
      <c r="C556" s="36" t="str">
        <f>IF(Data!C546="","",(IF(ISNUMBER(MATCH("*@*.?*",Data!C546,0)),0,1)+IF(COUNTIFS(Data!C$1:'Data'!C546,Data!C546)&gt;1,1,0)))</f>
        <v/>
      </c>
      <c r="D556" s="36" t="str">
        <f>IF(Data!B546="","",IF(ISNUMBER(Data!D546),IF(AND(Data!D546&gt;999999999,Data!D546&lt;=9999999999),IF(COUNTIFS(Data!D$1:'Data'!D546,Data!D546)&lt;=1,0,1),1),1))</f>
        <v/>
      </c>
      <c r="E556" s="36" t="str">
        <f>IF(Data!B546="","",IF(ISNUMBER(MATCH(Data!E546,Data_Val!$A$2:$A$3,0)),0,1))</f>
        <v/>
      </c>
      <c r="F556" s="36" t="str">
        <f ca="1">IF(Data!B546="","",IF(ISNUMBER(Data!F546),IF(AND(Data!F546&gt;(TODAY()-(Data_Val!$H$3*365.25)),Data!F546&lt;=(TODAY()-(Data_Val!$H$2*365.25))),0,1),1))</f>
        <v/>
      </c>
      <c r="G556" s="12" t="str">
        <f>IF(Data!B546="","",IF(AND(Data!G546="",Data!H546&lt;&gt;""),1,IF(ISNUMBER(MATCH(Data!G546,Data_Val!$C$2:$C$5,0)),0,1)))</f>
        <v/>
      </c>
      <c r="H556" s="12" t="str">
        <f>IF(Data!B546="","",IF(AND(Data!G546&lt;&gt;"",Data!H546=""),1,IF(Data!G546="",1,IF(ISNUMBER(MATCH(Data!H546,Data_Val!$D$2:$D$35,0)),0,1))))</f>
        <v/>
      </c>
      <c r="I556" s="38" t="str">
        <f>IF(Data!G546="","",IF(Data!G546=Data_Val!$C$2,IF(Data!I546="",0,1),0))</f>
        <v/>
      </c>
      <c r="J556" s="38" t="str">
        <f>IF(Data!I546="","",IF(ISNUMBER(MATCH(Data!J546,Data_Val!$A$2:$A$3,0)),0,1))</f>
        <v/>
      </c>
      <c r="K556" s="38" t="str">
        <f ca="1">IF(Data!I546="","",IF(ISNUMBER(Data!K546),IF(AND(Data!K546&gt;(TODAY()-(Data_Val!$K$3*365.25)),Data!K546&lt;=(TODAY()-(Data_Val!$K$2*365.25))),0,1),1))</f>
        <v/>
      </c>
      <c r="L556" s="16" t="str">
        <f>IF(Data!G546="","",IF(Data!G546=Data_Val!$C$2,IF(Data!L546="",0,1),0))</f>
        <v/>
      </c>
      <c r="M556" s="16" t="str">
        <f>IF(Data!L546="","",IF(ISNUMBER(MATCH(Data!M546,Data_Val!$A$2:$A$3,0)),0,1))</f>
        <v/>
      </c>
      <c r="N556" s="43" t="str">
        <f ca="1">IF(Data!L546="","",IF(ISNUMBER(Data!N546),IF(AND(Data!N546&gt;(TODAY()-(Data_Val!$L$3*365.25)),Data!N546&lt;=(TODAY()-(Data_Val!$L$2*365.25))),0,1),1))</f>
        <v/>
      </c>
      <c r="O556" s="18" t="str">
        <f>IF(Data!$G546="","",IF(Data!$G546=Data_Val!$C$2,IF(Data!O546="",0,1),0))</f>
        <v/>
      </c>
      <c r="P556" s="18" t="str">
        <f>IF(Data!O546="","",IF(ISNUMBER(MATCH(Data!P546,Data_Val!$A$2:$A$3,0)),0,1))</f>
        <v/>
      </c>
      <c r="Q556" s="44" t="str">
        <f ca="1">IF(Data!O546="","",IF(ISNUMBER(Data!Q546),IF(AND(Data!Q546&gt;(TODAY()-(Data_Val!$L$3*365.25)),Data!Q546&lt;=(TODAY()-(Data_Val!$L$2*365.25))),0,1),1))</f>
        <v/>
      </c>
    </row>
    <row r="557" spans="1:17" ht="12" customHeight="1" x14ac:dyDescent="0.25">
      <c r="A557" s="36" t="str">
        <f>IF(Data!B547="","",IF(COUNTIFS(Data!A$1:'Data'!A547,Data!A547)&lt;=1,0,1))</f>
        <v/>
      </c>
      <c r="B557" s="36"/>
      <c r="C557" s="36" t="str">
        <f>IF(Data!C547="","",(IF(ISNUMBER(MATCH("*@*.?*",Data!C547,0)),0,1)+IF(COUNTIFS(Data!C$1:'Data'!C547,Data!C547)&gt;1,1,0)))</f>
        <v/>
      </c>
      <c r="D557" s="36" t="str">
        <f>IF(Data!B547="","",IF(ISNUMBER(Data!D547),IF(AND(Data!D547&gt;999999999,Data!D547&lt;=9999999999),IF(COUNTIFS(Data!D$1:'Data'!D547,Data!D547)&lt;=1,0,1),1),1))</f>
        <v/>
      </c>
      <c r="E557" s="36" t="str">
        <f>IF(Data!B547="","",IF(ISNUMBER(MATCH(Data!E547,Data_Val!$A$2:$A$3,0)),0,1))</f>
        <v/>
      </c>
      <c r="F557" s="36" t="str">
        <f ca="1">IF(Data!B547="","",IF(ISNUMBER(Data!F547),IF(AND(Data!F547&gt;(TODAY()-(Data_Val!$H$3*365.25)),Data!F547&lt;=(TODAY()-(Data_Val!$H$2*365.25))),0,1),1))</f>
        <v/>
      </c>
      <c r="G557" s="12" t="str">
        <f>IF(Data!B547="","",IF(AND(Data!G547="",Data!H547&lt;&gt;""),1,IF(ISNUMBER(MATCH(Data!G547,Data_Val!$C$2:$C$5,0)),0,1)))</f>
        <v/>
      </c>
      <c r="H557" s="12" t="str">
        <f>IF(Data!B547="","",IF(AND(Data!G547&lt;&gt;"",Data!H547=""),1,IF(Data!G547="",1,IF(ISNUMBER(MATCH(Data!H547,Data_Val!$D$2:$D$35,0)),0,1))))</f>
        <v/>
      </c>
      <c r="I557" s="38" t="str">
        <f>IF(Data!G547="","",IF(Data!G547=Data_Val!$C$2,IF(Data!I547="",0,1),0))</f>
        <v/>
      </c>
      <c r="J557" s="38" t="str">
        <f>IF(Data!I547="","",IF(ISNUMBER(MATCH(Data!J547,Data_Val!$A$2:$A$3,0)),0,1))</f>
        <v/>
      </c>
      <c r="K557" s="38" t="str">
        <f ca="1">IF(Data!I547="","",IF(ISNUMBER(Data!K547),IF(AND(Data!K547&gt;(TODAY()-(Data_Val!$K$3*365.25)),Data!K547&lt;=(TODAY()-(Data_Val!$K$2*365.25))),0,1),1))</f>
        <v/>
      </c>
      <c r="L557" s="16" t="str">
        <f>IF(Data!G547="","",IF(Data!G547=Data_Val!$C$2,IF(Data!L547="",0,1),0))</f>
        <v/>
      </c>
      <c r="M557" s="16" t="str">
        <f>IF(Data!L547="","",IF(ISNUMBER(MATCH(Data!M547,Data_Val!$A$2:$A$3,0)),0,1))</f>
        <v/>
      </c>
      <c r="N557" s="43" t="str">
        <f ca="1">IF(Data!L547="","",IF(ISNUMBER(Data!N547),IF(AND(Data!N547&gt;(TODAY()-(Data_Val!$L$3*365.25)),Data!N547&lt;=(TODAY()-(Data_Val!$L$2*365.25))),0,1),1))</f>
        <v/>
      </c>
      <c r="O557" s="18" t="str">
        <f>IF(Data!$G547="","",IF(Data!$G547=Data_Val!$C$2,IF(Data!O547="",0,1),0))</f>
        <v/>
      </c>
      <c r="P557" s="18" t="str">
        <f>IF(Data!O547="","",IF(ISNUMBER(MATCH(Data!P547,Data_Val!$A$2:$A$3,0)),0,1))</f>
        <v/>
      </c>
      <c r="Q557" s="44" t="str">
        <f ca="1">IF(Data!O547="","",IF(ISNUMBER(Data!Q547),IF(AND(Data!Q547&gt;(TODAY()-(Data_Val!$L$3*365.25)),Data!Q547&lt;=(TODAY()-(Data_Val!$L$2*365.25))),0,1),1))</f>
        <v/>
      </c>
    </row>
    <row r="558" spans="1:17" ht="12" customHeight="1" x14ac:dyDescent="0.25">
      <c r="A558" s="36" t="str">
        <f>IF(Data!B548="","",IF(COUNTIFS(Data!A$1:'Data'!A548,Data!A548)&lt;=1,0,1))</f>
        <v/>
      </c>
      <c r="B558" s="36"/>
      <c r="C558" s="36" t="str">
        <f>IF(Data!C548="","",(IF(ISNUMBER(MATCH("*@*.?*",Data!C548,0)),0,1)+IF(COUNTIFS(Data!C$1:'Data'!C548,Data!C548)&gt;1,1,0)))</f>
        <v/>
      </c>
      <c r="D558" s="36" t="str">
        <f>IF(Data!B548="","",IF(ISNUMBER(Data!D548),IF(AND(Data!D548&gt;999999999,Data!D548&lt;=9999999999),IF(COUNTIFS(Data!D$1:'Data'!D548,Data!D548)&lt;=1,0,1),1),1))</f>
        <v/>
      </c>
      <c r="E558" s="36" t="str">
        <f>IF(Data!B548="","",IF(ISNUMBER(MATCH(Data!E548,Data_Val!$A$2:$A$3,0)),0,1))</f>
        <v/>
      </c>
      <c r="F558" s="36" t="str">
        <f ca="1">IF(Data!B548="","",IF(ISNUMBER(Data!F548),IF(AND(Data!F548&gt;(TODAY()-(Data_Val!$H$3*365.25)),Data!F548&lt;=(TODAY()-(Data_Val!$H$2*365.25))),0,1),1))</f>
        <v/>
      </c>
      <c r="G558" s="12" t="str">
        <f>IF(Data!B548="","",IF(AND(Data!G548="",Data!H548&lt;&gt;""),1,IF(ISNUMBER(MATCH(Data!G548,Data_Val!$C$2:$C$5,0)),0,1)))</f>
        <v/>
      </c>
      <c r="H558" s="12" t="str">
        <f>IF(Data!B548="","",IF(AND(Data!G548&lt;&gt;"",Data!H548=""),1,IF(Data!G548="",1,IF(ISNUMBER(MATCH(Data!H548,Data_Val!$D$2:$D$35,0)),0,1))))</f>
        <v/>
      </c>
      <c r="I558" s="38" t="str">
        <f>IF(Data!G548="","",IF(Data!G548=Data_Val!$C$2,IF(Data!I548="",0,1),0))</f>
        <v/>
      </c>
      <c r="J558" s="38" t="str">
        <f>IF(Data!I548="","",IF(ISNUMBER(MATCH(Data!J548,Data_Val!$A$2:$A$3,0)),0,1))</f>
        <v/>
      </c>
      <c r="K558" s="38" t="str">
        <f ca="1">IF(Data!I548="","",IF(ISNUMBER(Data!K548),IF(AND(Data!K548&gt;(TODAY()-(Data_Val!$K$3*365.25)),Data!K548&lt;=(TODAY()-(Data_Val!$K$2*365.25))),0,1),1))</f>
        <v/>
      </c>
      <c r="L558" s="16" t="str">
        <f>IF(Data!G548="","",IF(Data!G548=Data_Val!$C$2,IF(Data!L548="",0,1),0))</f>
        <v/>
      </c>
      <c r="M558" s="16" t="str">
        <f>IF(Data!L548="","",IF(ISNUMBER(MATCH(Data!M548,Data_Val!$A$2:$A$3,0)),0,1))</f>
        <v/>
      </c>
      <c r="N558" s="43" t="str">
        <f ca="1">IF(Data!L548="","",IF(ISNUMBER(Data!N548),IF(AND(Data!N548&gt;(TODAY()-(Data_Val!$L$3*365.25)),Data!N548&lt;=(TODAY()-(Data_Val!$L$2*365.25))),0,1),1))</f>
        <v/>
      </c>
      <c r="O558" s="18" t="str">
        <f>IF(Data!$G548="","",IF(Data!$G548=Data_Val!$C$2,IF(Data!O548="",0,1),0))</f>
        <v/>
      </c>
      <c r="P558" s="18" t="str">
        <f>IF(Data!O548="","",IF(ISNUMBER(MATCH(Data!P548,Data_Val!$A$2:$A$3,0)),0,1))</f>
        <v/>
      </c>
      <c r="Q558" s="44" t="str">
        <f ca="1">IF(Data!O548="","",IF(ISNUMBER(Data!Q548),IF(AND(Data!Q548&gt;(TODAY()-(Data_Val!$L$3*365.25)),Data!Q548&lt;=(TODAY()-(Data_Val!$L$2*365.25))),0,1),1))</f>
        <v/>
      </c>
    </row>
    <row r="559" spans="1:17" ht="12" customHeight="1" x14ac:dyDescent="0.25">
      <c r="A559" s="36" t="str">
        <f>IF(Data!B549="","",IF(COUNTIFS(Data!A$1:'Data'!A549,Data!A549)&lt;=1,0,1))</f>
        <v/>
      </c>
      <c r="B559" s="36"/>
      <c r="C559" s="36" t="str">
        <f>IF(Data!C549="","",(IF(ISNUMBER(MATCH("*@*.?*",Data!C549,0)),0,1)+IF(COUNTIFS(Data!C$1:'Data'!C549,Data!C549)&gt;1,1,0)))</f>
        <v/>
      </c>
      <c r="D559" s="36" t="str">
        <f>IF(Data!B549="","",IF(ISNUMBER(Data!D549),IF(AND(Data!D549&gt;999999999,Data!D549&lt;=9999999999),IF(COUNTIFS(Data!D$1:'Data'!D549,Data!D549)&lt;=1,0,1),1),1))</f>
        <v/>
      </c>
      <c r="E559" s="36" t="str">
        <f>IF(Data!B549="","",IF(ISNUMBER(MATCH(Data!E549,Data_Val!$A$2:$A$3,0)),0,1))</f>
        <v/>
      </c>
      <c r="F559" s="36" t="str">
        <f ca="1">IF(Data!B549="","",IF(ISNUMBER(Data!F549),IF(AND(Data!F549&gt;(TODAY()-(Data_Val!$H$3*365.25)),Data!F549&lt;=(TODAY()-(Data_Val!$H$2*365.25))),0,1),1))</f>
        <v/>
      </c>
      <c r="G559" s="12" t="str">
        <f>IF(Data!B549="","",IF(AND(Data!G549="",Data!H549&lt;&gt;""),1,IF(ISNUMBER(MATCH(Data!G549,Data_Val!$C$2:$C$5,0)),0,1)))</f>
        <v/>
      </c>
      <c r="H559" s="12" t="str">
        <f>IF(Data!B549="","",IF(AND(Data!G549&lt;&gt;"",Data!H549=""),1,IF(Data!G549="",1,IF(ISNUMBER(MATCH(Data!H549,Data_Val!$D$2:$D$35,0)),0,1))))</f>
        <v/>
      </c>
      <c r="I559" s="38" t="str">
        <f>IF(Data!G549="","",IF(Data!G549=Data_Val!$C$2,IF(Data!I549="",0,1),0))</f>
        <v/>
      </c>
      <c r="J559" s="38" t="str">
        <f>IF(Data!I549="","",IF(ISNUMBER(MATCH(Data!J549,Data_Val!$A$2:$A$3,0)),0,1))</f>
        <v/>
      </c>
      <c r="K559" s="38" t="str">
        <f ca="1">IF(Data!I549="","",IF(ISNUMBER(Data!K549),IF(AND(Data!K549&gt;(TODAY()-(Data_Val!$K$3*365.25)),Data!K549&lt;=(TODAY()-(Data_Val!$K$2*365.25))),0,1),1))</f>
        <v/>
      </c>
      <c r="L559" s="16" t="str">
        <f>IF(Data!G549="","",IF(Data!G549=Data_Val!$C$2,IF(Data!L549="",0,1),0))</f>
        <v/>
      </c>
      <c r="M559" s="16" t="str">
        <f>IF(Data!L549="","",IF(ISNUMBER(MATCH(Data!M549,Data_Val!$A$2:$A$3,0)),0,1))</f>
        <v/>
      </c>
      <c r="N559" s="43" t="str">
        <f ca="1">IF(Data!L549="","",IF(ISNUMBER(Data!N549),IF(AND(Data!N549&gt;(TODAY()-(Data_Val!$L$3*365.25)),Data!N549&lt;=(TODAY()-(Data_Val!$L$2*365.25))),0,1),1))</f>
        <v/>
      </c>
      <c r="O559" s="18" t="str">
        <f>IF(Data!$G549="","",IF(Data!$G549=Data_Val!$C$2,IF(Data!O549="",0,1),0))</f>
        <v/>
      </c>
      <c r="P559" s="18" t="str">
        <f>IF(Data!O549="","",IF(ISNUMBER(MATCH(Data!P549,Data_Val!$A$2:$A$3,0)),0,1))</f>
        <v/>
      </c>
      <c r="Q559" s="44" t="str">
        <f ca="1">IF(Data!O549="","",IF(ISNUMBER(Data!Q549),IF(AND(Data!Q549&gt;(TODAY()-(Data_Val!$L$3*365.25)),Data!Q549&lt;=(TODAY()-(Data_Val!$L$2*365.25))),0,1),1))</f>
        <v/>
      </c>
    </row>
    <row r="560" spans="1:17" ht="12" customHeight="1" x14ac:dyDescent="0.25">
      <c r="A560" s="36" t="str">
        <f>IF(Data!B550="","",IF(COUNTIFS(Data!A$1:'Data'!A550,Data!A550)&lt;=1,0,1))</f>
        <v/>
      </c>
      <c r="B560" s="36"/>
      <c r="C560" s="36" t="str">
        <f>IF(Data!C550="","",(IF(ISNUMBER(MATCH("*@*.?*",Data!C550,0)),0,1)+IF(COUNTIFS(Data!C$1:'Data'!C550,Data!C550)&gt;1,1,0)))</f>
        <v/>
      </c>
      <c r="D560" s="36" t="str">
        <f>IF(Data!B550="","",IF(ISNUMBER(Data!D550),IF(AND(Data!D550&gt;999999999,Data!D550&lt;=9999999999),IF(COUNTIFS(Data!D$1:'Data'!D550,Data!D550)&lt;=1,0,1),1),1))</f>
        <v/>
      </c>
      <c r="E560" s="36" t="str">
        <f>IF(Data!B550="","",IF(ISNUMBER(MATCH(Data!E550,Data_Val!$A$2:$A$3,0)),0,1))</f>
        <v/>
      </c>
      <c r="F560" s="36" t="str">
        <f ca="1">IF(Data!B550="","",IF(ISNUMBER(Data!F550),IF(AND(Data!F550&gt;(TODAY()-(Data_Val!$H$3*365.25)),Data!F550&lt;=(TODAY()-(Data_Val!$H$2*365.25))),0,1),1))</f>
        <v/>
      </c>
      <c r="G560" s="12" t="str">
        <f>IF(Data!B550="","",IF(AND(Data!G550="",Data!H550&lt;&gt;""),1,IF(ISNUMBER(MATCH(Data!G550,Data_Val!$C$2:$C$5,0)),0,1)))</f>
        <v/>
      </c>
      <c r="H560" s="12" t="str">
        <f>IF(Data!B550="","",IF(AND(Data!G550&lt;&gt;"",Data!H550=""),1,IF(Data!G550="",1,IF(ISNUMBER(MATCH(Data!H550,Data_Val!$D$2:$D$35,0)),0,1))))</f>
        <v/>
      </c>
      <c r="I560" s="38" t="str">
        <f>IF(Data!G550="","",IF(Data!G550=Data_Val!$C$2,IF(Data!I550="",0,1),0))</f>
        <v/>
      </c>
      <c r="J560" s="38" t="str">
        <f>IF(Data!I550="","",IF(ISNUMBER(MATCH(Data!J550,Data_Val!$A$2:$A$3,0)),0,1))</f>
        <v/>
      </c>
      <c r="K560" s="38" t="str">
        <f ca="1">IF(Data!I550="","",IF(ISNUMBER(Data!K550),IF(AND(Data!K550&gt;(TODAY()-(Data_Val!$K$3*365.25)),Data!K550&lt;=(TODAY()-(Data_Val!$K$2*365.25))),0,1),1))</f>
        <v/>
      </c>
      <c r="L560" s="16" t="str">
        <f>IF(Data!G550="","",IF(Data!G550=Data_Val!$C$2,IF(Data!L550="",0,1),0))</f>
        <v/>
      </c>
      <c r="M560" s="16" t="str">
        <f>IF(Data!L550="","",IF(ISNUMBER(MATCH(Data!M550,Data_Val!$A$2:$A$3,0)),0,1))</f>
        <v/>
      </c>
      <c r="N560" s="43" t="str">
        <f ca="1">IF(Data!L550="","",IF(ISNUMBER(Data!N550),IF(AND(Data!N550&gt;(TODAY()-(Data_Val!$L$3*365.25)),Data!N550&lt;=(TODAY()-(Data_Val!$L$2*365.25))),0,1),1))</f>
        <v/>
      </c>
      <c r="O560" s="18" t="str">
        <f>IF(Data!$G550="","",IF(Data!$G550=Data_Val!$C$2,IF(Data!O550="",0,1),0))</f>
        <v/>
      </c>
      <c r="P560" s="18" t="str">
        <f>IF(Data!O550="","",IF(ISNUMBER(MATCH(Data!P550,Data_Val!$A$2:$A$3,0)),0,1))</f>
        <v/>
      </c>
      <c r="Q560" s="44" t="str">
        <f ca="1">IF(Data!O550="","",IF(ISNUMBER(Data!Q550),IF(AND(Data!Q550&gt;(TODAY()-(Data_Val!$L$3*365.25)),Data!Q550&lt;=(TODAY()-(Data_Val!$L$2*365.25))),0,1),1))</f>
        <v/>
      </c>
    </row>
    <row r="561" spans="1:17" ht="12" customHeight="1" x14ac:dyDescent="0.25">
      <c r="A561" s="36" t="str">
        <f>IF(Data!B551="","",IF(COUNTIFS(Data!A$1:'Data'!A551,Data!A551)&lt;=1,0,1))</f>
        <v/>
      </c>
      <c r="B561" s="36"/>
      <c r="C561" s="36" t="str">
        <f>IF(Data!C551="","",(IF(ISNUMBER(MATCH("*@*.?*",Data!C551,0)),0,1)+IF(COUNTIFS(Data!C$1:'Data'!C551,Data!C551)&gt;1,1,0)))</f>
        <v/>
      </c>
      <c r="D561" s="36" t="str">
        <f>IF(Data!B551="","",IF(ISNUMBER(Data!D551),IF(AND(Data!D551&gt;999999999,Data!D551&lt;=9999999999),IF(COUNTIFS(Data!D$1:'Data'!D551,Data!D551)&lt;=1,0,1),1),1))</f>
        <v/>
      </c>
      <c r="E561" s="36" t="str">
        <f>IF(Data!B551="","",IF(ISNUMBER(MATCH(Data!E551,Data_Val!$A$2:$A$3,0)),0,1))</f>
        <v/>
      </c>
      <c r="F561" s="36" t="str">
        <f ca="1">IF(Data!B551="","",IF(ISNUMBER(Data!F551),IF(AND(Data!F551&gt;(TODAY()-(Data_Val!$H$3*365.25)),Data!F551&lt;=(TODAY()-(Data_Val!$H$2*365.25))),0,1),1))</f>
        <v/>
      </c>
      <c r="G561" s="12" t="str">
        <f>IF(Data!B551="","",IF(AND(Data!G551="",Data!H551&lt;&gt;""),1,IF(ISNUMBER(MATCH(Data!G551,Data_Val!$C$2:$C$5,0)),0,1)))</f>
        <v/>
      </c>
      <c r="H561" s="12" t="str">
        <f>IF(Data!B551="","",IF(AND(Data!G551&lt;&gt;"",Data!H551=""),1,IF(Data!G551="",1,IF(ISNUMBER(MATCH(Data!H551,Data_Val!$D$2:$D$35,0)),0,1))))</f>
        <v/>
      </c>
      <c r="I561" s="38" t="str">
        <f>IF(Data!G551="","",IF(Data!G551=Data_Val!$C$2,IF(Data!I551="",0,1),0))</f>
        <v/>
      </c>
      <c r="J561" s="38" t="str">
        <f>IF(Data!I551="","",IF(ISNUMBER(MATCH(Data!J551,Data_Val!$A$2:$A$3,0)),0,1))</f>
        <v/>
      </c>
      <c r="K561" s="38" t="str">
        <f ca="1">IF(Data!I551="","",IF(ISNUMBER(Data!K551),IF(AND(Data!K551&gt;(TODAY()-(Data_Val!$K$3*365.25)),Data!K551&lt;=(TODAY()-(Data_Val!$K$2*365.25))),0,1),1))</f>
        <v/>
      </c>
      <c r="L561" s="16" t="str">
        <f>IF(Data!G551="","",IF(Data!G551=Data_Val!$C$2,IF(Data!L551="",0,1),0))</f>
        <v/>
      </c>
      <c r="M561" s="16" t="str">
        <f>IF(Data!L551="","",IF(ISNUMBER(MATCH(Data!M551,Data_Val!$A$2:$A$3,0)),0,1))</f>
        <v/>
      </c>
      <c r="N561" s="43" t="str">
        <f ca="1">IF(Data!L551="","",IF(ISNUMBER(Data!N551),IF(AND(Data!N551&gt;(TODAY()-(Data_Val!$L$3*365.25)),Data!N551&lt;=(TODAY()-(Data_Val!$L$2*365.25))),0,1),1))</f>
        <v/>
      </c>
      <c r="O561" s="18" t="str">
        <f>IF(Data!$G551="","",IF(Data!$G551=Data_Val!$C$2,IF(Data!O551="",0,1),0))</f>
        <v/>
      </c>
      <c r="P561" s="18" t="str">
        <f>IF(Data!O551="","",IF(ISNUMBER(MATCH(Data!P551,Data_Val!$A$2:$A$3,0)),0,1))</f>
        <v/>
      </c>
      <c r="Q561" s="44" t="str">
        <f ca="1">IF(Data!O551="","",IF(ISNUMBER(Data!Q551),IF(AND(Data!Q551&gt;(TODAY()-(Data_Val!$L$3*365.25)),Data!Q551&lt;=(TODAY()-(Data_Val!$L$2*365.25))),0,1),1))</f>
        <v/>
      </c>
    </row>
    <row r="562" spans="1:17" ht="12" customHeight="1" x14ac:dyDescent="0.25">
      <c r="A562" s="36" t="str">
        <f>IF(Data!B552="","",IF(COUNTIFS(Data!A$1:'Data'!A552,Data!A552)&lt;=1,0,1))</f>
        <v/>
      </c>
      <c r="B562" s="36"/>
      <c r="C562" s="36" t="str">
        <f>IF(Data!C552="","",(IF(ISNUMBER(MATCH("*@*.?*",Data!C552,0)),0,1)+IF(COUNTIFS(Data!C$1:'Data'!C552,Data!C552)&gt;1,1,0)))</f>
        <v/>
      </c>
      <c r="D562" s="36" t="str">
        <f>IF(Data!B552="","",IF(ISNUMBER(Data!D552),IF(AND(Data!D552&gt;999999999,Data!D552&lt;=9999999999),IF(COUNTIFS(Data!D$1:'Data'!D552,Data!D552)&lt;=1,0,1),1),1))</f>
        <v/>
      </c>
      <c r="E562" s="36" t="str">
        <f>IF(Data!B552="","",IF(ISNUMBER(MATCH(Data!E552,Data_Val!$A$2:$A$3,0)),0,1))</f>
        <v/>
      </c>
      <c r="F562" s="36" t="str">
        <f ca="1">IF(Data!B552="","",IF(ISNUMBER(Data!F552),IF(AND(Data!F552&gt;(TODAY()-(Data_Val!$H$3*365.25)),Data!F552&lt;=(TODAY()-(Data_Val!$H$2*365.25))),0,1),1))</f>
        <v/>
      </c>
      <c r="G562" s="12" t="str">
        <f>IF(Data!B552="","",IF(AND(Data!G552="",Data!H552&lt;&gt;""),1,IF(ISNUMBER(MATCH(Data!G552,Data_Val!$C$2:$C$5,0)),0,1)))</f>
        <v/>
      </c>
      <c r="H562" s="12" t="str">
        <f>IF(Data!B552="","",IF(AND(Data!G552&lt;&gt;"",Data!H552=""),1,IF(Data!G552="",1,IF(ISNUMBER(MATCH(Data!H552,Data_Val!$D$2:$D$35,0)),0,1))))</f>
        <v/>
      </c>
      <c r="I562" s="38" t="str">
        <f>IF(Data!G552="","",IF(Data!G552=Data_Val!$C$2,IF(Data!I552="",0,1),0))</f>
        <v/>
      </c>
      <c r="J562" s="38" t="str">
        <f>IF(Data!I552="","",IF(ISNUMBER(MATCH(Data!J552,Data_Val!$A$2:$A$3,0)),0,1))</f>
        <v/>
      </c>
      <c r="K562" s="38" t="str">
        <f ca="1">IF(Data!I552="","",IF(ISNUMBER(Data!K552),IF(AND(Data!K552&gt;(TODAY()-(Data_Val!$K$3*365.25)),Data!K552&lt;=(TODAY()-(Data_Val!$K$2*365.25))),0,1),1))</f>
        <v/>
      </c>
      <c r="L562" s="16" t="str">
        <f>IF(Data!G552="","",IF(Data!G552=Data_Val!$C$2,IF(Data!L552="",0,1),0))</f>
        <v/>
      </c>
      <c r="M562" s="16" t="str">
        <f>IF(Data!L552="","",IF(ISNUMBER(MATCH(Data!M552,Data_Val!$A$2:$A$3,0)),0,1))</f>
        <v/>
      </c>
      <c r="N562" s="43" t="str">
        <f ca="1">IF(Data!L552="","",IF(ISNUMBER(Data!N552),IF(AND(Data!N552&gt;(TODAY()-(Data_Val!$L$3*365.25)),Data!N552&lt;=(TODAY()-(Data_Val!$L$2*365.25))),0,1),1))</f>
        <v/>
      </c>
      <c r="O562" s="18" t="str">
        <f>IF(Data!$G552="","",IF(Data!$G552=Data_Val!$C$2,IF(Data!O552="",0,1),0))</f>
        <v/>
      </c>
      <c r="P562" s="18" t="str">
        <f>IF(Data!O552="","",IF(ISNUMBER(MATCH(Data!P552,Data_Val!$A$2:$A$3,0)),0,1))</f>
        <v/>
      </c>
      <c r="Q562" s="44" t="str">
        <f ca="1">IF(Data!O552="","",IF(ISNUMBER(Data!Q552),IF(AND(Data!Q552&gt;(TODAY()-(Data_Val!$L$3*365.25)),Data!Q552&lt;=(TODAY()-(Data_Val!$L$2*365.25))),0,1),1))</f>
        <v/>
      </c>
    </row>
    <row r="563" spans="1:17" ht="12" customHeight="1" x14ac:dyDescent="0.25">
      <c r="A563" s="36" t="str">
        <f>IF(Data!B553="","",IF(COUNTIFS(Data!A$1:'Data'!A553,Data!A553)&lt;=1,0,1))</f>
        <v/>
      </c>
      <c r="B563" s="36"/>
      <c r="C563" s="36" t="str">
        <f>IF(Data!C553="","",(IF(ISNUMBER(MATCH("*@*.?*",Data!C553,0)),0,1)+IF(COUNTIFS(Data!C$1:'Data'!C553,Data!C553)&gt;1,1,0)))</f>
        <v/>
      </c>
      <c r="D563" s="36" t="str">
        <f>IF(Data!B553="","",IF(ISNUMBER(Data!D553),IF(AND(Data!D553&gt;999999999,Data!D553&lt;=9999999999),IF(COUNTIFS(Data!D$1:'Data'!D553,Data!D553)&lt;=1,0,1),1),1))</f>
        <v/>
      </c>
      <c r="E563" s="36" t="str">
        <f>IF(Data!B553="","",IF(ISNUMBER(MATCH(Data!E553,Data_Val!$A$2:$A$3,0)),0,1))</f>
        <v/>
      </c>
      <c r="F563" s="36" t="str">
        <f ca="1">IF(Data!B553="","",IF(ISNUMBER(Data!F553),IF(AND(Data!F553&gt;(TODAY()-(Data_Val!$H$3*365.25)),Data!F553&lt;=(TODAY()-(Data_Val!$H$2*365.25))),0,1),1))</f>
        <v/>
      </c>
      <c r="G563" s="12" t="str">
        <f>IF(Data!B553="","",IF(AND(Data!G553="",Data!H553&lt;&gt;""),1,IF(ISNUMBER(MATCH(Data!G553,Data_Val!$C$2:$C$5,0)),0,1)))</f>
        <v/>
      </c>
      <c r="H563" s="12" t="str">
        <f>IF(Data!B553="","",IF(AND(Data!G553&lt;&gt;"",Data!H553=""),1,IF(Data!G553="",1,IF(ISNUMBER(MATCH(Data!H553,Data_Val!$D$2:$D$35,0)),0,1))))</f>
        <v/>
      </c>
      <c r="I563" s="38" t="str">
        <f>IF(Data!G553="","",IF(Data!G553=Data_Val!$C$2,IF(Data!I553="",0,1),0))</f>
        <v/>
      </c>
      <c r="J563" s="38" t="str">
        <f>IF(Data!I553="","",IF(ISNUMBER(MATCH(Data!J553,Data_Val!$A$2:$A$3,0)),0,1))</f>
        <v/>
      </c>
      <c r="K563" s="38" t="str">
        <f ca="1">IF(Data!I553="","",IF(ISNUMBER(Data!K553),IF(AND(Data!K553&gt;(TODAY()-(Data_Val!$K$3*365.25)),Data!K553&lt;=(TODAY()-(Data_Val!$K$2*365.25))),0,1),1))</f>
        <v/>
      </c>
      <c r="L563" s="16" t="str">
        <f>IF(Data!G553="","",IF(Data!G553=Data_Val!$C$2,IF(Data!L553="",0,1),0))</f>
        <v/>
      </c>
      <c r="M563" s="16" t="str">
        <f>IF(Data!L553="","",IF(ISNUMBER(MATCH(Data!M553,Data_Val!$A$2:$A$3,0)),0,1))</f>
        <v/>
      </c>
      <c r="N563" s="43" t="str">
        <f ca="1">IF(Data!L553="","",IF(ISNUMBER(Data!N553),IF(AND(Data!N553&gt;(TODAY()-(Data_Val!$L$3*365.25)),Data!N553&lt;=(TODAY()-(Data_Val!$L$2*365.25))),0,1),1))</f>
        <v/>
      </c>
      <c r="O563" s="18" t="str">
        <f>IF(Data!$G553="","",IF(Data!$G553=Data_Val!$C$2,IF(Data!O553="",0,1),0))</f>
        <v/>
      </c>
      <c r="P563" s="18" t="str">
        <f>IF(Data!O553="","",IF(ISNUMBER(MATCH(Data!P553,Data_Val!$A$2:$A$3,0)),0,1))</f>
        <v/>
      </c>
      <c r="Q563" s="44" t="str">
        <f ca="1">IF(Data!O553="","",IF(ISNUMBER(Data!Q553),IF(AND(Data!Q553&gt;(TODAY()-(Data_Val!$L$3*365.25)),Data!Q553&lt;=(TODAY()-(Data_Val!$L$2*365.25))),0,1),1))</f>
        <v/>
      </c>
    </row>
    <row r="564" spans="1:17" ht="12" customHeight="1" x14ac:dyDescent="0.25">
      <c r="A564" s="36" t="str">
        <f>IF(Data!B554="","",IF(COUNTIFS(Data!A$1:'Data'!A554,Data!A554)&lt;=1,0,1))</f>
        <v/>
      </c>
      <c r="B564" s="36"/>
      <c r="C564" s="36" t="str">
        <f>IF(Data!C554="","",(IF(ISNUMBER(MATCH("*@*.?*",Data!C554,0)),0,1)+IF(COUNTIFS(Data!C$1:'Data'!C554,Data!C554)&gt;1,1,0)))</f>
        <v/>
      </c>
      <c r="D564" s="36" t="str">
        <f>IF(Data!B554="","",IF(ISNUMBER(Data!D554),IF(AND(Data!D554&gt;999999999,Data!D554&lt;=9999999999),IF(COUNTIFS(Data!D$1:'Data'!D554,Data!D554)&lt;=1,0,1),1),1))</f>
        <v/>
      </c>
      <c r="E564" s="36" t="str">
        <f>IF(Data!B554="","",IF(ISNUMBER(MATCH(Data!E554,Data_Val!$A$2:$A$3,0)),0,1))</f>
        <v/>
      </c>
      <c r="F564" s="36" t="str">
        <f ca="1">IF(Data!B554="","",IF(ISNUMBER(Data!F554),IF(AND(Data!F554&gt;(TODAY()-(Data_Val!$H$3*365.25)),Data!F554&lt;=(TODAY()-(Data_Val!$H$2*365.25))),0,1),1))</f>
        <v/>
      </c>
      <c r="G564" s="12" t="str">
        <f>IF(Data!B554="","",IF(AND(Data!G554="",Data!H554&lt;&gt;""),1,IF(ISNUMBER(MATCH(Data!G554,Data_Val!$C$2:$C$5,0)),0,1)))</f>
        <v/>
      </c>
      <c r="H564" s="12" t="str">
        <f>IF(Data!B554="","",IF(AND(Data!G554&lt;&gt;"",Data!H554=""),1,IF(Data!G554="",1,IF(ISNUMBER(MATCH(Data!H554,Data_Val!$D$2:$D$35,0)),0,1))))</f>
        <v/>
      </c>
      <c r="I564" s="38" t="str">
        <f>IF(Data!G554="","",IF(Data!G554=Data_Val!$C$2,IF(Data!I554="",0,1),0))</f>
        <v/>
      </c>
      <c r="J564" s="38" t="str">
        <f>IF(Data!I554="","",IF(ISNUMBER(MATCH(Data!J554,Data_Val!$A$2:$A$3,0)),0,1))</f>
        <v/>
      </c>
      <c r="K564" s="38" t="str">
        <f ca="1">IF(Data!I554="","",IF(ISNUMBER(Data!K554),IF(AND(Data!K554&gt;(TODAY()-(Data_Val!$K$3*365.25)),Data!K554&lt;=(TODAY()-(Data_Val!$K$2*365.25))),0,1),1))</f>
        <v/>
      </c>
      <c r="L564" s="16" t="str">
        <f>IF(Data!G554="","",IF(Data!G554=Data_Val!$C$2,IF(Data!L554="",0,1),0))</f>
        <v/>
      </c>
      <c r="M564" s="16" t="str">
        <f>IF(Data!L554="","",IF(ISNUMBER(MATCH(Data!M554,Data_Val!$A$2:$A$3,0)),0,1))</f>
        <v/>
      </c>
      <c r="N564" s="43" t="str">
        <f ca="1">IF(Data!L554="","",IF(ISNUMBER(Data!N554),IF(AND(Data!N554&gt;(TODAY()-(Data_Val!$L$3*365.25)),Data!N554&lt;=(TODAY()-(Data_Val!$L$2*365.25))),0,1),1))</f>
        <v/>
      </c>
      <c r="O564" s="18" t="str">
        <f>IF(Data!$G554="","",IF(Data!$G554=Data_Val!$C$2,IF(Data!O554="",0,1),0))</f>
        <v/>
      </c>
      <c r="P564" s="18" t="str">
        <f>IF(Data!O554="","",IF(ISNUMBER(MATCH(Data!P554,Data_Val!$A$2:$A$3,0)),0,1))</f>
        <v/>
      </c>
      <c r="Q564" s="44" t="str">
        <f ca="1">IF(Data!O554="","",IF(ISNUMBER(Data!Q554),IF(AND(Data!Q554&gt;(TODAY()-(Data_Val!$L$3*365.25)),Data!Q554&lt;=(TODAY()-(Data_Val!$L$2*365.25))),0,1),1))</f>
        <v/>
      </c>
    </row>
    <row r="565" spans="1:17" ht="12" customHeight="1" x14ac:dyDescent="0.25">
      <c r="A565" s="36" t="str">
        <f>IF(Data!B555="","",IF(COUNTIFS(Data!A$1:'Data'!A555,Data!A555)&lt;=1,0,1))</f>
        <v/>
      </c>
      <c r="B565" s="36"/>
      <c r="C565" s="36" t="str">
        <f>IF(Data!C555="","",(IF(ISNUMBER(MATCH("*@*.?*",Data!C555,0)),0,1)+IF(COUNTIFS(Data!C$1:'Data'!C555,Data!C555)&gt;1,1,0)))</f>
        <v/>
      </c>
      <c r="D565" s="36" t="str">
        <f>IF(Data!B555="","",IF(ISNUMBER(Data!D555),IF(AND(Data!D555&gt;999999999,Data!D555&lt;=9999999999),IF(COUNTIFS(Data!D$1:'Data'!D555,Data!D555)&lt;=1,0,1),1),1))</f>
        <v/>
      </c>
      <c r="E565" s="36" t="str">
        <f>IF(Data!B555="","",IF(ISNUMBER(MATCH(Data!E555,Data_Val!$A$2:$A$3,0)),0,1))</f>
        <v/>
      </c>
      <c r="F565" s="36" t="str">
        <f ca="1">IF(Data!B555="","",IF(ISNUMBER(Data!F555),IF(AND(Data!F555&gt;(TODAY()-(Data_Val!$H$3*365.25)),Data!F555&lt;=(TODAY()-(Data_Val!$H$2*365.25))),0,1),1))</f>
        <v/>
      </c>
      <c r="G565" s="12" t="str">
        <f>IF(Data!B555="","",IF(AND(Data!G555="",Data!H555&lt;&gt;""),1,IF(ISNUMBER(MATCH(Data!G555,Data_Val!$C$2:$C$5,0)),0,1)))</f>
        <v/>
      </c>
      <c r="H565" s="12" t="str">
        <f>IF(Data!B555="","",IF(AND(Data!G555&lt;&gt;"",Data!H555=""),1,IF(Data!G555="",1,IF(ISNUMBER(MATCH(Data!H555,Data_Val!$D$2:$D$35,0)),0,1))))</f>
        <v/>
      </c>
      <c r="I565" s="38" t="str">
        <f>IF(Data!G555="","",IF(Data!G555=Data_Val!$C$2,IF(Data!I555="",0,1),0))</f>
        <v/>
      </c>
      <c r="J565" s="38" t="str">
        <f>IF(Data!I555="","",IF(ISNUMBER(MATCH(Data!J555,Data_Val!$A$2:$A$3,0)),0,1))</f>
        <v/>
      </c>
      <c r="K565" s="38" t="str">
        <f ca="1">IF(Data!I555="","",IF(ISNUMBER(Data!K555),IF(AND(Data!K555&gt;(TODAY()-(Data_Val!$K$3*365.25)),Data!K555&lt;=(TODAY()-(Data_Val!$K$2*365.25))),0,1),1))</f>
        <v/>
      </c>
      <c r="L565" s="16" t="str">
        <f>IF(Data!G555="","",IF(Data!G555=Data_Val!$C$2,IF(Data!L555="",0,1),0))</f>
        <v/>
      </c>
      <c r="M565" s="16" t="str">
        <f>IF(Data!L555="","",IF(ISNUMBER(MATCH(Data!M555,Data_Val!$A$2:$A$3,0)),0,1))</f>
        <v/>
      </c>
      <c r="N565" s="43" t="str">
        <f ca="1">IF(Data!L555="","",IF(ISNUMBER(Data!N555),IF(AND(Data!N555&gt;(TODAY()-(Data_Val!$L$3*365.25)),Data!N555&lt;=(TODAY()-(Data_Val!$L$2*365.25))),0,1),1))</f>
        <v/>
      </c>
      <c r="O565" s="18" t="str">
        <f>IF(Data!$G555="","",IF(Data!$G555=Data_Val!$C$2,IF(Data!O555="",0,1),0))</f>
        <v/>
      </c>
      <c r="P565" s="18" t="str">
        <f>IF(Data!O555="","",IF(ISNUMBER(MATCH(Data!P555,Data_Val!$A$2:$A$3,0)),0,1))</f>
        <v/>
      </c>
      <c r="Q565" s="44" t="str">
        <f ca="1">IF(Data!O555="","",IF(ISNUMBER(Data!Q555),IF(AND(Data!Q555&gt;(TODAY()-(Data_Val!$L$3*365.25)),Data!Q555&lt;=(TODAY()-(Data_Val!$L$2*365.25))),0,1),1))</f>
        <v/>
      </c>
    </row>
    <row r="566" spans="1:17" ht="12" customHeight="1" x14ac:dyDescent="0.25">
      <c r="A566" s="36" t="str">
        <f>IF(Data!B556="","",IF(COUNTIFS(Data!A$1:'Data'!A556,Data!A556)&lt;=1,0,1))</f>
        <v/>
      </c>
      <c r="B566" s="36"/>
      <c r="C566" s="36" t="str">
        <f>IF(Data!C556="","",(IF(ISNUMBER(MATCH("*@*.?*",Data!C556,0)),0,1)+IF(COUNTIFS(Data!C$1:'Data'!C556,Data!C556)&gt;1,1,0)))</f>
        <v/>
      </c>
      <c r="D566" s="36" t="str">
        <f>IF(Data!B556="","",IF(ISNUMBER(Data!D556),IF(AND(Data!D556&gt;999999999,Data!D556&lt;=9999999999),IF(COUNTIFS(Data!D$1:'Data'!D556,Data!D556)&lt;=1,0,1),1),1))</f>
        <v/>
      </c>
      <c r="E566" s="36" t="str">
        <f>IF(Data!B556="","",IF(ISNUMBER(MATCH(Data!E556,Data_Val!$A$2:$A$3,0)),0,1))</f>
        <v/>
      </c>
      <c r="F566" s="36" t="str">
        <f ca="1">IF(Data!B556="","",IF(ISNUMBER(Data!F556),IF(AND(Data!F556&gt;(TODAY()-(Data_Val!$H$3*365.25)),Data!F556&lt;=(TODAY()-(Data_Val!$H$2*365.25))),0,1),1))</f>
        <v/>
      </c>
      <c r="G566" s="12" t="str">
        <f>IF(Data!B556="","",IF(AND(Data!G556="",Data!H556&lt;&gt;""),1,IF(ISNUMBER(MATCH(Data!G556,Data_Val!$C$2:$C$5,0)),0,1)))</f>
        <v/>
      </c>
      <c r="H566" s="12" t="str">
        <f>IF(Data!B556="","",IF(AND(Data!G556&lt;&gt;"",Data!H556=""),1,IF(Data!G556="",1,IF(ISNUMBER(MATCH(Data!H556,Data_Val!$D$2:$D$35,0)),0,1))))</f>
        <v/>
      </c>
      <c r="I566" s="38" t="str">
        <f>IF(Data!G556="","",IF(Data!G556=Data_Val!$C$2,IF(Data!I556="",0,1),0))</f>
        <v/>
      </c>
      <c r="J566" s="38" t="str">
        <f>IF(Data!I556="","",IF(ISNUMBER(MATCH(Data!J556,Data_Val!$A$2:$A$3,0)),0,1))</f>
        <v/>
      </c>
      <c r="K566" s="38" t="str">
        <f ca="1">IF(Data!I556="","",IF(ISNUMBER(Data!K556),IF(AND(Data!K556&gt;(TODAY()-(Data_Val!$K$3*365.25)),Data!K556&lt;=(TODAY()-(Data_Val!$K$2*365.25))),0,1),1))</f>
        <v/>
      </c>
      <c r="L566" s="16" t="str">
        <f>IF(Data!G556="","",IF(Data!G556=Data_Val!$C$2,IF(Data!L556="",0,1),0))</f>
        <v/>
      </c>
      <c r="M566" s="16" t="str">
        <f>IF(Data!L556="","",IF(ISNUMBER(MATCH(Data!M556,Data_Val!$A$2:$A$3,0)),0,1))</f>
        <v/>
      </c>
      <c r="N566" s="43" t="str">
        <f ca="1">IF(Data!L556="","",IF(ISNUMBER(Data!N556),IF(AND(Data!N556&gt;(TODAY()-(Data_Val!$L$3*365.25)),Data!N556&lt;=(TODAY()-(Data_Val!$L$2*365.25))),0,1),1))</f>
        <v/>
      </c>
      <c r="O566" s="18" t="str">
        <f>IF(Data!$G556="","",IF(Data!$G556=Data_Val!$C$2,IF(Data!O556="",0,1),0))</f>
        <v/>
      </c>
      <c r="P566" s="18" t="str">
        <f>IF(Data!O556="","",IF(ISNUMBER(MATCH(Data!P556,Data_Val!$A$2:$A$3,0)),0,1))</f>
        <v/>
      </c>
      <c r="Q566" s="44" t="str">
        <f ca="1">IF(Data!O556="","",IF(ISNUMBER(Data!Q556),IF(AND(Data!Q556&gt;(TODAY()-(Data_Val!$L$3*365.25)),Data!Q556&lt;=(TODAY()-(Data_Val!$L$2*365.25))),0,1),1))</f>
        <v/>
      </c>
    </row>
    <row r="567" spans="1:17" ht="12" customHeight="1" x14ac:dyDescent="0.25">
      <c r="A567" s="36" t="str">
        <f>IF(Data!B557="","",IF(COUNTIFS(Data!A$1:'Data'!A557,Data!A557)&lt;=1,0,1))</f>
        <v/>
      </c>
      <c r="B567" s="36"/>
      <c r="C567" s="36" t="str">
        <f>IF(Data!C557="","",(IF(ISNUMBER(MATCH("*@*.?*",Data!C557,0)),0,1)+IF(COUNTIFS(Data!C$1:'Data'!C557,Data!C557)&gt;1,1,0)))</f>
        <v/>
      </c>
      <c r="D567" s="36" t="str">
        <f>IF(Data!B557="","",IF(ISNUMBER(Data!D557),IF(AND(Data!D557&gt;999999999,Data!D557&lt;=9999999999),IF(COUNTIFS(Data!D$1:'Data'!D557,Data!D557)&lt;=1,0,1),1),1))</f>
        <v/>
      </c>
      <c r="E567" s="36" t="str">
        <f>IF(Data!B557="","",IF(ISNUMBER(MATCH(Data!E557,Data_Val!$A$2:$A$3,0)),0,1))</f>
        <v/>
      </c>
      <c r="F567" s="36" t="str">
        <f ca="1">IF(Data!B557="","",IF(ISNUMBER(Data!F557),IF(AND(Data!F557&gt;(TODAY()-(Data_Val!$H$3*365.25)),Data!F557&lt;=(TODAY()-(Data_Val!$H$2*365.25))),0,1),1))</f>
        <v/>
      </c>
      <c r="G567" s="12" t="str">
        <f>IF(Data!B557="","",IF(AND(Data!G557="",Data!H557&lt;&gt;""),1,IF(ISNUMBER(MATCH(Data!G557,Data_Val!$C$2:$C$5,0)),0,1)))</f>
        <v/>
      </c>
      <c r="H567" s="12" t="str">
        <f>IF(Data!B557="","",IF(AND(Data!G557&lt;&gt;"",Data!H557=""),1,IF(Data!G557="",1,IF(ISNUMBER(MATCH(Data!H557,Data_Val!$D$2:$D$35,0)),0,1))))</f>
        <v/>
      </c>
      <c r="I567" s="38" t="str">
        <f>IF(Data!G557="","",IF(Data!G557=Data_Val!$C$2,IF(Data!I557="",0,1),0))</f>
        <v/>
      </c>
      <c r="J567" s="38" t="str">
        <f>IF(Data!I557="","",IF(ISNUMBER(MATCH(Data!J557,Data_Val!$A$2:$A$3,0)),0,1))</f>
        <v/>
      </c>
      <c r="K567" s="38" t="str">
        <f ca="1">IF(Data!I557="","",IF(ISNUMBER(Data!K557),IF(AND(Data!K557&gt;(TODAY()-(Data_Val!$K$3*365.25)),Data!K557&lt;=(TODAY()-(Data_Val!$K$2*365.25))),0,1),1))</f>
        <v/>
      </c>
      <c r="L567" s="16" t="str">
        <f>IF(Data!G557="","",IF(Data!G557=Data_Val!$C$2,IF(Data!L557="",0,1),0))</f>
        <v/>
      </c>
      <c r="M567" s="16" t="str">
        <f>IF(Data!L557="","",IF(ISNUMBER(MATCH(Data!M557,Data_Val!$A$2:$A$3,0)),0,1))</f>
        <v/>
      </c>
      <c r="N567" s="43" t="str">
        <f ca="1">IF(Data!L557="","",IF(ISNUMBER(Data!N557),IF(AND(Data!N557&gt;(TODAY()-(Data_Val!$L$3*365.25)),Data!N557&lt;=(TODAY()-(Data_Val!$L$2*365.25))),0,1),1))</f>
        <v/>
      </c>
      <c r="O567" s="18" t="str">
        <f>IF(Data!$G557="","",IF(Data!$G557=Data_Val!$C$2,IF(Data!O557="",0,1),0))</f>
        <v/>
      </c>
      <c r="P567" s="18" t="str">
        <f>IF(Data!O557="","",IF(ISNUMBER(MATCH(Data!P557,Data_Val!$A$2:$A$3,0)),0,1))</f>
        <v/>
      </c>
      <c r="Q567" s="44" t="str">
        <f ca="1">IF(Data!O557="","",IF(ISNUMBER(Data!Q557),IF(AND(Data!Q557&gt;(TODAY()-(Data_Val!$L$3*365.25)),Data!Q557&lt;=(TODAY()-(Data_Val!$L$2*365.25))),0,1),1))</f>
        <v/>
      </c>
    </row>
    <row r="568" spans="1:17" ht="12" customHeight="1" x14ac:dyDescent="0.25">
      <c r="A568" s="36" t="str">
        <f>IF(Data!B558="","",IF(COUNTIFS(Data!A$1:'Data'!A558,Data!A558)&lt;=1,0,1))</f>
        <v/>
      </c>
      <c r="B568" s="36"/>
      <c r="C568" s="36" t="str">
        <f>IF(Data!C558="","",(IF(ISNUMBER(MATCH("*@*.?*",Data!C558,0)),0,1)+IF(COUNTIFS(Data!C$1:'Data'!C558,Data!C558)&gt;1,1,0)))</f>
        <v/>
      </c>
      <c r="D568" s="36" t="str">
        <f>IF(Data!B558="","",IF(ISNUMBER(Data!D558),IF(AND(Data!D558&gt;999999999,Data!D558&lt;=9999999999),IF(COUNTIFS(Data!D$1:'Data'!D558,Data!D558)&lt;=1,0,1),1),1))</f>
        <v/>
      </c>
      <c r="E568" s="36" t="str">
        <f>IF(Data!B558="","",IF(ISNUMBER(MATCH(Data!E558,Data_Val!$A$2:$A$3,0)),0,1))</f>
        <v/>
      </c>
      <c r="F568" s="36" t="str">
        <f ca="1">IF(Data!B558="","",IF(ISNUMBER(Data!F558),IF(AND(Data!F558&gt;(TODAY()-(Data_Val!$H$3*365.25)),Data!F558&lt;=(TODAY()-(Data_Val!$H$2*365.25))),0,1),1))</f>
        <v/>
      </c>
      <c r="G568" s="12" t="str">
        <f>IF(Data!B558="","",IF(AND(Data!G558="",Data!H558&lt;&gt;""),1,IF(ISNUMBER(MATCH(Data!G558,Data_Val!$C$2:$C$5,0)),0,1)))</f>
        <v/>
      </c>
      <c r="H568" s="12" t="str">
        <f>IF(Data!B558="","",IF(AND(Data!G558&lt;&gt;"",Data!H558=""),1,IF(Data!G558="",1,IF(ISNUMBER(MATCH(Data!H558,Data_Val!$D$2:$D$35,0)),0,1))))</f>
        <v/>
      </c>
      <c r="I568" s="38" t="str">
        <f>IF(Data!G558="","",IF(Data!G558=Data_Val!$C$2,IF(Data!I558="",0,1),0))</f>
        <v/>
      </c>
      <c r="J568" s="38" t="str">
        <f>IF(Data!I558="","",IF(ISNUMBER(MATCH(Data!J558,Data_Val!$A$2:$A$3,0)),0,1))</f>
        <v/>
      </c>
      <c r="K568" s="38" t="str">
        <f ca="1">IF(Data!I558="","",IF(ISNUMBER(Data!K558),IF(AND(Data!K558&gt;(TODAY()-(Data_Val!$K$3*365.25)),Data!K558&lt;=(TODAY()-(Data_Val!$K$2*365.25))),0,1),1))</f>
        <v/>
      </c>
      <c r="L568" s="16" t="str">
        <f>IF(Data!G558="","",IF(Data!G558=Data_Val!$C$2,IF(Data!L558="",0,1),0))</f>
        <v/>
      </c>
      <c r="M568" s="16" t="str">
        <f>IF(Data!L558="","",IF(ISNUMBER(MATCH(Data!M558,Data_Val!$A$2:$A$3,0)),0,1))</f>
        <v/>
      </c>
      <c r="N568" s="43" t="str">
        <f ca="1">IF(Data!L558="","",IF(ISNUMBER(Data!N558),IF(AND(Data!N558&gt;(TODAY()-(Data_Val!$L$3*365.25)),Data!N558&lt;=(TODAY()-(Data_Val!$L$2*365.25))),0,1),1))</f>
        <v/>
      </c>
      <c r="O568" s="18" t="str">
        <f>IF(Data!$G558="","",IF(Data!$G558=Data_Val!$C$2,IF(Data!O558="",0,1),0))</f>
        <v/>
      </c>
      <c r="P568" s="18" t="str">
        <f>IF(Data!O558="","",IF(ISNUMBER(MATCH(Data!P558,Data_Val!$A$2:$A$3,0)),0,1))</f>
        <v/>
      </c>
      <c r="Q568" s="44" t="str">
        <f ca="1">IF(Data!O558="","",IF(ISNUMBER(Data!Q558),IF(AND(Data!Q558&gt;(TODAY()-(Data_Val!$L$3*365.25)),Data!Q558&lt;=(TODAY()-(Data_Val!$L$2*365.25))),0,1),1))</f>
        <v/>
      </c>
    </row>
    <row r="569" spans="1:17" ht="12" customHeight="1" x14ac:dyDescent="0.25">
      <c r="A569" s="36" t="str">
        <f>IF(Data!B559="","",IF(COUNTIFS(Data!A$1:'Data'!A559,Data!A559)&lt;=1,0,1))</f>
        <v/>
      </c>
      <c r="B569" s="36"/>
      <c r="C569" s="36" t="str">
        <f>IF(Data!C559="","",(IF(ISNUMBER(MATCH("*@*.?*",Data!C559,0)),0,1)+IF(COUNTIFS(Data!C$1:'Data'!C559,Data!C559)&gt;1,1,0)))</f>
        <v/>
      </c>
      <c r="D569" s="36" t="str">
        <f>IF(Data!B559="","",IF(ISNUMBER(Data!D559),IF(AND(Data!D559&gt;999999999,Data!D559&lt;=9999999999),IF(COUNTIFS(Data!D$1:'Data'!D559,Data!D559)&lt;=1,0,1),1),1))</f>
        <v/>
      </c>
      <c r="E569" s="36" t="str">
        <f>IF(Data!B559="","",IF(ISNUMBER(MATCH(Data!E559,Data_Val!$A$2:$A$3,0)),0,1))</f>
        <v/>
      </c>
      <c r="F569" s="36" t="str">
        <f ca="1">IF(Data!B559="","",IF(ISNUMBER(Data!F559),IF(AND(Data!F559&gt;(TODAY()-(Data_Val!$H$3*365.25)),Data!F559&lt;=(TODAY()-(Data_Val!$H$2*365.25))),0,1),1))</f>
        <v/>
      </c>
      <c r="G569" s="12" t="str">
        <f>IF(Data!B559="","",IF(AND(Data!G559="",Data!H559&lt;&gt;""),1,IF(ISNUMBER(MATCH(Data!G559,Data_Val!$C$2:$C$5,0)),0,1)))</f>
        <v/>
      </c>
      <c r="H569" s="12" t="str">
        <f>IF(Data!B559="","",IF(AND(Data!G559&lt;&gt;"",Data!H559=""),1,IF(Data!G559="",1,IF(ISNUMBER(MATCH(Data!H559,Data_Val!$D$2:$D$35,0)),0,1))))</f>
        <v/>
      </c>
      <c r="I569" s="38" t="str">
        <f>IF(Data!G559="","",IF(Data!G559=Data_Val!$C$2,IF(Data!I559="",0,1),0))</f>
        <v/>
      </c>
      <c r="J569" s="38" t="str">
        <f>IF(Data!I559="","",IF(ISNUMBER(MATCH(Data!J559,Data_Val!$A$2:$A$3,0)),0,1))</f>
        <v/>
      </c>
      <c r="K569" s="38" t="str">
        <f ca="1">IF(Data!I559="","",IF(ISNUMBER(Data!K559),IF(AND(Data!K559&gt;(TODAY()-(Data_Val!$K$3*365.25)),Data!K559&lt;=(TODAY()-(Data_Val!$K$2*365.25))),0,1),1))</f>
        <v/>
      </c>
      <c r="L569" s="16" t="str">
        <f>IF(Data!G559="","",IF(Data!G559=Data_Val!$C$2,IF(Data!L559="",0,1),0))</f>
        <v/>
      </c>
      <c r="M569" s="16" t="str">
        <f>IF(Data!L559="","",IF(ISNUMBER(MATCH(Data!M559,Data_Val!$A$2:$A$3,0)),0,1))</f>
        <v/>
      </c>
      <c r="N569" s="43" t="str">
        <f ca="1">IF(Data!L559="","",IF(ISNUMBER(Data!N559),IF(AND(Data!N559&gt;(TODAY()-(Data_Val!$L$3*365.25)),Data!N559&lt;=(TODAY()-(Data_Val!$L$2*365.25))),0,1),1))</f>
        <v/>
      </c>
      <c r="O569" s="18" t="str">
        <f>IF(Data!$G559="","",IF(Data!$G559=Data_Val!$C$2,IF(Data!O559="",0,1),0))</f>
        <v/>
      </c>
      <c r="P569" s="18" t="str">
        <f>IF(Data!O559="","",IF(ISNUMBER(MATCH(Data!P559,Data_Val!$A$2:$A$3,0)),0,1))</f>
        <v/>
      </c>
      <c r="Q569" s="44" t="str">
        <f ca="1">IF(Data!O559="","",IF(ISNUMBER(Data!Q559),IF(AND(Data!Q559&gt;(TODAY()-(Data_Val!$L$3*365.25)),Data!Q559&lt;=(TODAY()-(Data_Val!$L$2*365.25))),0,1),1))</f>
        <v/>
      </c>
    </row>
    <row r="570" spans="1:17" ht="12" customHeight="1" x14ac:dyDescent="0.25">
      <c r="A570" s="36" t="str">
        <f>IF(Data!B560="","",IF(COUNTIFS(Data!A$1:'Data'!A560,Data!A560)&lt;=1,0,1))</f>
        <v/>
      </c>
      <c r="B570" s="36"/>
      <c r="C570" s="36" t="str">
        <f>IF(Data!C560="","",(IF(ISNUMBER(MATCH("*@*.?*",Data!C560,0)),0,1)+IF(COUNTIFS(Data!C$1:'Data'!C560,Data!C560)&gt;1,1,0)))</f>
        <v/>
      </c>
      <c r="D570" s="36" t="str">
        <f>IF(Data!B560="","",IF(ISNUMBER(Data!D560),IF(AND(Data!D560&gt;999999999,Data!D560&lt;=9999999999),IF(COUNTIFS(Data!D$1:'Data'!D560,Data!D560)&lt;=1,0,1),1),1))</f>
        <v/>
      </c>
      <c r="E570" s="36" t="str">
        <f>IF(Data!B560="","",IF(ISNUMBER(MATCH(Data!E560,Data_Val!$A$2:$A$3,0)),0,1))</f>
        <v/>
      </c>
      <c r="F570" s="36" t="str">
        <f ca="1">IF(Data!B560="","",IF(ISNUMBER(Data!F560),IF(AND(Data!F560&gt;(TODAY()-(Data_Val!$H$3*365.25)),Data!F560&lt;=(TODAY()-(Data_Val!$H$2*365.25))),0,1),1))</f>
        <v/>
      </c>
      <c r="G570" s="12" t="str">
        <f>IF(Data!B560="","",IF(AND(Data!G560="",Data!H560&lt;&gt;""),1,IF(ISNUMBER(MATCH(Data!G560,Data_Val!$C$2:$C$5,0)),0,1)))</f>
        <v/>
      </c>
      <c r="H570" s="12" t="str">
        <f>IF(Data!B560="","",IF(AND(Data!G560&lt;&gt;"",Data!H560=""),1,IF(Data!G560="",1,IF(ISNUMBER(MATCH(Data!H560,Data_Val!$D$2:$D$35,0)),0,1))))</f>
        <v/>
      </c>
      <c r="I570" s="38" t="str">
        <f>IF(Data!G560="","",IF(Data!G560=Data_Val!$C$2,IF(Data!I560="",0,1),0))</f>
        <v/>
      </c>
      <c r="J570" s="38" t="str">
        <f>IF(Data!I560="","",IF(ISNUMBER(MATCH(Data!J560,Data_Val!$A$2:$A$3,0)),0,1))</f>
        <v/>
      </c>
      <c r="K570" s="38" t="str">
        <f ca="1">IF(Data!I560="","",IF(ISNUMBER(Data!K560),IF(AND(Data!K560&gt;(TODAY()-(Data_Val!$K$3*365.25)),Data!K560&lt;=(TODAY()-(Data_Val!$K$2*365.25))),0,1),1))</f>
        <v/>
      </c>
      <c r="L570" s="16" t="str">
        <f>IF(Data!G560="","",IF(Data!G560=Data_Val!$C$2,IF(Data!L560="",0,1),0))</f>
        <v/>
      </c>
      <c r="M570" s="16" t="str">
        <f>IF(Data!L560="","",IF(ISNUMBER(MATCH(Data!M560,Data_Val!$A$2:$A$3,0)),0,1))</f>
        <v/>
      </c>
      <c r="N570" s="43" t="str">
        <f ca="1">IF(Data!L560="","",IF(ISNUMBER(Data!N560),IF(AND(Data!N560&gt;(TODAY()-(Data_Val!$L$3*365.25)),Data!N560&lt;=(TODAY()-(Data_Val!$L$2*365.25))),0,1),1))</f>
        <v/>
      </c>
      <c r="O570" s="18" t="str">
        <f>IF(Data!$G560="","",IF(Data!$G560=Data_Val!$C$2,IF(Data!O560="",0,1),0))</f>
        <v/>
      </c>
      <c r="P570" s="18" t="str">
        <f>IF(Data!O560="","",IF(ISNUMBER(MATCH(Data!P560,Data_Val!$A$2:$A$3,0)),0,1))</f>
        <v/>
      </c>
      <c r="Q570" s="44" t="str">
        <f ca="1">IF(Data!O560="","",IF(ISNUMBER(Data!Q560),IF(AND(Data!Q560&gt;(TODAY()-(Data_Val!$L$3*365.25)),Data!Q560&lt;=(TODAY()-(Data_Val!$L$2*365.25))),0,1),1))</f>
        <v/>
      </c>
    </row>
    <row r="571" spans="1:17" ht="12" customHeight="1" x14ac:dyDescent="0.25">
      <c r="A571" s="36" t="str">
        <f>IF(Data!B561="","",IF(COUNTIFS(Data!A$1:'Data'!A561,Data!A561)&lt;=1,0,1))</f>
        <v/>
      </c>
      <c r="B571" s="36"/>
      <c r="C571" s="36" t="str">
        <f>IF(Data!C561="","",(IF(ISNUMBER(MATCH("*@*.?*",Data!C561,0)),0,1)+IF(COUNTIFS(Data!C$1:'Data'!C561,Data!C561)&gt;1,1,0)))</f>
        <v/>
      </c>
      <c r="D571" s="36" t="str">
        <f>IF(Data!B561="","",IF(ISNUMBER(Data!D561),IF(AND(Data!D561&gt;999999999,Data!D561&lt;=9999999999),IF(COUNTIFS(Data!D$1:'Data'!D561,Data!D561)&lt;=1,0,1),1),1))</f>
        <v/>
      </c>
      <c r="E571" s="36" t="str">
        <f>IF(Data!B561="","",IF(ISNUMBER(MATCH(Data!E561,Data_Val!$A$2:$A$3,0)),0,1))</f>
        <v/>
      </c>
      <c r="F571" s="36" t="str">
        <f ca="1">IF(Data!B561="","",IF(ISNUMBER(Data!F561),IF(AND(Data!F561&gt;(TODAY()-(Data_Val!$H$3*365.25)),Data!F561&lt;=(TODAY()-(Data_Val!$H$2*365.25))),0,1),1))</f>
        <v/>
      </c>
      <c r="G571" s="12" t="str">
        <f>IF(Data!B561="","",IF(AND(Data!G561="",Data!H561&lt;&gt;""),1,IF(ISNUMBER(MATCH(Data!G561,Data_Val!$C$2:$C$5,0)),0,1)))</f>
        <v/>
      </c>
      <c r="H571" s="12" t="str">
        <f>IF(Data!B561="","",IF(AND(Data!G561&lt;&gt;"",Data!H561=""),1,IF(Data!G561="",1,IF(ISNUMBER(MATCH(Data!H561,Data_Val!$D$2:$D$35,0)),0,1))))</f>
        <v/>
      </c>
      <c r="I571" s="38" t="str">
        <f>IF(Data!G561="","",IF(Data!G561=Data_Val!$C$2,IF(Data!I561="",0,1),0))</f>
        <v/>
      </c>
      <c r="J571" s="38" t="str">
        <f>IF(Data!I561="","",IF(ISNUMBER(MATCH(Data!J561,Data_Val!$A$2:$A$3,0)),0,1))</f>
        <v/>
      </c>
      <c r="K571" s="38" t="str">
        <f ca="1">IF(Data!I561="","",IF(ISNUMBER(Data!K561),IF(AND(Data!K561&gt;(TODAY()-(Data_Val!$K$3*365.25)),Data!K561&lt;=(TODAY()-(Data_Val!$K$2*365.25))),0,1),1))</f>
        <v/>
      </c>
      <c r="L571" s="16" t="str">
        <f>IF(Data!G561="","",IF(Data!G561=Data_Val!$C$2,IF(Data!L561="",0,1),0))</f>
        <v/>
      </c>
      <c r="M571" s="16" t="str">
        <f>IF(Data!L561="","",IF(ISNUMBER(MATCH(Data!M561,Data_Val!$A$2:$A$3,0)),0,1))</f>
        <v/>
      </c>
      <c r="N571" s="43" t="str">
        <f ca="1">IF(Data!L561="","",IF(ISNUMBER(Data!N561),IF(AND(Data!N561&gt;(TODAY()-(Data_Val!$L$3*365.25)),Data!N561&lt;=(TODAY()-(Data_Val!$L$2*365.25))),0,1),1))</f>
        <v/>
      </c>
      <c r="O571" s="18" t="str">
        <f>IF(Data!$G561="","",IF(Data!$G561=Data_Val!$C$2,IF(Data!O561="",0,1),0))</f>
        <v/>
      </c>
      <c r="P571" s="18" t="str">
        <f>IF(Data!O561="","",IF(ISNUMBER(MATCH(Data!P561,Data_Val!$A$2:$A$3,0)),0,1))</f>
        <v/>
      </c>
      <c r="Q571" s="44" t="str">
        <f ca="1">IF(Data!O561="","",IF(ISNUMBER(Data!Q561),IF(AND(Data!Q561&gt;(TODAY()-(Data_Val!$L$3*365.25)),Data!Q561&lt;=(TODAY()-(Data_Val!$L$2*365.25))),0,1),1))</f>
        <v/>
      </c>
    </row>
    <row r="572" spans="1:17" ht="12" customHeight="1" x14ac:dyDescent="0.25">
      <c r="A572" s="36" t="str">
        <f>IF(Data!B562="","",IF(COUNTIFS(Data!A$1:'Data'!A562,Data!A562)&lt;=1,0,1))</f>
        <v/>
      </c>
      <c r="B572" s="36"/>
      <c r="C572" s="36" t="str">
        <f>IF(Data!C562="","",(IF(ISNUMBER(MATCH("*@*.?*",Data!C562,0)),0,1)+IF(COUNTIFS(Data!C$1:'Data'!C562,Data!C562)&gt;1,1,0)))</f>
        <v/>
      </c>
      <c r="D572" s="36" t="str">
        <f>IF(Data!B562="","",IF(ISNUMBER(Data!D562),IF(AND(Data!D562&gt;999999999,Data!D562&lt;=9999999999),IF(COUNTIFS(Data!D$1:'Data'!D562,Data!D562)&lt;=1,0,1),1),1))</f>
        <v/>
      </c>
      <c r="E572" s="36" t="str">
        <f>IF(Data!B562="","",IF(ISNUMBER(MATCH(Data!E562,Data_Val!$A$2:$A$3,0)),0,1))</f>
        <v/>
      </c>
      <c r="F572" s="36" t="str">
        <f ca="1">IF(Data!B562="","",IF(ISNUMBER(Data!F562),IF(AND(Data!F562&gt;(TODAY()-(Data_Val!$H$3*365.25)),Data!F562&lt;=(TODAY()-(Data_Val!$H$2*365.25))),0,1),1))</f>
        <v/>
      </c>
      <c r="G572" s="12" t="str">
        <f>IF(Data!B562="","",IF(AND(Data!G562="",Data!H562&lt;&gt;""),1,IF(ISNUMBER(MATCH(Data!G562,Data_Val!$C$2:$C$5,0)),0,1)))</f>
        <v/>
      </c>
      <c r="H572" s="12" t="str">
        <f>IF(Data!B562="","",IF(AND(Data!G562&lt;&gt;"",Data!H562=""),1,IF(Data!G562="",1,IF(ISNUMBER(MATCH(Data!H562,Data_Val!$D$2:$D$35,0)),0,1))))</f>
        <v/>
      </c>
      <c r="I572" s="38" t="str">
        <f>IF(Data!G562="","",IF(Data!G562=Data_Val!$C$2,IF(Data!I562="",0,1),0))</f>
        <v/>
      </c>
      <c r="J572" s="38" t="str">
        <f>IF(Data!I562="","",IF(ISNUMBER(MATCH(Data!J562,Data_Val!$A$2:$A$3,0)),0,1))</f>
        <v/>
      </c>
      <c r="K572" s="38" t="str">
        <f ca="1">IF(Data!I562="","",IF(ISNUMBER(Data!K562),IF(AND(Data!K562&gt;(TODAY()-(Data_Val!$K$3*365.25)),Data!K562&lt;=(TODAY()-(Data_Val!$K$2*365.25))),0,1),1))</f>
        <v/>
      </c>
      <c r="L572" s="16" t="str">
        <f>IF(Data!G562="","",IF(Data!G562=Data_Val!$C$2,IF(Data!L562="",0,1),0))</f>
        <v/>
      </c>
      <c r="M572" s="16" t="str">
        <f>IF(Data!L562="","",IF(ISNUMBER(MATCH(Data!M562,Data_Val!$A$2:$A$3,0)),0,1))</f>
        <v/>
      </c>
      <c r="N572" s="43" t="str">
        <f ca="1">IF(Data!L562="","",IF(ISNUMBER(Data!N562),IF(AND(Data!N562&gt;(TODAY()-(Data_Val!$L$3*365.25)),Data!N562&lt;=(TODAY()-(Data_Val!$L$2*365.25))),0,1),1))</f>
        <v/>
      </c>
      <c r="O572" s="18" t="str">
        <f>IF(Data!$G562="","",IF(Data!$G562=Data_Val!$C$2,IF(Data!O562="",0,1),0))</f>
        <v/>
      </c>
      <c r="P572" s="18" t="str">
        <f>IF(Data!O562="","",IF(ISNUMBER(MATCH(Data!P562,Data_Val!$A$2:$A$3,0)),0,1))</f>
        <v/>
      </c>
      <c r="Q572" s="44" t="str">
        <f ca="1">IF(Data!O562="","",IF(ISNUMBER(Data!Q562),IF(AND(Data!Q562&gt;(TODAY()-(Data_Val!$L$3*365.25)),Data!Q562&lt;=(TODAY()-(Data_Val!$L$2*365.25))),0,1),1))</f>
        <v/>
      </c>
    </row>
    <row r="573" spans="1:17" ht="12" customHeight="1" x14ac:dyDescent="0.25">
      <c r="A573" s="36" t="str">
        <f>IF(Data!B563="","",IF(COUNTIFS(Data!A$1:'Data'!A563,Data!A563)&lt;=1,0,1))</f>
        <v/>
      </c>
      <c r="B573" s="36"/>
      <c r="C573" s="36" t="str">
        <f>IF(Data!C563="","",(IF(ISNUMBER(MATCH("*@*.?*",Data!C563,0)),0,1)+IF(COUNTIFS(Data!C$1:'Data'!C563,Data!C563)&gt;1,1,0)))</f>
        <v/>
      </c>
      <c r="D573" s="36" t="str">
        <f>IF(Data!B563="","",IF(ISNUMBER(Data!D563),IF(AND(Data!D563&gt;999999999,Data!D563&lt;=9999999999),IF(COUNTIFS(Data!D$1:'Data'!D563,Data!D563)&lt;=1,0,1),1),1))</f>
        <v/>
      </c>
      <c r="E573" s="36" t="str">
        <f>IF(Data!B563="","",IF(ISNUMBER(MATCH(Data!E563,Data_Val!$A$2:$A$3,0)),0,1))</f>
        <v/>
      </c>
      <c r="F573" s="36" t="str">
        <f ca="1">IF(Data!B563="","",IF(ISNUMBER(Data!F563),IF(AND(Data!F563&gt;(TODAY()-(Data_Val!$H$3*365.25)),Data!F563&lt;=(TODAY()-(Data_Val!$H$2*365.25))),0,1),1))</f>
        <v/>
      </c>
      <c r="G573" s="12" t="str">
        <f>IF(Data!B563="","",IF(AND(Data!G563="",Data!H563&lt;&gt;""),1,IF(ISNUMBER(MATCH(Data!G563,Data_Val!$C$2:$C$5,0)),0,1)))</f>
        <v/>
      </c>
      <c r="H573" s="12" t="str">
        <f>IF(Data!B563="","",IF(AND(Data!G563&lt;&gt;"",Data!H563=""),1,IF(Data!G563="",1,IF(ISNUMBER(MATCH(Data!H563,Data_Val!$D$2:$D$35,0)),0,1))))</f>
        <v/>
      </c>
      <c r="I573" s="38" t="str">
        <f>IF(Data!G563="","",IF(Data!G563=Data_Val!$C$2,IF(Data!I563="",0,1),0))</f>
        <v/>
      </c>
      <c r="J573" s="38" t="str">
        <f>IF(Data!I563="","",IF(ISNUMBER(MATCH(Data!J563,Data_Val!$A$2:$A$3,0)),0,1))</f>
        <v/>
      </c>
      <c r="K573" s="38" t="str">
        <f ca="1">IF(Data!I563="","",IF(ISNUMBER(Data!K563),IF(AND(Data!K563&gt;(TODAY()-(Data_Val!$K$3*365.25)),Data!K563&lt;=(TODAY()-(Data_Val!$K$2*365.25))),0,1),1))</f>
        <v/>
      </c>
      <c r="L573" s="16" t="str">
        <f>IF(Data!G563="","",IF(Data!G563=Data_Val!$C$2,IF(Data!L563="",0,1),0))</f>
        <v/>
      </c>
      <c r="M573" s="16" t="str">
        <f>IF(Data!L563="","",IF(ISNUMBER(MATCH(Data!M563,Data_Val!$A$2:$A$3,0)),0,1))</f>
        <v/>
      </c>
      <c r="N573" s="43" t="str">
        <f ca="1">IF(Data!L563="","",IF(ISNUMBER(Data!N563),IF(AND(Data!N563&gt;(TODAY()-(Data_Val!$L$3*365.25)),Data!N563&lt;=(TODAY()-(Data_Val!$L$2*365.25))),0,1),1))</f>
        <v/>
      </c>
      <c r="O573" s="18" t="str">
        <f>IF(Data!$G563="","",IF(Data!$G563=Data_Val!$C$2,IF(Data!O563="",0,1),0))</f>
        <v/>
      </c>
      <c r="P573" s="18" t="str">
        <f>IF(Data!O563="","",IF(ISNUMBER(MATCH(Data!P563,Data_Val!$A$2:$A$3,0)),0,1))</f>
        <v/>
      </c>
      <c r="Q573" s="44" t="str">
        <f ca="1">IF(Data!O563="","",IF(ISNUMBER(Data!Q563),IF(AND(Data!Q563&gt;(TODAY()-(Data_Val!$L$3*365.25)),Data!Q563&lt;=(TODAY()-(Data_Val!$L$2*365.25))),0,1),1))</f>
        <v/>
      </c>
    </row>
    <row r="574" spans="1:17" ht="12" customHeight="1" x14ac:dyDescent="0.25">
      <c r="A574" s="36" t="str">
        <f>IF(Data!B564="","",IF(COUNTIFS(Data!A$1:'Data'!A564,Data!A564)&lt;=1,0,1))</f>
        <v/>
      </c>
      <c r="B574" s="36"/>
      <c r="C574" s="36" t="str">
        <f>IF(Data!C564="","",(IF(ISNUMBER(MATCH("*@*.?*",Data!C564,0)),0,1)+IF(COUNTIFS(Data!C$1:'Data'!C564,Data!C564)&gt;1,1,0)))</f>
        <v/>
      </c>
      <c r="D574" s="36" t="str">
        <f>IF(Data!B564="","",IF(ISNUMBER(Data!D564),IF(AND(Data!D564&gt;999999999,Data!D564&lt;=9999999999),IF(COUNTIFS(Data!D$1:'Data'!D564,Data!D564)&lt;=1,0,1),1),1))</f>
        <v/>
      </c>
      <c r="E574" s="36" t="str">
        <f>IF(Data!B564="","",IF(ISNUMBER(MATCH(Data!E564,Data_Val!$A$2:$A$3,0)),0,1))</f>
        <v/>
      </c>
      <c r="F574" s="36" t="str">
        <f ca="1">IF(Data!B564="","",IF(ISNUMBER(Data!F564),IF(AND(Data!F564&gt;(TODAY()-(Data_Val!$H$3*365.25)),Data!F564&lt;=(TODAY()-(Data_Val!$H$2*365.25))),0,1),1))</f>
        <v/>
      </c>
      <c r="G574" s="12" t="str">
        <f>IF(Data!B564="","",IF(AND(Data!G564="",Data!H564&lt;&gt;""),1,IF(ISNUMBER(MATCH(Data!G564,Data_Val!$C$2:$C$5,0)),0,1)))</f>
        <v/>
      </c>
      <c r="H574" s="12" t="str">
        <f>IF(Data!B564="","",IF(AND(Data!G564&lt;&gt;"",Data!H564=""),1,IF(Data!G564="",1,IF(ISNUMBER(MATCH(Data!H564,Data_Val!$D$2:$D$35,0)),0,1))))</f>
        <v/>
      </c>
      <c r="I574" s="38" t="str">
        <f>IF(Data!G564="","",IF(Data!G564=Data_Val!$C$2,IF(Data!I564="",0,1),0))</f>
        <v/>
      </c>
      <c r="J574" s="38" t="str">
        <f>IF(Data!I564="","",IF(ISNUMBER(MATCH(Data!J564,Data_Val!$A$2:$A$3,0)),0,1))</f>
        <v/>
      </c>
      <c r="K574" s="38" t="str">
        <f ca="1">IF(Data!I564="","",IF(ISNUMBER(Data!K564),IF(AND(Data!K564&gt;(TODAY()-(Data_Val!$K$3*365.25)),Data!K564&lt;=(TODAY()-(Data_Val!$K$2*365.25))),0,1),1))</f>
        <v/>
      </c>
      <c r="L574" s="16" t="str">
        <f>IF(Data!G564="","",IF(Data!G564=Data_Val!$C$2,IF(Data!L564="",0,1),0))</f>
        <v/>
      </c>
      <c r="M574" s="16" t="str">
        <f>IF(Data!L564="","",IF(ISNUMBER(MATCH(Data!M564,Data_Val!$A$2:$A$3,0)),0,1))</f>
        <v/>
      </c>
      <c r="N574" s="43" t="str">
        <f ca="1">IF(Data!L564="","",IF(ISNUMBER(Data!N564),IF(AND(Data!N564&gt;(TODAY()-(Data_Val!$L$3*365.25)),Data!N564&lt;=(TODAY()-(Data_Val!$L$2*365.25))),0,1),1))</f>
        <v/>
      </c>
      <c r="O574" s="18" t="str">
        <f>IF(Data!$G564="","",IF(Data!$G564=Data_Val!$C$2,IF(Data!O564="",0,1),0))</f>
        <v/>
      </c>
      <c r="P574" s="18" t="str">
        <f>IF(Data!O564="","",IF(ISNUMBER(MATCH(Data!P564,Data_Val!$A$2:$A$3,0)),0,1))</f>
        <v/>
      </c>
      <c r="Q574" s="44" t="str">
        <f ca="1">IF(Data!O564="","",IF(ISNUMBER(Data!Q564),IF(AND(Data!Q564&gt;(TODAY()-(Data_Val!$L$3*365.25)),Data!Q564&lt;=(TODAY()-(Data_Val!$L$2*365.25))),0,1),1))</f>
        <v/>
      </c>
    </row>
    <row r="575" spans="1:17" ht="12" customHeight="1" x14ac:dyDescent="0.25">
      <c r="A575" s="36" t="str">
        <f>IF(Data!B565="","",IF(COUNTIFS(Data!A$1:'Data'!A565,Data!A565)&lt;=1,0,1))</f>
        <v/>
      </c>
      <c r="B575" s="36"/>
      <c r="C575" s="36" t="str">
        <f>IF(Data!C565="","",(IF(ISNUMBER(MATCH("*@*.?*",Data!C565,0)),0,1)+IF(COUNTIFS(Data!C$1:'Data'!C565,Data!C565)&gt;1,1,0)))</f>
        <v/>
      </c>
      <c r="D575" s="36" t="str">
        <f>IF(Data!B565="","",IF(ISNUMBER(Data!D565),IF(AND(Data!D565&gt;999999999,Data!D565&lt;=9999999999),IF(COUNTIFS(Data!D$1:'Data'!D565,Data!D565)&lt;=1,0,1),1),1))</f>
        <v/>
      </c>
      <c r="E575" s="36" t="str">
        <f>IF(Data!B565="","",IF(ISNUMBER(MATCH(Data!E565,Data_Val!$A$2:$A$3,0)),0,1))</f>
        <v/>
      </c>
      <c r="F575" s="36" t="str">
        <f ca="1">IF(Data!B565="","",IF(ISNUMBER(Data!F565),IF(AND(Data!F565&gt;(TODAY()-(Data_Val!$H$3*365.25)),Data!F565&lt;=(TODAY()-(Data_Val!$H$2*365.25))),0,1),1))</f>
        <v/>
      </c>
      <c r="G575" s="12" t="str">
        <f>IF(Data!B565="","",IF(AND(Data!G565="",Data!H565&lt;&gt;""),1,IF(ISNUMBER(MATCH(Data!G565,Data_Val!$C$2:$C$5,0)),0,1)))</f>
        <v/>
      </c>
      <c r="H575" s="12" t="str">
        <f>IF(Data!B565="","",IF(AND(Data!G565&lt;&gt;"",Data!H565=""),1,IF(Data!G565="",1,IF(ISNUMBER(MATCH(Data!H565,Data_Val!$D$2:$D$35,0)),0,1))))</f>
        <v/>
      </c>
      <c r="I575" s="38" t="str">
        <f>IF(Data!G565="","",IF(Data!G565=Data_Val!$C$2,IF(Data!I565="",0,1),0))</f>
        <v/>
      </c>
      <c r="J575" s="38" t="str">
        <f>IF(Data!I565="","",IF(ISNUMBER(MATCH(Data!J565,Data_Val!$A$2:$A$3,0)),0,1))</f>
        <v/>
      </c>
      <c r="K575" s="38" t="str">
        <f ca="1">IF(Data!I565="","",IF(ISNUMBER(Data!K565),IF(AND(Data!K565&gt;(TODAY()-(Data_Val!$K$3*365.25)),Data!K565&lt;=(TODAY()-(Data_Val!$K$2*365.25))),0,1),1))</f>
        <v/>
      </c>
      <c r="L575" s="16" t="str">
        <f>IF(Data!G565="","",IF(Data!G565=Data_Val!$C$2,IF(Data!L565="",0,1),0))</f>
        <v/>
      </c>
      <c r="M575" s="16" t="str">
        <f>IF(Data!L565="","",IF(ISNUMBER(MATCH(Data!M565,Data_Val!$A$2:$A$3,0)),0,1))</f>
        <v/>
      </c>
      <c r="N575" s="43" t="str">
        <f ca="1">IF(Data!L565="","",IF(ISNUMBER(Data!N565),IF(AND(Data!N565&gt;(TODAY()-(Data_Val!$L$3*365.25)),Data!N565&lt;=(TODAY()-(Data_Val!$L$2*365.25))),0,1),1))</f>
        <v/>
      </c>
      <c r="O575" s="18" t="str">
        <f>IF(Data!$G565="","",IF(Data!$G565=Data_Val!$C$2,IF(Data!O565="",0,1),0))</f>
        <v/>
      </c>
      <c r="P575" s="18" t="str">
        <f>IF(Data!O565="","",IF(ISNUMBER(MATCH(Data!P565,Data_Val!$A$2:$A$3,0)),0,1))</f>
        <v/>
      </c>
      <c r="Q575" s="44" t="str">
        <f ca="1">IF(Data!O565="","",IF(ISNUMBER(Data!Q565),IF(AND(Data!Q565&gt;(TODAY()-(Data_Val!$L$3*365.25)),Data!Q565&lt;=(TODAY()-(Data_Val!$L$2*365.25))),0,1),1))</f>
        <v/>
      </c>
    </row>
    <row r="576" spans="1:17" ht="12" customHeight="1" x14ac:dyDescent="0.25">
      <c r="A576" s="36" t="str">
        <f>IF(Data!B566="","",IF(COUNTIFS(Data!A$1:'Data'!A566,Data!A566)&lt;=1,0,1))</f>
        <v/>
      </c>
      <c r="B576" s="36"/>
      <c r="C576" s="36" t="str">
        <f>IF(Data!C566="","",(IF(ISNUMBER(MATCH("*@*.?*",Data!C566,0)),0,1)+IF(COUNTIFS(Data!C$1:'Data'!C566,Data!C566)&gt;1,1,0)))</f>
        <v/>
      </c>
      <c r="D576" s="36" t="str">
        <f>IF(Data!B566="","",IF(ISNUMBER(Data!D566),IF(AND(Data!D566&gt;999999999,Data!D566&lt;=9999999999),IF(COUNTIFS(Data!D$1:'Data'!D566,Data!D566)&lt;=1,0,1),1),1))</f>
        <v/>
      </c>
      <c r="E576" s="36" t="str">
        <f>IF(Data!B566="","",IF(ISNUMBER(MATCH(Data!E566,Data_Val!$A$2:$A$3,0)),0,1))</f>
        <v/>
      </c>
      <c r="F576" s="36" t="str">
        <f ca="1">IF(Data!B566="","",IF(ISNUMBER(Data!F566),IF(AND(Data!F566&gt;(TODAY()-(Data_Val!$H$3*365.25)),Data!F566&lt;=(TODAY()-(Data_Val!$H$2*365.25))),0,1),1))</f>
        <v/>
      </c>
      <c r="G576" s="12" t="str">
        <f>IF(Data!B566="","",IF(AND(Data!G566="",Data!H566&lt;&gt;""),1,IF(ISNUMBER(MATCH(Data!G566,Data_Val!$C$2:$C$5,0)),0,1)))</f>
        <v/>
      </c>
      <c r="H576" s="12" t="str">
        <f>IF(Data!B566="","",IF(AND(Data!G566&lt;&gt;"",Data!H566=""),1,IF(Data!G566="",1,IF(ISNUMBER(MATCH(Data!H566,Data_Val!$D$2:$D$35,0)),0,1))))</f>
        <v/>
      </c>
      <c r="I576" s="38" t="str">
        <f>IF(Data!G566="","",IF(Data!G566=Data_Val!$C$2,IF(Data!I566="",0,1),0))</f>
        <v/>
      </c>
      <c r="J576" s="38" t="str">
        <f>IF(Data!I566="","",IF(ISNUMBER(MATCH(Data!J566,Data_Val!$A$2:$A$3,0)),0,1))</f>
        <v/>
      </c>
      <c r="K576" s="38" t="str">
        <f ca="1">IF(Data!I566="","",IF(ISNUMBER(Data!K566),IF(AND(Data!K566&gt;(TODAY()-(Data_Val!$K$3*365.25)),Data!K566&lt;=(TODAY()-(Data_Val!$K$2*365.25))),0,1),1))</f>
        <v/>
      </c>
      <c r="L576" s="16" t="str">
        <f>IF(Data!G566="","",IF(Data!G566=Data_Val!$C$2,IF(Data!L566="",0,1),0))</f>
        <v/>
      </c>
      <c r="M576" s="16" t="str">
        <f>IF(Data!L566="","",IF(ISNUMBER(MATCH(Data!M566,Data_Val!$A$2:$A$3,0)),0,1))</f>
        <v/>
      </c>
      <c r="N576" s="43" t="str">
        <f ca="1">IF(Data!L566="","",IF(ISNUMBER(Data!N566),IF(AND(Data!N566&gt;(TODAY()-(Data_Val!$L$3*365.25)),Data!N566&lt;=(TODAY()-(Data_Val!$L$2*365.25))),0,1),1))</f>
        <v/>
      </c>
      <c r="O576" s="18" t="str">
        <f>IF(Data!$G566="","",IF(Data!$G566=Data_Val!$C$2,IF(Data!O566="",0,1),0))</f>
        <v/>
      </c>
      <c r="P576" s="18" t="str">
        <f>IF(Data!O566="","",IF(ISNUMBER(MATCH(Data!P566,Data_Val!$A$2:$A$3,0)),0,1))</f>
        <v/>
      </c>
      <c r="Q576" s="44" t="str">
        <f ca="1">IF(Data!O566="","",IF(ISNUMBER(Data!Q566),IF(AND(Data!Q566&gt;(TODAY()-(Data_Val!$L$3*365.25)),Data!Q566&lt;=(TODAY()-(Data_Val!$L$2*365.25))),0,1),1))</f>
        <v/>
      </c>
    </row>
    <row r="577" spans="1:17" ht="12" customHeight="1" x14ac:dyDescent="0.25">
      <c r="A577" s="36" t="str">
        <f>IF(Data!B567="","",IF(COUNTIFS(Data!A$1:'Data'!A567,Data!A567)&lt;=1,0,1))</f>
        <v/>
      </c>
      <c r="B577" s="36"/>
      <c r="C577" s="36" t="str">
        <f>IF(Data!C567="","",(IF(ISNUMBER(MATCH("*@*.?*",Data!C567,0)),0,1)+IF(COUNTIFS(Data!C$1:'Data'!C567,Data!C567)&gt;1,1,0)))</f>
        <v/>
      </c>
      <c r="D577" s="36" t="str">
        <f>IF(Data!B567="","",IF(ISNUMBER(Data!D567),IF(AND(Data!D567&gt;999999999,Data!D567&lt;=9999999999),IF(COUNTIFS(Data!D$1:'Data'!D567,Data!D567)&lt;=1,0,1),1),1))</f>
        <v/>
      </c>
      <c r="E577" s="36" t="str">
        <f>IF(Data!B567="","",IF(ISNUMBER(MATCH(Data!E567,Data_Val!$A$2:$A$3,0)),0,1))</f>
        <v/>
      </c>
      <c r="F577" s="36" t="str">
        <f ca="1">IF(Data!B567="","",IF(ISNUMBER(Data!F567),IF(AND(Data!F567&gt;(TODAY()-(Data_Val!$H$3*365.25)),Data!F567&lt;=(TODAY()-(Data_Val!$H$2*365.25))),0,1),1))</f>
        <v/>
      </c>
      <c r="G577" s="12" t="str">
        <f>IF(Data!B567="","",IF(AND(Data!G567="",Data!H567&lt;&gt;""),1,IF(ISNUMBER(MATCH(Data!G567,Data_Val!$C$2:$C$5,0)),0,1)))</f>
        <v/>
      </c>
      <c r="H577" s="12" t="str">
        <f>IF(Data!B567="","",IF(AND(Data!G567&lt;&gt;"",Data!H567=""),1,IF(Data!G567="",1,IF(ISNUMBER(MATCH(Data!H567,Data_Val!$D$2:$D$35,0)),0,1))))</f>
        <v/>
      </c>
      <c r="I577" s="38" t="str">
        <f>IF(Data!G567="","",IF(Data!G567=Data_Val!$C$2,IF(Data!I567="",0,1),0))</f>
        <v/>
      </c>
      <c r="J577" s="38" t="str">
        <f>IF(Data!I567="","",IF(ISNUMBER(MATCH(Data!J567,Data_Val!$A$2:$A$3,0)),0,1))</f>
        <v/>
      </c>
      <c r="K577" s="38" t="str">
        <f ca="1">IF(Data!I567="","",IF(ISNUMBER(Data!K567),IF(AND(Data!K567&gt;(TODAY()-(Data_Val!$K$3*365.25)),Data!K567&lt;=(TODAY()-(Data_Val!$K$2*365.25))),0,1),1))</f>
        <v/>
      </c>
      <c r="L577" s="16" t="str">
        <f>IF(Data!G567="","",IF(Data!G567=Data_Val!$C$2,IF(Data!L567="",0,1),0))</f>
        <v/>
      </c>
      <c r="M577" s="16" t="str">
        <f>IF(Data!L567="","",IF(ISNUMBER(MATCH(Data!M567,Data_Val!$A$2:$A$3,0)),0,1))</f>
        <v/>
      </c>
      <c r="N577" s="43" t="str">
        <f ca="1">IF(Data!L567="","",IF(ISNUMBER(Data!N567),IF(AND(Data!N567&gt;(TODAY()-(Data_Val!$L$3*365.25)),Data!N567&lt;=(TODAY()-(Data_Val!$L$2*365.25))),0,1),1))</f>
        <v/>
      </c>
      <c r="O577" s="18" t="str">
        <f>IF(Data!$G567="","",IF(Data!$G567=Data_Val!$C$2,IF(Data!O567="",0,1),0))</f>
        <v/>
      </c>
      <c r="P577" s="18" t="str">
        <f>IF(Data!O567="","",IF(ISNUMBER(MATCH(Data!P567,Data_Val!$A$2:$A$3,0)),0,1))</f>
        <v/>
      </c>
      <c r="Q577" s="44" t="str">
        <f ca="1">IF(Data!O567="","",IF(ISNUMBER(Data!Q567),IF(AND(Data!Q567&gt;(TODAY()-(Data_Val!$L$3*365.25)),Data!Q567&lt;=(TODAY()-(Data_Val!$L$2*365.25))),0,1),1))</f>
        <v/>
      </c>
    </row>
    <row r="578" spans="1:17" ht="12" customHeight="1" x14ac:dyDescent="0.25">
      <c r="A578" s="36" t="str">
        <f>IF(Data!B568="","",IF(COUNTIFS(Data!A$1:'Data'!A568,Data!A568)&lt;=1,0,1))</f>
        <v/>
      </c>
      <c r="B578" s="36"/>
      <c r="C578" s="36" t="str">
        <f>IF(Data!C568="","",(IF(ISNUMBER(MATCH("*@*.?*",Data!C568,0)),0,1)+IF(COUNTIFS(Data!C$1:'Data'!C568,Data!C568)&gt;1,1,0)))</f>
        <v/>
      </c>
      <c r="D578" s="36" t="str">
        <f>IF(Data!B568="","",IF(ISNUMBER(Data!D568),IF(AND(Data!D568&gt;999999999,Data!D568&lt;=9999999999),IF(COUNTIFS(Data!D$1:'Data'!D568,Data!D568)&lt;=1,0,1),1),1))</f>
        <v/>
      </c>
      <c r="E578" s="36" t="str">
        <f>IF(Data!B568="","",IF(ISNUMBER(MATCH(Data!E568,Data_Val!$A$2:$A$3,0)),0,1))</f>
        <v/>
      </c>
      <c r="F578" s="36" t="str">
        <f ca="1">IF(Data!B568="","",IF(ISNUMBER(Data!F568),IF(AND(Data!F568&gt;(TODAY()-(Data_Val!$H$3*365.25)),Data!F568&lt;=(TODAY()-(Data_Val!$H$2*365.25))),0,1),1))</f>
        <v/>
      </c>
      <c r="G578" s="12" t="str">
        <f>IF(Data!B568="","",IF(AND(Data!G568="",Data!H568&lt;&gt;""),1,IF(ISNUMBER(MATCH(Data!G568,Data_Val!$C$2:$C$5,0)),0,1)))</f>
        <v/>
      </c>
      <c r="H578" s="12" t="str">
        <f>IF(Data!B568="","",IF(AND(Data!G568&lt;&gt;"",Data!H568=""),1,IF(Data!G568="",1,IF(ISNUMBER(MATCH(Data!H568,Data_Val!$D$2:$D$35,0)),0,1))))</f>
        <v/>
      </c>
      <c r="I578" s="38" t="str">
        <f>IF(Data!G568="","",IF(Data!G568=Data_Val!$C$2,IF(Data!I568="",0,1),0))</f>
        <v/>
      </c>
      <c r="J578" s="38" t="str">
        <f>IF(Data!I568="","",IF(ISNUMBER(MATCH(Data!J568,Data_Val!$A$2:$A$3,0)),0,1))</f>
        <v/>
      </c>
      <c r="K578" s="38" t="str">
        <f ca="1">IF(Data!I568="","",IF(ISNUMBER(Data!K568),IF(AND(Data!K568&gt;(TODAY()-(Data_Val!$K$3*365.25)),Data!K568&lt;=(TODAY()-(Data_Val!$K$2*365.25))),0,1),1))</f>
        <v/>
      </c>
      <c r="L578" s="16" t="str">
        <f>IF(Data!G568="","",IF(Data!G568=Data_Val!$C$2,IF(Data!L568="",0,1),0))</f>
        <v/>
      </c>
      <c r="M578" s="16" t="str">
        <f>IF(Data!L568="","",IF(ISNUMBER(MATCH(Data!M568,Data_Val!$A$2:$A$3,0)),0,1))</f>
        <v/>
      </c>
      <c r="N578" s="43" t="str">
        <f ca="1">IF(Data!L568="","",IF(ISNUMBER(Data!N568),IF(AND(Data!N568&gt;(TODAY()-(Data_Val!$L$3*365.25)),Data!N568&lt;=(TODAY()-(Data_Val!$L$2*365.25))),0,1),1))</f>
        <v/>
      </c>
      <c r="O578" s="18" t="str">
        <f>IF(Data!$G568="","",IF(Data!$G568=Data_Val!$C$2,IF(Data!O568="",0,1),0))</f>
        <v/>
      </c>
      <c r="P578" s="18" t="str">
        <f>IF(Data!O568="","",IF(ISNUMBER(MATCH(Data!P568,Data_Val!$A$2:$A$3,0)),0,1))</f>
        <v/>
      </c>
      <c r="Q578" s="44" t="str">
        <f ca="1">IF(Data!O568="","",IF(ISNUMBER(Data!Q568),IF(AND(Data!Q568&gt;(TODAY()-(Data_Val!$L$3*365.25)),Data!Q568&lt;=(TODAY()-(Data_Val!$L$2*365.25))),0,1),1))</f>
        <v/>
      </c>
    </row>
    <row r="579" spans="1:17" ht="12" customHeight="1" x14ac:dyDescent="0.25">
      <c r="A579" s="36" t="str">
        <f>IF(Data!B569="","",IF(COUNTIFS(Data!A$1:'Data'!A569,Data!A569)&lt;=1,0,1))</f>
        <v/>
      </c>
      <c r="B579" s="36"/>
      <c r="C579" s="36" t="str">
        <f>IF(Data!C569="","",(IF(ISNUMBER(MATCH("*@*.?*",Data!C569,0)),0,1)+IF(COUNTIFS(Data!C$1:'Data'!C569,Data!C569)&gt;1,1,0)))</f>
        <v/>
      </c>
      <c r="D579" s="36" t="str">
        <f>IF(Data!B569="","",IF(ISNUMBER(Data!D569),IF(AND(Data!D569&gt;999999999,Data!D569&lt;=9999999999),IF(COUNTIFS(Data!D$1:'Data'!D569,Data!D569)&lt;=1,0,1),1),1))</f>
        <v/>
      </c>
      <c r="E579" s="36" t="str">
        <f>IF(Data!B569="","",IF(ISNUMBER(MATCH(Data!E569,Data_Val!$A$2:$A$3,0)),0,1))</f>
        <v/>
      </c>
      <c r="F579" s="36" t="str">
        <f ca="1">IF(Data!B569="","",IF(ISNUMBER(Data!F569),IF(AND(Data!F569&gt;(TODAY()-(Data_Val!$H$3*365.25)),Data!F569&lt;=(TODAY()-(Data_Val!$H$2*365.25))),0,1),1))</f>
        <v/>
      </c>
      <c r="G579" s="12" t="str">
        <f>IF(Data!B569="","",IF(AND(Data!G569="",Data!H569&lt;&gt;""),1,IF(ISNUMBER(MATCH(Data!G569,Data_Val!$C$2:$C$5,0)),0,1)))</f>
        <v/>
      </c>
      <c r="H579" s="12" t="str">
        <f>IF(Data!B569="","",IF(AND(Data!G569&lt;&gt;"",Data!H569=""),1,IF(Data!G569="",1,IF(ISNUMBER(MATCH(Data!H569,Data_Val!$D$2:$D$35,0)),0,1))))</f>
        <v/>
      </c>
      <c r="I579" s="38" t="str">
        <f>IF(Data!G569="","",IF(Data!G569=Data_Val!$C$2,IF(Data!I569="",0,1),0))</f>
        <v/>
      </c>
      <c r="J579" s="38" t="str">
        <f>IF(Data!I569="","",IF(ISNUMBER(MATCH(Data!J569,Data_Val!$A$2:$A$3,0)),0,1))</f>
        <v/>
      </c>
      <c r="K579" s="38" t="str">
        <f ca="1">IF(Data!I569="","",IF(ISNUMBER(Data!K569),IF(AND(Data!K569&gt;(TODAY()-(Data_Val!$K$3*365.25)),Data!K569&lt;=(TODAY()-(Data_Val!$K$2*365.25))),0,1),1))</f>
        <v/>
      </c>
      <c r="L579" s="16" t="str">
        <f>IF(Data!G569="","",IF(Data!G569=Data_Val!$C$2,IF(Data!L569="",0,1),0))</f>
        <v/>
      </c>
      <c r="M579" s="16" t="str">
        <f>IF(Data!L569="","",IF(ISNUMBER(MATCH(Data!M569,Data_Val!$A$2:$A$3,0)),0,1))</f>
        <v/>
      </c>
      <c r="N579" s="43" t="str">
        <f ca="1">IF(Data!L569="","",IF(ISNUMBER(Data!N569),IF(AND(Data!N569&gt;(TODAY()-(Data_Val!$L$3*365.25)),Data!N569&lt;=(TODAY()-(Data_Val!$L$2*365.25))),0,1),1))</f>
        <v/>
      </c>
      <c r="O579" s="18" t="str">
        <f>IF(Data!$G569="","",IF(Data!$G569=Data_Val!$C$2,IF(Data!O569="",0,1),0))</f>
        <v/>
      </c>
      <c r="P579" s="18" t="str">
        <f>IF(Data!O569="","",IF(ISNUMBER(MATCH(Data!P569,Data_Val!$A$2:$A$3,0)),0,1))</f>
        <v/>
      </c>
      <c r="Q579" s="44" t="str">
        <f ca="1">IF(Data!O569="","",IF(ISNUMBER(Data!Q569),IF(AND(Data!Q569&gt;(TODAY()-(Data_Val!$L$3*365.25)),Data!Q569&lt;=(TODAY()-(Data_Val!$L$2*365.25))),0,1),1))</f>
        <v/>
      </c>
    </row>
    <row r="580" spans="1:17" ht="12" customHeight="1" x14ac:dyDescent="0.25">
      <c r="A580" s="36" t="str">
        <f>IF(Data!B570="","",IF(COUNTIFS(Data!A$1:'Data'!A570,Data!A570)&lt;=1,0,1))</f>
        <v/>
      </c>
      <c r="B580" s="36"/>
      <c r="C580" s="36" t="str">
        <f>IF(Data!C570="","",(IF(ISNUMBER(MATCH("*@*.?*",Data!C570,0)),0,1)+IF(COUNTIFS(Data!C$1:'Data'!C570,Data!C570)&gt;1,1,0)))</f>
        <v/>
      </c>
      <c r="D580" s="36" t="str">
        <f>IF(Data!B570="","",IF(ISNUMBER(Data!D570),IF(AND(Data!D570&gt;999999999,Data!D570&lt;=9999999999),IF(COUNTIFS(Data!D$1:'Data'!D570,Data!D570)&lt;=1,0,1),1),1))</f>
        <v/>
      </c>
      <c r="E580" s="36" t="str">
        <f>IF(Data!B570="","",IF(ISNUMBER(MATCH(Data!E570,Data_Val!$A$2:$A$3,0)),0,1))</f>
        <v/>
      </c>
      <c r="F580" s="36" t="str">
        <f ca="1">IF(Data!B570="","",IF(ISNUMBER(Data!F570),IF(AND(Data!F570&gt;(TODAY()-(Data_Val!$H$3*365.25)),Data!F570&lt;=(TODAY()-(Data_Val!$H$2*365.25))),0,1),1))</f>
        <v/>
      </c>
      <c r="G580" s="12" t="str">
        <f>IF(Data!B570="","",IF(AND(Data!G570="",Data!H570&lt;&gt;""),1,IF(ISNUMBER(MATCH(Data!G570,Data_Val!$C$2:$C$5,0)),0,1)))</f>
        <v/>
      </c>
      <c r="H580" s="12" t="str">
        <f>IF(Data!B570="","",IF(AND(Data!G570&lt;&gt;"",Data!H570=""),1,IF(Data!G570="",1,IF(ISNUMBER(MATCH(Data!H570,Data_Val!$D$2:$D$35,0)),0,1))))</f>
        <v/>
      </c>
      <c r="I580" s="38" t="str">
        <f>IF(Data!G570="","",IF(Data!G570=Data_Val!$C$2,IF(Data!I570="",0,1),0))</f>
        <v/>
      </c>
      <c r="J580" s="38" t="str">
        <f>IF(Data!I570="","",IF(ISNUMBER(MATCH(Data!J570,Data_Val!$A$2:$A$3,0)),0,1))</f>
        <v/>
      </c>
      <c r="K580" s="38" t="str">
        <f ca="1">IF(Data!I570="","",IF(ISNUMBER(Data!K570),IF(AND(Data!K570&gt;(TODAY()-(Data_Val!$K$3*365.25)),Data!K570&lt;=(TODAY()-(Data_Val!$K$2*365.25))),0,1),1))</f>
        <v/>
      </c>
      <c r="L580" s="16" t="str">
        <f>IF(Data!G570="","",IF(Data!G570=Data_Val!$C$2,IF(Data!L570="",0,1),0))</f>
        <v/>
      </c>
      <c r="M580" s="16" t="str">
        <f>IF(Data!L570="","",IF(ISNUMBER(MATCH(Data!M570,Data_Val!$A$2:$A$3,0)),0,1))</f>
        <v/>
      </c>
      <c r="N580" s="43" t="str">
        <f ca="1">IF(Data!L570="","",IF(ISNUMBER(Data!N570),IF(AND(Data!N570&gt;(TODAY()-(Data_Val!$L$3*365.25)),Data!N570&lt;=(TODAY()-(Data_Val!$L$2*365.25))),0,1),1))</f>
        <v/>
      </c>
      <c r="O580" s="18" t="str">
        <f>IF(Data!$G570="","",IF(Data!$G570=Data_Val!$C$2,IF(Data!O570="",0,1),0))</f>
        <v/>
      </c>
      <c r="P580" s="18" t="str">
        <f>IF(Data!O570="","",IF(ISNUMBER(MATCH(Data!P570,Data_Val!$A$2:$A$3,0)),0,1))</f>
        <v/>
      </c>
      <c r="Q580" s="44" t="str">
        <f ca="1">IF(Data!O570="","",IF(ISNUMBER(Data!Q570),IF(AND(Data!Q570&gt;(TODAY()-(Data_Val!$L$3*365.25)),Data!Q570&lt;=(TODAY()-(Data_Val!$L$2*365.25))),0,1),1))</f>
        <v/>
      </c>
    </row>
    <row r="581" spans="1:17" ht="12" customHeight="1" x14ac:dyDescent="0.25">
      <c r="A581" s="36" t="str">
        <f>IF(Data!B571="","",IF(COUNTIFS(Data!A$1:'Data'!A571,Data!A571)&lt;=1,0,1))</f>
        <v/>
      </c>
      <c r="B581" s="36"/>
      <c r="C581" s="36" t="str">
        <f>IF(Data!C571="","",(IF(ISNUMBER(MATCH("*@*.?*",Data!C571,0)),0,1)+IF(COUNTIFS(Data!C$1:'Data'!C571,Data!C571)&gt;1,1,0)))</f>
        <v/>
      </c>
      <c r="D581" s="36" t="str">
        <f>IF(Data!B571="","",IF(ISNUMBER(Data!D571),IF(AND(Data!D571&gt;999999999,Data!D571&lt;=9999999999),IF(COUNTIFS(Data!D$1:'Data'!D571,Data!D571)&lt;=1,0,1),1),1))</f>
        <v/>
      </c>
      <c r="E581" s="36" t="str">
        <f>IF(Data!B571="","",IF(ISNUMBER(MATCH(Data!E571,Data_Val!$A$2:$A$3,0)),0,1))</f>
        <v/>
      </c>
      <c r="F581" s="36" t="str">
        <f ca="1">IF(Data!B571="","",IF(ISNUMBER(Data!F571),IF(AND(Data!F571&gt;(TODAY()-(Data_Val!$H$3*365.25)),Data!F571&lt;=(TODAY()-(Data_Val!$H$2*365.25))),0,1),1))</f>
        <v/>
      </c>
      <c r="G581" s="12" t="str">
        <f>IF(Data!B571="","",IF(AND(Data!G571="",Data!H571&lt;&gt;""),1,IF(ISNUMBER(MATCH(Data!G571,Data_Val!$C$2:$C$5,0)),0,1)))</f>
        <v/>
      </c>
      <c r="H581" s="12" t="str">
        <f>IF(Data!B571="","",IF(AND(Data!G571&lt;&gt;"",Data!H571=""),1,IF(Data!G571="",1,IF(ISNUMBER(MATCH(Data!H571,Data_Val!$D$2:$D$35,0)),0,1))))</f>
        <v/>
      </c>
      <c r="I581" s="38" t="str">
        <f>IF(Data!G571="","",IF(Data!G571=Data_Val!$C$2,IF(Data!I571="",0,1),0))</f>
        <v/>
      </c>
      <c r="J581" s="38" t="str">
        <f>IF(Data!I571="","",IF(ISNUMBER(MATCH(Data!J571,Data_Val!$A$2:$A$3,0)),0,1))</f>
        <v/>
      </c>
      <c r="K581" s="38" t="str">
        <f ca="1">IF(Data!I571="","",IF(ISNUMBER(Data!K571),IF(AND(Data!K571&gt;(TODAY()-(Data_Val!$K$3*365.25)),Data!K571&lt;=(TODAY()-(Data_Val!$K$2*365.25))),0,1),1))</f>
        <v/>
      </c>
      <c r="L581" s="16" t="str">
        <f>IF(Data!G571="","",IF(Data!G571=Data_Val!$C$2,IF(Data!L571="",0,1),0))</f>
        <v/>
      </c>
      <c r="M581" s="16" t="str">
        <f>IF(Data!L571="","",IF(ISNUMBER(MATCH(Data!M571,Data_Val!$A$2:$A$3,0)),0,1))</f>
        <v/>
      </c>
      <c r="N581" s="43" t="str">
        <f ca="1">IF(Data!L571="","",IF(ISNUMBER(Data!N571),IF(AND(Data!N571&gt;(TODAY()-(Data_Val!$L$3*365.25)),Data!N571&lt;=(TODAY()-(Data_Val!$L$2*365.25))),0,1),1))</f>
        <v/>
      </c>
      <c r="O581" s="18" t="str">
        <f>IF(Data!$G571="","",IF(Data!$G571=Data_Val!$C$2,IF(Data!O571="",0,1),0))</f>
        <v/>
      </c>
      <c r="P581" s="18" t="str">
        <f>IF(Data!O571="","",IF(ISNUMBER(MATCH(Data!P571,Data_Val!$A$2:$A$3,0)),0,1))</f>
        <v/>
      </c>
      <c r="Q581" s="44" t="str">
        <f ca="1">IF(Data!O571="","",IF(ISNUMBER(Data!Q571),IF(AND(Data!Q571&gt;(TODAY()-(Data_Val!$L$3*365.25)),Data!Q571&lt;=(TODAY()-(Data_Val!$L$2*365.25))),0,1),1))</f>
        <v/>
      </c>
    </row>
    <row r="582" spans="1:17" ht="12" customHeight="1" x14ac:dyDescent="0.25">
      <c r="A582" s="36" t="str">
        <f>IF(Data!B572="","",IF(COUNTIFS(Data!A$1:'Data'!A572,Data!A572)&lt;=1,0,1))</f>
        <v/>
      </c>
      <c r="B582" s="36"/>
      <c r="C582" s="36" t="str">
        <f>IF(Data!C572="","",(IF(ISNUMBER(MATCH("*@*.?*",Data!C572,0)),0,1)+IF(COUNTIFS(Data!C$1:'Data'!C572,Data!C572)&gt;1,1,0)))</f>
        <v/>
      </c>
      <c r="D582" s="36" t="str">
        <f>IF(Data!B572="","",IF(ISNUMBER(Data!D572),IF(AND(Data!D572&gt;999999999,Data!D572&lt;=9999999999),IF(COUNTIFS(Data!D$1:'Data'!D572,Data!D572)&lt;=1,0,1),1),1))</f>
        <v/>
      </c>
      <c r="E582" s="36" t="str">
        <f>IF(Data!B572="","",IF(ISNUMBER(MATCH(Data!E572,Data_Val!$A$2:$A$3,0)),0,1))</f>
        <v/>
      </c>
      <c r="F582" s="36" t="str">
        <f ca="1">IF(Data!B572="","",IF(ISNUMBER(Data!F572),IF(AND(Data!F572&gt;(TODAY()-(Data_Val!$H$3*365.25)),Data!F572&lt;=(TODAY()-(Data_Val!$H$2*365.25))),0,1),1))</f>
        <v/>
      </c>
      <c r="G582" s="12" t="str">
        <f>IF(Data!B572="","",IF(AND(Data!G572="",Data!H572&lt;&gt;""),1,IF(ISNUMBER(MATCH(Data!G572,Data_Val!$C$2:$C$5,0)),0,1)))</f>
        <v/>
      </c>
      <c r="H582" s="12" t="str">
        <f>IF(Data!B572="","",IF(AND(Data!G572&lt;&gt;"",Data!H572=""),1,IF(Data!G572="",1,IF(ISNUMBER(MATCH(Data!H572,Data_Val!$D$2:$D$35,0)),0,1))))</f>
        <v/>
      </c>
      <c r="I582" s="38" t="str">
        <f>IF(Data!G572="","",IF(Data!G572=Data_Val!$C$2,IF(Data!I572="",0,1),0))</f>
        <v/>
      </c>
      <c r="J582" s="38" t="str">
        <f>IF(Data!I572="","",IF(ISNUMBER(MATCH(Data!J572,Data_Val!$A$2:$A$3,0)),0,1))</f>
        <v/>
      </c>
      <c r="K582" s="38" t="str">
        <f ca="1">IF(Data!I572="","",IF(ISNUMBER(Data!K572),IF(AND(Data!K572&gt;(TODAY()-(Data_Val!$K$3*365.25)),Data!K572&lt;=(TODAY()-(Data_Val!$K$2*365.25))),0,1),1))</f>
        <v/>
      </c>
      <c r="L582" s="16" t="str">
        <f>IF(Data!G572="","",IF(Data!G572=Data_Val!$C$2,IF(Data!L572="",0,1),0))</f>
        <v/>
      </c>
      <c r="M582" s="16" t="str">
        <f>IF(Data!L572="","",IF(ISNUMBER(MATCH(Data!M572,Data_Val!$A$2:$A$3,0)),0,1))</f>
        <v/>
      </c>
      <c r="N582" s="43" t="str">
        <f ca="1">IF(Data!L572="","",IF(ISNUMBER(Data!N572),IF(AND(Data!N572&gt;(TODAY()-(Data_Val!$L$3*365.25)),Data!N572&lt;=(TODAY()-(Data_Val!$L$2*365.25))),0,1),1))</f>
        <v/>
      </c>
      <c r="O582" s="18" t="str">
        <f>IF(Data!$G572="","",IF(Data!$G572=Data_Val!$C$2,IF(Data!O572="",0,1),0))</f>
        <v/>
      </c>
      <c r="P582" s="18" t="str">
        <f>IF(Data!O572="","",IF(ISNUMBER(MATCH(Data!P572,Data_Val!$A$2:$A$3,0)),0,1))</f>
        <v/>
      </c>
      <c r="Q582" s="44" t="str">
        <f ca="1">IF(Data!O572="","",IF(ISNUMBER(Data!Q572),IF(AND(Data!Q572&gt;(TODAY()-(Data_Val!$L$3*365.25)),Data!Q572&lt;=(TODAY()-(Data_Val!$L$2*365.25))),0,1),1))</f>
        <v/>
      </c>
    </row>
    <row r="583" spans="1:17" ht="12" customHeight="1" x14ac:dyDescent="0.25">
      <c r="A583" s="36" t="str">
        <f>IF(Data!B573="","",IF(COUNTIFS(Data!A$1:'Data'!A573,Data!A573)&lt;=1,0,1))</f>
        <v/>
      </c>
      <c r="B583" s="36"/>
      <c r="C583" s="36" t="str">
        <f>IF(Data!C573="","",(IF(ISNUMBER(MATCH("*@*.?*",Data!C573,0)),0,1)+IF(COUNTIFS(Data!C$1:'Data'!C573,Data!C573)&gt;1,1,0)))</f>
        <v/>
      </c>
      <c r="D583" s="36" t="str">
        <f>IF(Data!B573="","",IF(ISNUMBER(Data!D573),IF(AND(Data!D573&gt;999999999,Data!D573&lt;=9999999999),IF(COUNTIFS(Data!D$1:'Data'!D573,Data!D573)&lt;=1,0,1),1),1))</f>
        <v/>
      </c>
      <c r="E583" s="36" t="str">
        <f>IF(Data!B573="","",IF(ISNUMBER(MATCH(Data!E573,Data_Val!$A$2:$A$3,0)),0,1))</f>
        <v/>
      </c>
      <c r="F583" s="36" t="str">
        <f ca="1">IF(Data!B573="","",IF(ISNUMBER(Data!F573),IF(AND(Data!F573&gt;(TODAY()-(Data_Val!$H$3*365.25)),Data!F573&lt;=(TODAY()-(Data_Val!$H$2*365.25))),0,1),1))</f>
        <v/>
      </c>
      <c r="G583" s="12" t="str">
        <f>IF(Data!B573="","",IF(AND(Data!G573="",Data!H573&lt;&gt;""),1,IF(ISNUMBER(MATCH(Data!G573,Data_Val!$C$2:$C$5,0)),0,1)))</f>
        <v/>
      </c>
      <c r="H583" s="12" t="str">
        <f>IF(Data!B573="","",IF(AND(Data!G573&lt;&gt;"",Data!H573=""),1,IF(Data!G573="",1,IF(ISNUMBER(MATCH(Data!H573,Data_Val!$D$2:$D$35,0)),0,1))))</f>
        <v/>
      </c>
      <c r="I583" s="38" t="str">
        <f>IF(Data!G573="","",IF(Data!G573=Data_Val!$C$2,IF(Data!I573="",0,1),0))</f>
        <v/>
      </c>
      <c r="J583" s="38" t="str">
        <f>IF(Data!I573="","",IF(ISNUMBER(MATCH(Data!J573,Data_Val!$A$2:$A$3,0)),0,1))</f>
        <v/>
      </c>
      <c r="K583" s="38" t="str">
        <f ca="1">IF(Data!I573="","",IF(ISNUMBER(Data!K573),IF(AND(Data!K573&gt;(TODAY()-(Data_Val!$K$3*365.25)),Data!K573&lt;=(TODAY()-(Data_Val!$K$2*365.25))),0,1),1))</f>
        <v/>
      </c>
      <c r="L583" s="16" t="str">
        <f>IF(Data!G573="","",IF(Data!G573=Data_Val!$C$2,IF(Data!L573="",0,1),0))</f>
        <v/>
      </c>
      <c r="M583" s="16" t="str">
        <f>IF(Data!L573="","",IF(ISNUMBER(MATCH(Data!M573,Data_Val!$A$2:$A$3,0)),0,1))</f>
        <v/>
      </c>
      <c r="N583" s="43" t="str">
        <f ca="1">IF(Data!L573="","",IF(ISNUMBER(Data!N573),IF(AND(Data!N573&gt;(TODAY()-(Data_Val!$L$3*365.25)),Data!N573&lt;=(TODAY()-(Data_Val!$L$2*365.25))),0,1),1))</f>
        <v/>
      </c>
      <c r="O583" s="18" t="str">
        <f>IF(Data!$G573="","",IF(Data!$G573=Data_Val!$C$2,IF(Data!O573="",0,1),0))</f>
        <v/>
      </c>
      <c r="P583" s="18" t="str">
        <f>IF(Data!O573="","",IF(ISNUMBER(MATCH(Data!P573,Data_Val!$A$2:$A$3,0)),0,1))</f>
        <v/>
      </c>
      <c r="Q583" s="44" t="str">
        <f ca="1">IF(Data!O573="","",IF(ISNUMBER(Data!Q573),IF(AND(Data!Q573&gt;(TODAY()-(Data_Val!$L$3*365.25)),Data!Q573&lt;=(TODAY()-(Data_Val!$L$2*365.25))),0,1),1))</f>
        <v/>
      </c>
    </row>
    <row r="584" spans="1:17" ht="12" customHeight="1" x14ac:dyDescent="0.25">
      <c r="A584" s="36" t="str">
        <f>IF(Data!B574="","",IF(COUNTIFS(Data!A$1:'Data'!A574,Data!A574)&lt;=1,0,1))</f>
        <v/>
      </c>
      <c r="B584" s="36"/>
      <c r="C584" s="36" t="str">
        <f>IF(Data!C574="","",(IF(ISNUMBER(MATCH("*@*.?*",Data!C574,0)),0,1)+IF(COUNTIFS(Data!C$1:'Data'!C574,Data!C574)&gt;1,1,0)))</f>
        <v/>
      </c>
      <c r="D584" s="36" t="str">
        <f>IF(Data!B574="","",IF(ISNUMBER(Data!D574),IF(AND(Data!D574&gt;999999999,Data!D574&lt;=9999999999),IF(COUNTIFS(Data!D$1:'Data'!D574,Data!D574)&lt;=1,0,1),1),1))</f>
        <v/>
      </c>
      <c r="E584" s="36" t="str">
        <f>IF(Data!B574="","",IF(ISNUMBER(MATCH(Data!E574,Data_Val!$A$2:$A$3,0)),0,1))</f>
        <v/>
      </c>
      <c r="F584" s="36" t="str">
        <f ca="1">IF(Data!B574="","",IF(ISNUMBER(Data!F574),IF(AND(Data!F574&gt;(TODAY()-(Data_Val!$H$3*365.25)),Data!F574&lt;=(TODAY()-(Data_Val!$H$2*365.25))),0,1),1))</f>
        <v/>
      </c>
      <c r="G584" s="12" t="str">
        <f>IF(Data!B574="","",IF(AND(Data!G574="",Data!H574&lt;&gt;""),1,IF(ISNUMBER(MATCH(Data!G574,Data_Val!$C$2:$C$5,0)),0,1)))</f>
        <v/>
      </c>
      <c r="H584" s="12" t="str">
        <f>IF(Data!B574="","",IF(AND(Data!G574&lt;&gt;"",Data!H574=""),1,IF(Data!G574="",1,IF(ISNUMBER(MATCH(Data!H574,Data_Val!$D$2:$D$35,0)),0,1))))</f>
        <v/>
      </c>
      <c r="I584" s="38" t="str">
        <f>IF(Data!G574="","",IF(Data!G574=Data_Val!$C$2,IF(Data!I574="",0,1),0))</f>
        <v/>
      </c>
      <c r="J584" s="38" t="str">
        <f>IF(Data!I574="","",IF(ISNUMBER(MATCH(Data!J574,Data_Val!$A$2:$A$3,0)),0,1))</f>
        <v/>
      </c>
      <c r="K584" s="38" t="str">
        <f ca="1">IF(Data!I574="","",IF(ISNUMBER(Data!K574),IF(AND(Data!K574&gt;(TODAY()-(Data_Val!$K$3*365.25)),Data!K574&lt;=(TODAY()-(Data_Val!$K$2*365.25))),0,1),1))</f>
        <v/>
      </c>
      <c r="L584" s="16" t="str">
        <f>IF(Data!G574="","",IF(Data!G574=Data_Val!$C$2,IF(Data!L574="",0,1),0))</f>
        <v/>
      </c>
      <c r="M584" s="16" t="str">
        <f>IF(Data!L574="","",IF(ISNUMBER(MATCH(Data!M574,Data_Val!$A$2:$A$3,0)),0,1))</f>
        <v/>
      </c>
      <c r="N584" s="43" t="str">
        <f ca="1">IF(Data!L574="","",IF(ISNUMBER(Data!N574),IF(AND(Data!N574&gt;(TODAY()-(Data_Val!$L$3*365.25)),Data!N574&lt;=(TODAY()-(Data_Val!$L$2*365.25))),0,1),1))</f>
        <v/>
      </c>
      <c r="O584" s="18" t="str">
        <f>IF(Data!$G574="","",IF(Data!$G574=Data_Val!$C$2,IF(Data!O574="",0,1),0))</f>
        <v/>
      </c>
      <c r="P584" s="18" t="str">
        <f>IF(Data!O574="","",IF(ISNUMBER(MATCH(Data!P574,Data_Val!$A$2:$A$3,0)),0,1))</f>
        <v/>
      </c>
      <c r="Q584" s="44" t="str">
        <f ca="1">IF(Data!O574="","",IF(ISNUMBER(Data!Q574),IF(AND(Data!Q574&gt;(TODAY()-(Data_Val!$L$3*365.25)),Data!Q574&lt;=(TODAY()-(Data_Val!$L$2*365.25))),0,1),1))</f>
        <v/>
      </c>
    </row>
    <row r="585" spans="1:17" ht="12" customHeight="1" x14ac:dyDescent="0.25">
      <c r="A585" s="36" t="str">
        <f>IF(Data!B575="","",IF(COUNTIFS(Data!A$1:'Data'!A575,Data!A575)&lt;=1,0,1))</f>
        <v/>
      </c>
      <c r="B585" s="36"/>
      <c r="C585" s="36" t="str">
        <f>IF(Data!C575="","",(IF(ISNUMBER(MATCH("*@*.?*",Data!C575,0)),0,1)+IF(COUNTIFS(Data!C$1:'Data'!C575,Data!C575)&gt;1,1,0)))</f>
        <v/>
      </c>
      <c r="D585" s="36" t="str">
        <f>IF(Data!B575="","",IF(ISNUMBER(Data!D575),IF(AND(Data!D575&gt;999999999,Data!D575&lt;=9999999999),IF(COUNTIFS(Data!D$1:'Data'!D575,Data!D575)&lt;=1,0,1),1),1))</f>
        <v/>
      </c>
      <c r="E585" s="36" t="str">
        <f>IF(Data!B575="","",IF(ISNUMBER(MATCH(Data!E575,Data_Val!$A$2:$A$3,0)),0,1))</f>
        <v/>
      </c>
      <c r="F585" s="36" t="str">
        <f ca="1">IF(Data!B575="","",IF(ISNUMBER(Data!F575),IF(AND(Data!F575&gt;(TODAY()-(Data_Val!$H$3*365.25)),Data!F575&lt;=(TODAY()-(Data_Val!$H$2*365.25))),0,1),1))</f>
        <v/>
      </c>
      <c r="G585" s="12" t="str">
        <f>IF(Data!B575="","",IF(AND(Data!G575="",Data!H575&lt;&gt;""),1,IF(ISNUMBER(MATCH(Data!G575,Data_Val!$C$2:$C$5,0)),0,1)))</f>
        <v/>
      </c>
      <c r="H585" s="12" t="str">
        <f>IF(Data!B575="","",IF(AND(Data!G575&lt;&gt;"",Data!H575=""),1,IF(Data!G575="",1,IF(ISNUMBER(MATCH(Data!H575,Data_Val!$D$2:$D$35,0)),0,1))))</f>
        <v/>
      </c>
      <c r="I585" s="38" t="str">
        <f>IF(Data!G575="","",IF(Data!G575=Data_Val!$C$2,IF(Data!I575="",0,1),0))</f>
        <v/>
      </c>
      <c r="J585" s="38" t="str">
        <f>IF(Data!I575="","",IF(ISNUMBER(MATCH(Data!J575,Data_Val!$A$2:$A$3,0)),0,1))</f>
        <v/>
      </c>
      <c r="K585" s="38" t="str">
        <f ca="1">IF(Data!I575="","",IF(ISNUMBER(Data!K575),IF(AND(Data!K575&gt;(TODAY()-(Data_Val!$K$3*365.25)),Data!K575&lt;=(TODAY()-(Data_Val!$K$2*365.25))),0,1),1))</f>
        <v/>
      </c>
      <c r="L585" s="16" t="str">
        <f>IF(Data!G575="","",IF(Data!G575=Data_Val!$C$2,IF(Data!L575="",0,1),0))</f>
        <v/>
      </c>
      <c r="M585" s="16" t="str">
        <f>IF(Data!L575="","",IF(ISNUMBER(MATCH(Data!M575,Data_Val!$A$2:$A$3,0)),0,1))</f>
        <v/>
      </c>
      <c r="N585" s="43" t="str">
        <f ca="1">IF(Data!L575="","",IF(ISNUMBER(Data!N575),IF(AND(Data!N575&gt;(TODAY()-(Data_Val!$L$3*365.25)),Data!N575&lt;=(TODAY()-(Data_Val!$L$2*365.25))),0,1),1))</f>
        <v/>
      </c>
      <c r="O585" s="18" t="str">
        <f>IF(Data!$G575="","",IF(Data!$G575=Data_Val!$C$2,IF(Data!O575="",0,1),0))</f>
        <v/>
      </c>
      <c r="P585" s="18" t="str">
        <f>IF(Data!O575="","",IF(ISNUMBER(MATCH(Data!P575,Data_Val!$A$2:$A$3,0)),0,1))</f>
        <v/>
      </c>
      <c r="Q585" s="44" t="str">
        <f ca="1">IF(Data!O575="","",IF(ISNUMBER(Data!Q575),IF(AND(Data!Q575&gt;(TODAY()-(Data_Val!$L$3*365.25)),Data!Q575&lt;=(TODAY()-(Data_Val!$L$2*365.25))),0,1),1))</f>
        <v/>
      </c>
    </row>
    <row r="586" spans="1:17" ht="12" customHeight="1" x14ac:dyDescent="0.25">
      <c r="A586" s="36" t="str">
        <f>IF(Data!B576="","",IF(COUNTIFS(Data!A$1:'Data'!A576,Data!A576)&lt;=1,0,1))</f>
        <v/>
      </c>
      <c r="B586" s="36"/>
      <c r="C586" s="36" t="str">
        <f>IF(Data!C576="","",(IF(ISNUMBER(MATCH("*@*.?*",Data!C576,0)),0,1)+IF(COUNTIFS(Data!C$1:'Data'!C576,Data!C576)&gt;1,1,0)))</f>
        <v/>
      </c>
      <c r="D586" s="36" t="str">
        <f>IF(Data!B576="","",IF(ISNUMBER(Data!D576),IF(AND(Data!D576&gt;999999999,Data!D576&lt;=9999999999),IF(COUNTIFS(Data!D$1:'Data'!D576,Data!D576)&lt;=1,0,1),1),1))</f>
        <v/>
      </c>
      <c r="E586" s="36" t="str">
        <f>IF(Data!B576="","",IF(ISNUMBER(MATCH(Data!E576,Data_Val!$A$2:$A$3,0)),0,1))</f>
        <v/>
      </c>
      <c r="F586" s="36" t="str">
        <f ca="1">IF(Data!B576="","",IF(ISNUMBER(Data!F576),IF(AND(Data!F576&gt;(TODAY()-(Data_Val!$H$3*365.25)),Data!F576&lt;=(TODAY()-(Data_Val!$H$2*365.25))),0,1),1))</f>
        <v/>
      </c>
      <c r="G586" s="12" t="str">
        <f>IF(Data!B576="","",IF(AND(Data!G576="",Data!H576&lt;&gt;""),1,IF(ISNUMBER(MATCH(Data!G576,Data_Val!$C$2:$C$5,0)),0,1)))</f>
        <v/>
      </c>
      <c r="H586" s="12" t="str">
        <f>IF(Data!B576="","",IF(AND(Data!G576&lt;&gt;"",Data!H576=""),1,IF(Data!G576="",1,IF(ISNUMBER(MATCH(Data!H576,Data_Val!$D$2:$D$35,0)),0,1))))</f>
        <v/>
      </c>
      <c r="I586" s="38" t="str">
        <f>IF(Data!G576="","",IF(Data!G576=Data_Val!$C$2,IF(Data!I576="",0,1),0))</f>
        <v/>
      </c>
      <c r="J586" s="38" t="str">
        <f>IF(Data!I576="","",IF(ISNUMBER(MATCH(Data!J576,Data_Val!$A$2:$A$3,0)),0,1))</f>
        <v/>
      </c>
      <c r="K586" s="38" t="str">
        <f ca="1">IF(Data!I576="","",IF(ISNUMBER(Data!K576),IF(AND(Data!K576&gt;(TODAY()-(Data_Val!$K$3*365.25)),Data!K576&lt;=(TODAY()-(Data_Val!$K$2*365.25))),0,1),1))</f>
        <v/>
      </c>
      <c r="L586" s="16" t="str">
        <f>IF(Data!G576="","",IF(Data!G576=Data_Val!$C$2,IF(Data!L576="",0,1),0))</f>
        <v/>
      </c>
      <c r="M586" s="16" t="str">
        <f>IF(Data!L576="","",IF(ISNUMBER(MATCH(Data!M576,Data_Val!$A$2:$A$3,0)),0,1))</f>
        <v/>
      </c>
      <c r="N586" s="43" t="str">
        <f ca="1">IF(Data!L576="","",IF(ISNUMBER(Data!N576),IF(AND(Data!N576&gt;(TODAY()-(Data_Val!$L$3*365.25)),Data!N576&lt;=(TODAY()-(Data_Val!$L$2*365.25))),0,1),1))</f>
        <v/>
      </c>
      <c r="O586" s="18" t="str">
        <f>IF(Data!$G576="","",IF(Data!$G576=Data_Val!$C$2,IF(Data!O576="",0,1),0))</f>
        <v/>
      </c>
      <c r="P586" s="18" t="str">
        <f>IF(Data!O576="","",IF(ISNUMBER(MATCH(Data!P576,Data_Val!$A$2:$A$3,0)),0,1))</f>
        <v/>
      </c>
      <c r="Q586" s="44" t="str">
        <f ca="1">IF(Data!O576="","",IF(ISNUMBER(Data!Q576),IF(AND(Data!Q576&gt;(TODAY()-(Data_Val!$L$3*365.25)),Data!Q576&lt;=(TODAY()-(Data_Val!$L$2*365.25))),0,1),1))</f>
        <v/>
      </c>
    </row>
    <row r="587" spans="1:17" ht="12" customHeight="1" x14ac:dyDescent="0.25">
      <c r="A587" s="36" t="str">
        <f>IF(Data!B577="","",IF(COUNTIFS(Data!A$1:'Data'!A577,Data!A577)&lt;=1,0,1))</f>
        <v/>
      </c>
      <c r="B587" s="36"/>
      <c r="C587" s="36" t="str">
        <f>IF(Data!C577="","",(IF(ISNUMBER(MATCH("*@*.?*",Data!C577,0)),0,1)+IF(COUNTIFS(Data!C$1:'Data'!C577,Data!C577)&gt;1,1,0)))</f>
        <v/>
      </c>
      <c r="D587" s="36" t="str">
        <f>IF(Data!B577="","",IF(ISNUMBER(Data!D577),IF(AND(Data!D577&gt;999999999,Data!D577&lt;=9999999999),IF(COUNTIFS(Data!D$1:'Data'!D577,Data!D577)&lt;=1,0,1),1),1))</f>
        <v/>
      </c>
      <c r="E587" s="36" t="str">
        <f>IF(Data!B577="","",IF(ISNUMBER(MATCH(Data!E577,Data_Val!$A$2:$A$3,0)),0,1))</f>
        <v/>
      </c>
      <c r="F587" s="36" t="str">
        <f ca="1">IF(Data!B577="","",IF(ISNUMBER(Data!F577),IF(AND(Data!F577&gt;(TODAY()-(Data_Val!$H$3*365.25)),Data!F577&lt;=(TODAY()-(Data_Val!$H$2*365.25))),0,1),1))</f>
        <v/>
      </c>
      <c r="G587" s="12" t="str">
        <f>IF(Data!B577="","",IF(AND(Data!G577="",Data!H577&lt;&gt;""),1,IF(ISNUMBER(MATCH(Data!G577,Data_Val!$C$2:$C$5,0)),0,1)))</f>
        <v/>
      </c>
      <c r="H587" s="12" t="str">
        <f>IF(Data!B577="","",IF(AND(Data!G577&lt;&gt;"",Data!H577=""),1,IF(Data!G577="",1,IF(ISNUMBER(MATCH(Data!H577,Data_Val!$D$2:$D$35,0)),0,1))))</f>
        <v/>
      </c>
      <c r="I587" s="38" t="str">
        <f>IF(Data!G577="","",IF(Data!G577=Data_Val!$C$2,IF(Data!I577="",0,1),0))</f>
        <v/>
      </c>
      <c r="J587" s="38" t="str">
        <f>IF(Data!I577="","",IF(ISNUMBER(MATCH(Data!J577,Data_Val!$A$2:$A$3,0)),0,1))</f>
        <v/>
      </c>
      <c r="K587" s="38" t="str">
        <f ca="1">IF(Data!I577="","",IF(ISNUMBER(Data!K577),IF(AND(Data!K577&gt;(TODAY()-(Data_Val!$K$3*365.25)),Data!K577&lt;=(TODAY()-(Data_Val!$K$2*365.25))),0,1),1))</f>
        <v/>
      </c>
      <c r="L587" s="16" t="str">
        <f>IF(Data!G577="","",IF(Data!G577=Data_Val!$C$2,IF(Data!L577="",0,1),0))</f>
        <v/>
      </c>
      <c r="M587" s="16" t="str">
        <f>IF(Data!L577="","",IF(ISNUMBER(MATCH(Data!M577,Data_Val!$A$2:$A$3,0)),0,1))</f>
        <v/>
      </c>
      <c r="N587" s="43" t="str">
        <f ca="1">IF(Data!L577="","",IF(ISNUMBER(Data!N577),IF(AND(Data!N577&gt;(TODAY()-(Data_Val!$L$3*365.25)),Data!N577&lt;=(TODAY()-(Data_Val!$L$2*365.25))),0,1),1))</f>
        <v/>
      </c>
      <c r="O587" s="18" t="str">
        <f>IF(Data!$G577="","",IF(Data!$G577=Data_Val!$C$2,IF(Data!O577="",0,1),0))</f>
        <v/>
      </c>
      <c r="P587" s="18" t="str">
        <f>IF(Data!O577="","",IF(ISNUMBER(MATCH(Data!P577,Data_Val!$A$2:$A$3,0)),0,1))</f>
        <v/>
      </c>
      <c r="Q587" s="44" t="str">
        <f ca="1">IF(Data!O577="","",IF(ISNUMBER(Data!Q577),IF(AND(Data!Q577&gt;(TODAY()-(Data_Val!$L$3*365.25)),Data!Q577&lt;=(TODAY()-(Data_Val!$L$2*365.25))),0,1),1))</f>
        <v/>
      </c>
    </row>
    <row r="588" spans="1:17" ht="12" customHeight="1" x14ac:dyDescent="0.25">
      <c r="A588" s="36" t="str">
        <f>IF(Data!B578="","",IF(COUNTIFS(Data!A$1:'Data'!A578,Data!A578)&lt;=1,0,1))</f>
        <v/>
      </c>
      <c r="B588" s="36"/>
      <c r="C588" s="36" t="str">
        <f>IF(Data!C578="","",(IF(ISNUMBER(MATCH("*@*.?*",Data!C578,0)),0,1)+IF(COUNTIFS(Data!C$1:'Data'!C578,Data!C578)&gt;1,1,0)))</f>
        <v/>
      </c>
      <c r="D588" s="36" t="str">
        <f>IF(Data!B578="","",IF(ISNUMBER(Data!D578),IF(AND(Data!D578&gt;999999999,Data!D578&lt;=9999999999),IF(COUNTIFS(Data!D$1:'Data'!D578,Data!D578)&lt;=1,0,1),1),1))</f>
        <v/>
      </c>
      <c r="E588" s="36" t="str">
        <f>IF(Data!B578="","",IF(ISNUMBER(MATCH(Data!E578,Data_Val!$A$2:$A$3,0)),0,1))</f>
        <v/>
      </c>
      <c r="F588" s="36" t="str">
        <f ca="1">IF(Data!B578="","",IF(ISNUMBER(Data!F578),IF(AND(Data!F578&gt;(TODAY()-(Data_Val!$H$3*365.25)),Data!F578&lt;=(TODAY()-(Data_Val!$H$2*365.25))),0,1),1))</f>
        <v/>
      </c>
      <c r="G588" s="12" t="str">
        <f>IF(Data!B578="","",IF(AND(Data!G578="",Data!H578&lt;&gt;""),1,IF(ISNUMBER(MATCH(Data!G578,Data_Val!$C$2:$C$5,0)),0,1)))</f>
        <v/>
      </c>
      <c r="H588" s="12" t="str">
        <f>IF(Data!B578="","",IF(AND(Data!G578&lt;&gt;"",Data!H578=""),1,IF(Data!G578="",1,IF(ISNUMBER(MATCH(Data!H578,Data_Val!$D$2:$D$35,0)),0,1))))</f>
        <v/>
      </c>
      <c r="I588" s="38" t="str">
        <f>IF(Data!G578="","",IF(Data!G578=Data_Val!$C$2,IF(Data!I578="",0,1),0))</f>
        <v/>
      </c>
      <c r="J588" s="38" t="str">
        <f>IF(Data!I578="","",IF(ISNUMBER(MATCH(Data!J578,Data_Val!$A$2:$A$3,0)),0,1))</f>
        <v/>
      </c>
      <c r="K588" s="38" t="str">
        <f ca="1">IF(Data!I578="","",IF(ISNUMBER(Data!K578),IF(AND(Data!K578&gt;(TODAY()-(Data_Val!$K$3*365.25)),Data!K578&lt;=(TODAY()-(Data_Val!$K$2*365.25))),0,1),1))</f>
        <v/>
      </c>
      <c r="L588" s="16" t="str">
        <f>IF(Data!G578="","",IF(Data!G578=Data_Val!$C$2,IF(Data!L578="",0,1),0))</f>
        <v/>
      </c>
      <c r="M588" s="16" t="str">
        <f>IF(Data!L578="","",IF(ISNUMBER(MATCH(Data!M578,Data_Val!$A$2:$A$3,0)),0,1))</f>
        <v/>
      </c>
      <c r="N588" s="43" t="str">
        <f ca="1">IF(Data!L578="","",IF(ISNUMBER(Data!N578),IF(AND(Data!N578&gt;(TODAY()-(Data_Val!$L$3*365.25)),Data!N578&lt;=(TODAY()-(Data_Val!$L$2*365.25))),0,1),1))</f>
        <v/>
      </c>
      <c r="O588" s="18" t="str">
        <f>IF(Data!$G578="","",IF(Data!$G578=Data_Val!$C$2,IF(Data!O578="",0,1),0))</f>
        <v/>
      </c>
      <c r="P588" s="18" t="str">
        <f>IF(Data!O578="","",IF(ISNUMBER(MATCH(Data!P578,Data_Val!$A$2:$A$3,0)),0,1))</f>
        <v/>
      </c>
      <c r="Q588" s="44" t="str">
        <f ca="1">IF(Data!O578="","",IF(ISNUMBER(Data!Q578),IF(AND(Data!Q578&gt;(TODAY()-(Data_Val!$L$3*365.25)),Data!Q578&lt;=(TODAY()-(Data_Val!$L$2*365.25))),0,1),1))</f>
        <v/>
      </c>
    </row>
    <row r="589" spans="1:17" ht="12" customHeight="1" x14ac:dyDescent="0.25">
      <c r="A589" s="36" t="str">
        <f>IF(Data!B579="","",IF(COUNTIFS(Data!A$1:'Data'!A579,Data!A579)&lt;=1,0,1))</f>
        <v/>
      </c>
      <c r="B589" s="36"/>
      <c r="C589" s="36" t="str">
        <f>IF(Data!C579="","",(IF(ISNUMBER(MATCH("*@*.?*",Data!C579,0)),0,1)+IF(COUNTIFS(Data!C$1:'Data'!C579,Data!C579)&gt;1,1,0)))</f>
        <v/>
      </c>
      <c r="D589" s="36" t="str">
        <f>IF(Data!B579="","",IF(ISNUMBER(Data!D579),IF(AND(Data!D579&gt;999999999,Data!D579&lt;=9999999999),IF(COUNTIFS(Data!D$1:'Data'!D579,Data!D579)&lt;=1,0,1),1),1))</f>
        <v/>
      </c>
      <c r="E589" s="36" t="str">
        <f>IF(Data!B579="","",IF(ISNUMBER(MATCH(Data!E579,Data_Val!$A$2:$A$3,0)),0,1))</f>
        <v/>
      </c>
      <c r="F589" s="36" t="str">
        <f ca="1">IF(Data!B579="","",IF(ISNUMBER(Data!F579),IF(AND(Data!F579&gt;(TODAY()-(Data_Val!$H$3*365.25)),Data!F579&lt;=(TODAY()-(Data_Val!$H$2*365.25))),0,1),1))</f>
        <v/>
      </c>
      <c r="G589" s="12" t="str">
        <f>IF(Data!B579="","",IF(AND(Data!G579="",Data!H579&lt;&gt;""),1,IF(ISNUMBER(MATCH(Data!G579,Data_Val!$C$2:$C$5,0)),0,1)))</f>
        <v/>
      </c>
      <c r="H589" s="12" t="str">
        <f>IF(Data!B579="","",IF(AND(Data!G579&lt;&gt;"",Data!H579=""),1,IF(Data!G579="",1,IF(ISNUMBER(MATCH(Data!H579,Data_Val!$D$2:$D$35,0)),0,1))))</f>
        <v/>
      </c>
      <c r="I589" s="38" t="str">
        <f>IF(Data!G579="","",IF(Data!G579=Data_Val!$C$2,IF(Data!I579="",0,1),0))</f>
        <v/>
      </c>
      <c r="J589" s="38" t="str">
        <f>IF(Data!I579="","",IF(ISNUMBER(MATCH(Data!J579,Data_Val!$A$2:$A$3,0)),0,1))</f>
        <v/>
      </c>
      <c r="K589" s="38" t="str">
        <f ca="1">IF(Data!I579="","",IF(ISNUMBER(Data!K579),IF(AND(Data!K579&gt;(TODAY()-(Data_Val!$K$3*365.25)),Data!K579&lt;=(TODAY()-(Data_Val!$K$2*365.25))),0,1),1))</f>
        <v/>
      </c>
      <c r="L589" s="16" t="str">
        <f>IF(Data!G579="","",IF(Data!G579=Data_Val!$C$2,IF(Data!L579="",0,1),0))</f>
        <v/>
      </c>
      <c r="M589" s="16" t="str">
        <f>IF(Data!L579="","",IF(ISNUMBER(MATCH(Data!M579,Data_Val!$A$2:$A$3,0)),0,1))</f>
        <v/>
      </c>
      <c r="N589" s="43" t="str">
        <f ca="1">IF(Data!L579="","",IF(ISNUMBER(Data!N579),IF(AND(Data!N579&gt;(TODAY()-(Data_Val!$L$3*365.25)),Data!N579&lt;=(TODAY()-(Data_Val!$L$2*365.25))),0,1),1))</f>
        <v/>
      </c>
      <c r="O589" s="18" t="str">
        <f>IF(Data!$G579="","",IF(Data!$G579=Data_Val!$C$2,IF(Data!O579="",0,1),0))</f>
        <v/>
      </c>
      <c r="P589" s="18" t="str">
        <f>IF(Data!O579="","",IF(ISNUMBER(MATCH(Data!P579,Data_Val!$A$2:$A$3,0)),0,1))</f>
        <v/>
      </c>
      <c r="Q589" s="44" t="str">
        <f ca="1">IF(Data!O579="","",IF(ISNUMBER(Data!Q579),IF(AND(Data!Q579&gt;(TODAY()-(Data_Val!$L$3*365.25)),Data!Q579&lt;=(TODAY()-(Data_Val!$L$2*365.25))),0,1),1))</f>
        <v/>
      </c>
    </row>
    <row r="590" spans="1:17" ht="12" customHeight="1" x14ac:dyDescent="0.25">
      <c r="A590" s="36" t="str">
        <f>IF(Data!B580="","",IF(COUNTIFS(Data!A$1:'Data'!A580,Data!A580)&lt;=1,0,1))</f>
        <v/>
      </c>
      <c r="B590" s="36"/>
      <c r="C590" s="36" t="str">
        <f>IF(Data!C580="","",(IF(ISNUMBER(MATCH("*@*.?*",Data!C580,0)),0,1)+IF(COUNTIFS(Data!C$1:'Data'!C580,Data!C580)&gt;1,1,0)))</f>
        <v/>
      </c>
      <c r="D590" s="36" t="str">
        <f>IF(Data!B580="","",IF(ISNUMBER(Data!D580),IF(AND(Data!D580&gt;999999999,Data!D580&lt;=9999999999),IF(COUNTIFS(Data!D$1:'Data'!D580,Data!D580)&lt;=1,0,1),1),1))</f>
        <v/>
      </c>
      <c r="E590" s="36" t="str">
        <f>IF(Data!B580="","",IF(ISNUMBER(MATCH(Data!E580,Data_Val!$A$2:$A$3,0)),0,1))</f>
        <v/>
      </c>
      <c r="F590" s="36" t="str">
        <f ca="1">IF(Data!B580="","",IF(ISNUMBER(Data!F580),IF(AND(Data!F580&gt;(TODAY()-(Data_Val!$H$3*365.25)),Data!F580&lt;=(TODAY()-(Data_Val!$H$2*365.25))),0,1),1))</f>
        <v/>
      </c>
      <c r="G590" s="12" t="str">
        <f>IF(Data!B580="","",IF(AND(Data!G580="",Data!H580&lt;&gt;""),1,IF(ISNUMBER(MATCH(Data!G580,Data_Val!$C$2:$C$5,0)),0,1)))</f>
        <v/>
      </c>
      <c r="H590" s="12" t="str">
        <f>IF(Data!B580="","",IF(AND(Data!G580&lt;&gt;"",Data!H580=""),1,IF(Data!G580="",1,IF(ISNUMBER(MATCH(Data!H580,Data_Val!$D$2:$D$35,0)),0,1))))</f>
        <v/>
      </c>
      <c r="I590" s="38" t="str">
        <f>IF(Data!G580="","",IF(Data!G580=Data_Val!$C$2,IF(Data!I580="",0,1),0))</f>
        <v/>
      </c>
      <c r="J590" s="38" t="str">
        <f>IF(Data!I580="","",IF(ISNUMBER(MATCH(Data!J580,Data_Val!$A$2:$A$3,0)),0,1))</f>
        <v/>
      </c>
      <c r="K590" s="38" t="str">
        <f ca="1">IF(Data!I580="","",IF(ISNUMBER(Data!K580),IF(AND(Data!K580&gt;(TODAY()-(Data_Val!$K$3*365.25)),Data!K580&lt;=(TODAY()-(Data_Val!$K$2*365.25))),0,1),1))</f>
        <v/>
      </c>
      <c r="L590" s="16" t="str">
        <f>IF(Data!G580="","",IF(Data!G580=Data_Val!$C$2,IF(Data!L580="",0,1),0))</f>
        <v/>
      </c>
      <c r="M590" s="16" t="str">
        <f>IF(Data!L580="","",IF(ISNUMBER(MATCH(Data!M580,Data_Val!$A$2:$A$3,0)),0,1))</f>
        <v/>
      </c>
      <c r="N590" s="43" t="str">
        <f ca="1">IF(Data!L580="","",IF(ISNUMBER(Data!N580),IF(AND(Data!N580&gt;(TODAY()-(Data_Val!$L$3*365.25)),Data!N580&lt;=(TODAY()-(Data_Val!$L$2*365.25))),0,1),1))</f>
        <v/>
      </c>
      <c r="O590" s="18" t="str">
        <f>IF(Data!$G580="","",IF(Data!$G580=Data_Val!$C$2,IF(Data!O580="",0,1),0))</f>
        <v/>
      </c>
      <c r="P590" s="18" t="str">
        <f>IF(Data!O580="","",IF(ISNUMBER(MATCH(Data!P580,Data_Val!$A$2:$A$3,0)),0,1))</f>
        <v/>
      </c>
      <c r="Q590" s="44" t="str">
        <f ca="1">IF(Data!O580="","",IF(ISNUMBER(Data!Q580),IF(AND(Data!Q580&gt;(TODAY()-(Data_Val!$L$3*365.25)),Data!Q580&lt;=(TODAY()-(Data_Val!$L$2*365.25))),0,1),1))</f>
        <v/>
      </c>
    </row>
    <row r="591" spans="1:17" ht="12" customHeight="1" x14ac:dyDescent="0.25">
      <c r="A591" s="36" t="str">
        <f>IF(Data!B581="","",IF(COUNTIFS(Data!A$1:'Data'!A581,Data!A581)&lt;=1,0,1))</f>
        <v/>
      </c>
      <c r="B591" s="36"/>
      <c r="C591" s="36" t="str">
        <f>IF(Data!C581="","",(IF(ISNUMBER(MATCH("*@*.?*",Data!C581,0)),0,1)+IF(COUNTIFS(Data!C$1:'Data'!C581,Data!C581)&gt;1,1,0)))</f>
        <v/>
      </c>
      <c r="D591" s="36" t="str">
        <f>IF(Data!B581="","",IF(ISNUMBER(Data!D581),IF(AND(Data!D581&gt;999999999,Data!D581&lt;=9999999999),IF(COUNTIFS(Data!D$1:'Data'!D581,Data!D581)&lt;=1,0,1),1),1))</f>
        <v/>
      </c>
      <c r="E591" s="36" t="str">
        <f>IF(Data!B581="","",IF(ISNUMBER(MATCH(Data!E581,Data_Val!$A$2:$A$3,0)),0,1))</f>
        <v/>
      </c>
      <c r="F591" s="36" t="str">
        <f ca="1">IF(Data!B581="","",IF(ISNUMBER(Data!F581),IF(AND(Data!F581&gt;(TODAY()-(Data_Val!$H$3*365.25)),Data!F581&lt;=(TODAY()-(Data_Val!$H$2*365.25))),0,1),1))</f>
        <v/>
      </c>
      <c r="G591" s="12" t="str">
        <f>IF(Data!B581="","",IF(AND(Data!G581="",Data!H581&lt;&gt;""),1,IF(ISNUMBER(MATCH(Data!G581,Data_Val!$C$2:$C$5,0)),0,1)))</f>
        <v/>
      </c>
      <c r="H591" s="12" t="str">
        <f>IF(Data!B581="","",IF(AND(Data!G581&lt;&gt;"",Data!H581=""),1,IF(Data!G581="",1,IF(ISNUMBER(MATCH(Data!H581,Data_Val!$D$2:$D$35,0)),0,1))))</f>
        <v/>
      </c>
      <c r="I591" s="38" t="str">
        <f>IF(Data!G581="","",IF(Data!G581=Data_Val!$C$2,IF(Data!I581="",0,1),0))</f>
        <v/>
      </c>
      <c r="J591" s="38" t="str">
        <f>IF(Data!I581="","",IF(ISNUMBER(MATCH(Data!J581,Data_Val!$A$2:$A$3,0)),0,1))</f>
        <v/>
      </c>
      <c r="K591" s="38" t="str">
        <f ca="1">IF(Data!I581="","",IF(ISNUMBER(Data!K581),IF(AND(Data!K581&gt;(TODAY()-(Data_Val!$K$3*365.25)),Data!K581&lt;=(TODAY()-(Data_Val!$K$2*365.25))),0,1),1))</f>
        <v/>
      </c>
      <c r="L591" s="16" t="str">
        <f>IF(Data!G581="","",IF(Data!G581=Data_Val!$C$2,IF(Data!L581="",0,1),0))</f>
        <v/>
      </c>
      <c r="M591" s="16" t="str">
        <f>IF(Data!L581="","",IF(ISNUMBER(MATCH(Data!M581,Data_Val!$A$2:$A$3,0)),0,1))</f>
        <v/>
      </c>
      <c r="N591" s="43" t="str">
        <f ca="1">IF(Data!L581="","",IF(ISNUMBER(Data!N581),IF(AND(Data!N581&gt;(TODAY()-(Data_Val!$L$3*365.25)),Data!N581&lt;=(TODAY()-(Data_Val!$L$2*365.25))),0,1),1))</f>
        <v/>
      </c>
      <c r="O591" s="18" t="str">
        <f>IF(Data!$G581="","",IF(Data!$G581=Data_Val!$C$2,IF(Data!O581="",0,1),0))</f>
        <v/>
      </c>
      <c r="P591" s="18" t="str">
        <f>IF(Data!O581="","",IF(ISNUMBER(MATCH(Data!P581,Data_Val!$A$2:$A$3,0)),0,1))</f>
        <v/>
      </c>
      <c r="Q591" s="44" t="str">
        <f ca="1">IF(Data!O581="","",IF(ISNUMBER(Data!Q581),IF(AND(Data!Q581&gt;(TODAY()-(Data_Val!$L$3*365.25)),Data!Q581&lt;=(TODAY()-(Data_Val!$L$2*365.25))),0,1),1))</f>
        <v/>
      </c>
    </row>
    <row r="592" spans="1:17" ht="12" customHeight="1" x14ac:dyDescent="0.25">
      <c r="A592" s="36" t="str">
        <f>IF(Data!B582="","",IF(COUNTIFS(Data!A$1:'Data'!A582,Data!A582)&lt;=1,0,1))</f>
        <v/>
      </c>
      <c r="B592" s="36"/>
      <c r="C592" s="36" t="str">
        <f>IF(Data!C582="","",(IF(ISNUMBER(MATCH("*@*.?*",Data!C582,0)),0,1)+IF(COUNTIFS(Data!C$1:'Data'!C582,Data!C582)&gt;1,1,0)))</f>
        <v/>
      </c>
      <c r="D592" s="36" t="str">
        <f>IF(Data!B582="","",IF(ISNUMBER(Data!D582),IF(AND(Data!D582&gt;999999999,Data!D582&lt;=9999999999),IF(COUNTIFS(Data!D$1:'Data'!D582,Data!D582)&lt;=1,0,1),1),1))</f>
        <v/>
      </c>
      <c r="E592" s="36" t="str">
        <f>IF(Data!B582="","",IF(ISNUMBER(MATCH(Data!E582,Data_Val!$A$2:$A$3,0)),0,1))</f>
        <v/>
      </c>
      <c r="F592" s="36" t="str">
        <f ca="1">IF(Data!B582="","",IF(ISNUMBER(Data!F582),IF(AND(Data!F582&gt;(TODAY()-(Data_Val!$H$3*365.25)),Data!F582&lt;=(TODAY()-(Data_Val!$H$2*365.25))),0,1),1))</f>
        <v/>
      </c>
      <c r="G592" s="12" t="str">
        <f>IF(Data!B582="","",IF(AND(Data!G582="",Data!H582&lt;&gt;""),1,IF(ISNUMBER(MATCH(Data!G582,Data_Val!$C$2:$C$5,0)),0,1)))</f>
        <v/>
      </c>
      <c r="H592" s="12" t="str">
        <f>IF(Data!B582="","",IF(AND(Data!G582&lt;&gt;"",Data!H582=""),1,IF(Data!G582="",1,IF(ISNUMBER(MATCH(Data!H582,Data_Val!$D$2:$D$35,0)),0,1))))</f>
        <v/>
      </c>
      <c r="I592" s="38" t="str">
        <f>IF(Data!G582="","",IF(Data!G582=Data_Val!$C$2,IF(Data!I582="",0,1),0))</f>
        <v/>
      </c>
      <c r="J592" s="38" t="str">
        <f>IF(Data!I582="","",IF(ISNUMBER(MATCH(Data!J582,Data_Val!$A$2:$A$3,0)),0,1))</f>
        <v/>
      </c>
      <c r="K592" s="38" t="str">
        <f ca="1">IF(Data!I582="","",IF(ISNUMBER(Data!K582),IF(AND(Data!K582&gt;(TODAY()-(Data_Val!$K$3*365.25)),Data!K582&lt;=(TODAY()-(Data_Val!$K$2*365.25))),0,1),1))</f>
        <v/>
      </c>
      <c r="L592" s="16" t="str">
        <f>IF(Data!G582="","",IF(Data!G582=Data_Val!$C$2,IF(Data!L582="",0,1),0))</f>
        <v/>
      </c>
      <c r="M592" s="16" t="str">
        <f>IF(Data!L582="","",IF(ISNUMBER(MATCH(Data!M582,Data_Val!$A$2:$A$3,0)),0,1))</f>
        <v/>
      </c>
      <c r="N592" s="43" t="str">
        <f ca="1">IF(Data!L582="","",IF(ISNUMBER(Data!N582),IF(AND(Data!N582&gt;(TODAY()-(Data_Val!$L$3*365.25)),Data!N582&lt;=(TODAY()-(Data_Val!$L$2*365.25))),0,1),1))</f>
        <v/>
      </c>
      <c r="O592" s="18" t="str">
        <f>IF(Data!$G582="","",IF(Data!$G582=Data_Val!$C$2,IF(Data!O582="",0,1),0))</f>
        <v/>
      </c>
      <c r="P592" s="18" t="str">
        <f>IF(Data!O582="","",IF(ISNUMBER(MATCH(Data!P582,Data_Val!$A$2:$A$3,0)),0,1))</f>
        <v/>
      </c>
      <c r="Q592" s="44" t="str">
        <f ca="1">IF(Data!O582="","",IF(ISNUMBER(Data!Q582),IF(AND(Data!Q582&gt;(TODAY()-(Data_Val!$L$3*365.25)),Data!Q582&lt;=(TODAY()-(Data_Val!$L$2*365.25))),0,1),1))</f>
        <v/>
      </c>
    </row>
    <row r="593" spans="1:17" ht="12" customHeight="1" x14ac:dyDescent="0.25">
      <c r="A593" s="36" t="str">
        <f>IF(Data!B583="","",IF(COUNTIFS(Data!A$1:'Data'!A583,Data!A583)&lt;=1,0,1))</f>
        <v/>
      </c>
      <c r="B593" s="36"/>
      <c r="C593" s="36" t="str">
        <f>IF(Data!C583="","",(IF(ISNUMBER(MATCH("*@*.?*",Data!C583,0)),0,1)+IF(COUNTIFS(Data!C$1:'Data'!C583,Data!C583)&gt;1,1,0)))</f>
        <v/>
      </c>
      <c r="D593" s="36" t="str">
        <f>IF(Data!B583="","",IF(ISNUMBER(Data!D583),IF(AND(Data!D583&gt;999999999,Data!D583&lt;=9999999999),IF(COUNTIFS(Data!D$1:'Data'!D583,Data!D583)&lt;=1,0,1),1),1))</f>
        <v/>
      </c>
      <c r="E593" s="36" t="str">
        <f>IF(Data!B583="","",IF(ISNUMBER(MATCH(Data!E583,Data_Val!$A$2:$A$3,0)),0,1))</f>
        <v/>
      </c>
      <c r="F593" s="36" t="str">
        <f ca="1">IF(Data!B583="","",IF(ISNUMBER(Data!F583),IF(AND(Data!F583&gt;(TODAY()-(Data_Val!$H$3*365.25)),Data!F583&lt;=(TODAY()-(Data_Val!$H$2*365.25))),0,1),1))</f>
        <v/>
      </c>
      <c r="G593" s="12" t="str">
        <f>IF(Data!B583="","",IF(AND(Data!G583="",Data!H583&lt;&gt;""),1,IF(ISNUMBER(MATCH(Data!G583,Data_Val!$C$2:$C$5,0)),0,1)))</f>
        <v/>
      </c>
      <c r="H593" s="12" t="str">
        <f>IF(Data!B583="","",IF(AND(Data!G583&lt;&gt;"",Data!H583=""),1,IF(Data!G583="",1,IF(ISNUMBER(MATCH(Data!H583,Data_Val!$D$2:$D$35,0)),0,1))))</f>
        <v/>
      </c>
      <c r="I593" s="38" t="str">
        <f>IF(Data!G583="","",IF(Data!G583=Data_Val!$C$2,IF(Data!I583="",0,1),0))</f>
        <v/>
      </c>
      <c r="J593" s="38" t="str">
        <f>IF(Data!I583="","",IF(ISNUMBER(MATCH(Data!J583,Data_Val!$A$2:$A$3,0)),0,1))</f>
        <v/>
      </c>
      <c r="K593" s="38" t="str">
        <f ca="1">IF(Data!I583="","",IF(ISNUMBER(Data!K583),IF(AND(Data!K583&gt;(TODAY()-(Data_Val!$K$3*365.25)),Data!K583&lt;=(TODAY()-(Data_Val!$K$2*365.25))),0,1),1))</f>
        <v/>
      </c>
      <c r="L593" s="16" t="str">
        <f>IF(Data!G583="","",IF(Data!G583=Data_Val!$C$2,IF(Data!L583="",0,1),0))</f>
        <v/>
      </c>
      <c r="M593" s="16" t="str">
        <f>IF(Data!L583="","",IF(ISNUMBER(MATCH(Data!M583,Data_Val!$A$2:$A$3,0)),0,1))</f>
        <v/>
      </c>
      <c r="N593" s="43" t="str">
        <f ca="1">IF(Data!L583="","",IF(ISNUMBER(Data!N583),IF(AND(Data!N583&gt;(TODAY()-(Data_Val!$L$3*365.25)),Data!N583&lt;=(TODAY()-(Data_Val!$L$2*365.25))),0,1),1))</f>
        <v/>
      </c>
      <c r="O593" s="18" t="str">
        <f>IF(Data!$G583="","",IF(Data!$G583=Data_Val!$C$2,IF(Data!O583="",0,1),0))</f>
        <v/>
      </c>
      <c r="P593" s="18" t="str">
        <f>IF(Data!O583="","",IF(ISNUMBER(MATCH(Data!P583,Data_Val!$A$2:$A$3,0)),0,1))</f>
        <v/>
      </c>
      <c r="Q593" s="44" t="str">
        <f ca="1">IF(Data!O583="","",IF(ISNUMBER(Data!Q583),IF(AND(Data!Q583&gt;(TODAY()-(Data_Val!$L$3*365.25)),Data!Q583&lt;=(TODAY()-(Data_Val!$L$2*365.25))),0,1),1))</f>
        <v/>
      </c>
    </row>
    <row r="594" spans="1:17" ht="12" customHeight="1" x14ac:dyDescent="0.25">
      <c r="A594" s="36" t="str">
        <f>IF(Data!B584="","",IF(COUNTIFS(Data!A$1:'Data'!A584,Data!A584)&lt;=1,0,1))</f>
        <v/>
      </c>
      <c r="B594" s="36"/>
      <c r="C594" s="36" t="str">
        <f>IF(Data!C584="","",(IF(ISNUMBER(MATCH("*@*.?*",Data!C584,0)),0,1)+IF(COUNTIFS(Data!C$1:'Data'!C584,Data!C584)&gt;1,1,0)))</f>
        <v/>
      </c>
      <c r="D594" s="36" t="str">
        <f>IF(Data!B584="","",IF(ISNUMBER(Data!D584),IF(AND(Data!D584&gt;999999999,Data!D584&lt;=9999999999),IF(COUNTIFS(Data!D$1:'Data'!D584,Data!D584)&lt;=1,0,1),1),1))</f>
        <v/>
      </c>
      <c r="E594" s="36" t="str">
        <f>IF(Data!B584="","",IF(ISNUMBER(MATCH(Data!E584,Data_Val!$A$2:$A$3,0)),0,1))</f>
        <v/>
      </c>
      <c r="F594" s="36" t="str">
        <f ca="1">IF(Data!B584="","",IF(ISNUMBER(Data!F584),IF(AND(Data!F584&gt;(TODAY()-(Data_Val!$H$3*365.25)),Data!F584&lt;=(TODAY()-(Data_Val!$H$2*365.25))),0,1),1))</f>
        <v/>
      </c>
      <c r="G594" s="12" t="str">
        <f>IF(Data!B584="","",IF(AND(Data!G584="",Data!H584&lt;&gt;""),1,IF(ISNUMBER(MATCH(Data!G584,Data_Val!$C$2:$C$5,0)),0,1)))</f>
        <v/>
      </c>
      <c r="H594" s="12" t="str">
        <f>IF(Data!B584="","",IF(AND(Data!G584&lt;&gt;"",Data!H584=""),1,IF(Data!G584="",1,IF(ISNUMBER(MATCH(Data!H584,Data_Val!$D$2:$D$35,0)),0,1))))</f>
        <v/>
      </c>
      <c r="I594" s="38" t="str">
        <f>IF(Data!G584="","",IF(Data!G584=Data_Val!$C$2,IF(Data!I584="",0,1),0))</f>
        <v/>
      </c>
      <c r="J594" s="38" t="str">
        <f>IF(Data!I584="","",IF(ISNUMBER(MATCH(Data!J584,Data_Val!$A$2:$A$3,0)),0,1))</f>
        <v/>
      </c>
      <c r="K594" s="38" t="str">
        <f ca="1">IF(Data!I584="","",IF(ISNUMBER(Data!K584),IF(AND(Data!K584&gt;(TODAY()-(Data_Val!$K$3*365.25)),Data!K584&lt;=(TODAY()-(Data_Val!$K$2*365.25))),0,1),1))</f>
        <v/>
      </c>
      <c r="L594" s="16" t="str">
        <f>IF(Data!G584="","",IF(Data!G584=Data_Val!$C$2,IF(Data!L584="",0,1),0))</f>
        <v/>
      </c>
      <c r="M594" s="16" t="str">
        <f>IF(Data!L584="","",IF(ISNUMBER(MATCH(Data!M584,Data_Val!$A$2:$A$3,0)),0,1))</f>
        <v/>
      </c>
      <c r="N594" s="43" t="str">
        <f ca="1">IF(Data!L584="","",IF(ISNUMBER(Data!N584),IF(AND(Data!N584&gt;(TODAY()-(Data_Val!$L$3*365.25)),Data!N584&lt;=(TODAY()-(Data_Val!$L$2*365.25))),0,1),1))</f>
        <v/>
      </c>
      <c r="O594" s="18" t="str">
        <f>IF(Data!$G584="","",IF(Data!$G584=Data_Val!$C$2,IF(Data!O584="",0,1),0))</f>
        <v/>
      </c>
      <c r="P594" s="18" t="str">
        <f>IF(Data!O584="","",IF(ISNUMBER(MATCH(Data!P584,Data_Val!$A$2:$A$3,0)),0,1))</f>
        <v/>
      </c>
      <c r="Q594" s="44" t="str">
        <f ca="1">IF(Data!O584="","",IF(ISNUMBER(Data!Q584),IF(AND(Data!Q584&gt;(TODAY()-(Data_Val!$L$3*365.25)),Data!Q584&lt;=(TODAY()-(Data_Val!$L$2*365.25))),0,1),1))</f>
        <v/>
      </c>
    </row>
    <row r="595" spans="1:17" ht="12" customHeight="1" x14ac:dyDescent="0.25">
      <c r="A595" s="36" t="str">
        <f>IF(Data!B585="","",IF(COUNTIFS(Data!A$1:'Data'!A585,Data!A585)&lt;=1,0,1))</f>
        <v/>
      </c>
      <c r="B595" s="36"/>
      <c r="C595" s="36" t="str">
        <f>IF(Data!C585="","",(IF(ISNUMBER(MATCH("*@*.?*",Data!C585,0)),0,1)+IF(COUNTIFS(Data!C$1:'Data'!C585,Data!C585)&gt;1,1,0)))</f>
        <v/>
      </c>
      <c r="D595" s="36" t="str">
        <f>IF(Data!B585="","",IF(ISNUMBER(Data!D585),IF(AND(Data!D585&gt;999999999,Data!D585&lt;=9999999999),IF(COUNTIFS(Data!D$1:'Data'!D585,Data!D585)&lt;=1,0,1),1),1))</f>
        <v/>
      </c>
      <c r="E595" s="36" t="str">
        <f>IF(Data!B585="","",IF(ISNUMBER(MATCH(Data!E585,Data_Val!$A$2:$A$3,0)),0,1))</f>
        <v/>
      </c>
      <c r="F595" s="36" t="str">
        <f ca="1">IF(Data!B585="","",IF(ISNUMBER(Data!F585),IF(AND(Data!F585&gt;(TODAY()-(Data_Val!$H$3*365.25)),Data!F585&lt;=(TODAY()-(Data_Val!$H$2*365.25))),0,1),1))</f>
        <v/>
      </c>
      <c r="G595" s="12" t="str">
        <f>IF(Data!B585="","",IF(AND(Data!G585="",Data!H585&lt;&gt;""),1,IF(ISNUMBER(MATCH(Data!G585,Data_Val!$C$2:$C$5,0)),0,1)))</f>
        <v/>
      </c>
      <c r="H595" s="12" t="str">
        <f>IF(Data!B585="","",IF(AND(Data!G585&lt;&gt;"",Data!H585=""),1,IF(Data!G585="",1,IF(ISNUMBER(MATCH(Data!H585,Data_Val!$D$2:$D$35,0)),0,1))))</f>
        <v/>
      </c>
      <c r="I595" s="38" t="str">
        <f>IF(Data!G585="","",IF(Data!G585=Data_Val!$C$2,IF(Data!I585="",0,1),0))</f>
        <v/>
      </c>
      <c r="J595" s="38" t="str">
        <f>IF(Data!I585="","",IF(ISNUMBER(MATCH(Data!J585,Data_Val!$A$2:$A$3,0)),0,1))</f>
        <v/>
      </c>
      <c r="K595" s="38" t="str">
        <f ca="1">IF(Data!I585="","",IF(ISNUMBER(Data!K585),IF(AND(Data!K585&gt;(TODAY()-(Data_Val!$K$3*365.25)),Data!K585&lt;=(TODAY()-(Data_Val!$K$2*365.25))),0,1),1))</f>
        <v/>
      </c>
      <c r="L595" s="16" t="str">
        <f>IF(Data!G585="","",IF(Data!G585=Data_Val!$C$2,IF(Data!L585="",0,1),0))</f>
        <v/>
      </c>
      <c r="M595" s="16" t="str">
        <f>IF(Data!L585="","",IF(ISNUMBER(MATCH(Data!M585,Data_Val!$A$2:$A$3,0)),0,1))</f>
        <v/>
      </c>
      <c r="N595" s="43" t="str">
        <f ca="1">IF(Data!L585="","",IF(ISNUMBER(Data!N585),IF(AND(Data!N585&gt;(TODAY()-(Data_Val!$L$3*365.25)),Data!N585&lt;=(TODAY()-(Data_Val!$L$2*365.25))),0,1),1))</f>
        <v/>
      </c>
      <c r="O595" s="18" t="str">
        <f>IF(Data!$G585="","",IF(Data!$G585=Data_Val!$C$2,IF(Data!O585="",0,1),0))</f>
        <v/>
      </c>
      <c r="P595" s="18" t="str">
        <f>IF(Data!O585="","",IF(ISNUMBER(MATCH(Data!P585,Data_Val!$A$2:$A$3,0)),0,1))</f>
        <v/>
      </c>
      <c r="Q595" s="44" t="str">
        <f ca="1">IF(Data!O585="","",IF(ISNUMBER(Data!Q585),IF(AND(Data!Q585&gt;(TODAY()-(Data_Val!$L$3*365.25)),Data!Q585&lt;=(TODAY()-(Data_Val!$L$2*365.25))),0,1),1))</f>
        <v/>
      </c>
    </row>
    <row r="596" spans="1:17" ht="12" customHeight="1" x14ac:dyDescent="0.25">
      <c r="A596" s="36" t="str">
        <f>IF(Data!B586="","",IF(COUNTIFS(Data!A$1:'Data'!A586,Data!A586)&lt;=1,0,1))</f>
        <v/>
      </c>
      <c r="B596" s="36"/>
      <c r="C596" s="36" t="str">
        <f>IF(Data!C586="","",(IF(ISNUMBER(MATCH("*@*.?*",Data!C586,0)),0,1)+IF(COUNTIFS(Data!C$1:'Data'!C586,Data!C586)&gt;1,1,0)))</f>
        <v/>
      </c>
      <c r="D596" s="36" t="str">
        <f>IF(Data!B586="","",IF(ISNUMBER(Data!D586),IF(AND(Data!D586&gt;999999999,Data!D586&lt;=9999999999),IF(COUNTIFS(Data!D$1:'Data'!D586,Data!D586)&lt;=1,0,1),1),1))</f>
        <v/>
      </c>
      <c r="E596" s="36" t="str">
        <f>IF(Data!B586="","",IF(ISNUMBER(MATCH(Data!E586,Data_Val!$A$2:$A$3,0)),0,1))</f>
        <v/>
      </c>
      <c r="F596" s="36" t="str">
        <f ca="1">IF(Data!B586="","",IF(ISNUMBER(Data!F586),IF(AND(Data!F586&gt;(TODAY()-(Data_Val!$H$3*365.25)),Data!F586&lt;=(TODAY()-(Data_Val!$H$2*365.25))),0,1),1))</f>
        <v/>
      </c>
      <c r="G596" s="12" t="str">
        <f>IF(Data!B586="","",IF(AND(Data!G586="",Data!H586&lt;&gt;""),1,IF(ISNUMBER(MATCH(Data!G586,Data_Val!$C$2:$C$5,0)),0,1)))</f>
        <v/>
      </c>
      <c r="H596" s="12" t="str">
        <f>IF(Data!B586="","",IF(AND(Data!G586&lt;&gt;"",Data!H586=""),1,IF(Data!G586="",1,IF(ISNUMBER(MATCH(Data!H586,Data_Val!$D$2:$D$35,0)),0,1))))</f>
        <v/>
      </c>
      <c r="I596" s="38" t="str">
        <f>IF(Data!G586="","",IF(Data!G586=Data_Val!$C$2,IF(Data!I586="",0,1),0))</f>
        <v/>
      </c>
      <c r="J596" s="38" t="str">
        <f>IF(Data!I586="","",IF(ISNUMBER(MATCH(Data!J586,Data_Val!$A$2:$A$3,0)),0,1))</f>
        <v/>
      </c>
      <c r="K596" s="38" t="str">
        <f ca="1">IF(Data!I586="","",IF(ISNUMBER(Data!K586),IF(AND(Data!K586&gt;(TODAY()-(Data_Val!$K$3*365.25)),Data!K586&lt;=(TODAY()-(Data_Val!$K$2*365.25))),0,1),1))</f>
        <v/>
      </c>
      <c r="L596" s="16" t="str">
        <f>IF(Data!G586="","",IF(Data!G586=Data_Val!$C$2,IF(Data!L586="",0,1),0))</f>
        <v/>
      </c>
      <c r="M596" s="16" t="str">
        <f>IF(Data!L586="","",IF(ISNUMBER(MATCH(Data!M586,Data_Val!$A$2:$A$3,0)),0,1))</f>
        <v/>
      </c>
      <c r="N596" s="43" t="str">
        <f ca="1">IF(Data!L586="","",IF(ISNUMBER(Data!N586),IF(AND(Data!N586&gt;(TODAY()-(Data_Val!$L$3*365.25)),Data!N586&lt;=(TODAY()-(Data_Val!$L$2*365.25))),0,1),1))</f>
        <v/>
      </c>
      <c r="O596" s="18" t="str">
        <f>IF(Data!$G586="","",IF(Data!$G586=Data_Val!$C$2,IF(Data!O586="",0,1),0))</f>
        <v/>
      </c>
      <c r="P596" s="18" t="str">
        <f>IF(Data!O586="","",IF(ISNUMBER(MATCH(Data!P586,Data_Val!$A$2:$A$3,0)),0,1))</f>
        <v/>
      </c>
      <c r="Q596" s="44" t="str">
        <f ca="1">IF(Data!O586="","",IF(ISNUMBER(Data!Q586),IF(AND(Data!Q586&gt;(TODAY()-(Data_Val!$L$3*365.25)),Data!Q586&lt;=(TODAY()-(Data_Val!$L$2*365.25))),0,1),1))</f>
        <v/>
      </c>
    </row>
    <row r="597" spans="1:17" ht="12" customHeight="1" x14ac:dyDescent="0.25">
      <c r="A597" s="36" t="str">
        <f>IF(Data!B587="","",IF(COUNTIFS(Data!A$1:'Data'!A587,Data!A587)&lt;=1,0,1))</f>
        <v/>
      </c>
      <c r="B597" s="36"/>
      <c r="C597" s="36" t="str">
        <f>IF(Data!C587="","",(IF(ISNUMBER(MATCH("*@*.?*",Data!C587,0)),0,1)+IF(COUNTIFS(Data!C$1:'Data'!C587,Data!C587)&gt;1,1,0)))</f>
        <v/>
      </c>
      <c r="D597" s="36" t="str">
        <f>IF(Data!B587="","",IF(ISNUMBER(Data!D587),IF(AND(Data!D587&gt;999999999,Data!D587&lt;=9999999999),IF(COUNTIFS(Data!D$1:'Data'!D587,Data!D587)&lt;=1,0,1),1),1))</f>
        <v/>
      </c>
      <c r="E597" s="36" t="str">
        <f>IF(Data!B587="","",IF(ISNUMBER(MATCH(Data!E587,Data_Val!$A$2:$A$3,0)),0,1))</f>
        <v/>
      </c>
      <c r="F597" s="36" t="str">
        <f ca="1">IF(Data!B587="","",IF(ISNUMBER(Data!F587),IF(AND(Data!F587&gt;(TODAY()-(Data_Val!$H$3*365.25)),Data!F587&lt;=(TODAY()-(Data_Val!$H$2*365.25))),0,1),1))</f>
        <v/>
      </c>
      <c r="G597" s="12" t="str">
        <f>IF(Data!B587="","",IF(AND(Data!G587="",Data!H587&lt;&gt;""),1,IF(ISNUMBER(MATCH(Data!G587,Data_Val!$C$2:$C$5,0)),0,1)))</f>
        <v/>
      </c>
      <c r="H597" s="12" t="str">
        <f>IF(Data!B587="","",IF(AND(Data!G587&lt;&gt;"",Data!H587=""),1,IF(Data!G587="",1,IF(ISNUMBER(MATCH(Data!H587,Data_Val!$D$2:$D$35,0)),0,1))))</f>
        <v/>
      </c>
      <c r="I597" s="38" t="str">
        <f>IF(Data!G587="","",IF(Data!G587=Data_Val!$C$2,IF(Data!I587="",0,1),0))</f>
        <v/>
      </c>
      <c r="J597" s="38" t="str">
        <f>IF(Data!I587="","",IF(ISNUMBER(MATCH(Data!J587,Data_Val!$A$2:$A$3,0)),0,1))</f>
        <v/>
      </c>
      <c r="K597" s="38" t="str">
        <f ca="1">IF(Data!I587="","",IF(ISNUMBER(Data!K587),IF(AND(Data!K587&gt;(TODAY()-(Data_Val!$K$3*365.25)),Data!K587&lt;=(TODAY()-(Data_Val!$K$2*365.25))),0,1),1))</f>
        <v/>
      </c>
      <c r="L597" s="16" t="str">
        <f>IF(Data!G587="","",IF(Data!G587=Data_Val!$C$2,IF(Data!L587="",0,1),0))</f>
        <v/>
      </c>
      <c r="M597" s="16" t="str">
        <f>IF(Data!L587="","",IF(ISNUMBER(MATCH(Data!M587,Data_Val!$A$2:$A$3,0)),0,1))</f>
        <v/>
      </c>
      <c r="N597" s="43" t="str">
        <f ca="1">IF(Data!L587="","",IF(ISNUMBER(Data!N587),IF(AND(Data!N587&gt;(TODAY()-(Data_Val!$L$3*365.25)),Data!N587&lt;=(TODAY()-(Data_Val!$L$2*365.25))),0,1),1))</f>
        <v/>
      </c>
      <c r="O597" s="18" t="str">
        <f>IF(Data!$G587="","",IF(Data!$G587=Data_Val!$C$2,IF(Data!O587="",0,1),0))</f>
        <v/>
      </c>
      <c r="P597" s="18" t="str">
        <f>IF(Data!O587="","",IF(ISNUMBER(MATCH(Data!P587,Data_Val!$A$2:$A$3,0)),0,1))</f>
        <v/>
      </c>
      <c r="Q597" s="44" t="str">
        <f ca="1">IF(Data!O587="","",IF(ISNUMBER(Data!Q587),IF(AND(Data!Q587&gt;(TODAY()-(Data_Val!$L$3*365.25)),Data!Q587&lt;=(TODAY()-(Data_Val!$L$2*365.25))),0,1),1))</f>
        <v/>
      </c>
    </row>
    <row r="598" spans="1:17" ht="12" customHeight="1" x14ac:dyDescent="0.25">
      <c r="A598" s="36" t="str">
        <f>IF(Data!B588="","",IF(COUNTIFS(Data!A$1:'Data'!A588,Data!A588)&lt;=1,0,1))</f>
        <v/>
      </c>
      <c r="B598" s="36"/>
      <c r="C598" s="36" t="str">
        <f>IF(Data!C588="","",(IF(ISNUMBER(MATCH("*@*.?*",Data!C588,0)),0,1)+IF(COUNTIFS(Data!C$1:'Data'!C588,Data!C588)&gt;1,1,0)))</f>
        <v/>
      </c>
      <c r="D598" s="36" t="str">
        <f>IF(Data!B588="","",IF(ISNUMBER(Data!D588),IF(AND(Data!D588&gt;999999999,Data!D588&lt;=9999999999),IF(COUNTIFS(Data!D$1:'Data'!D588,Data!D588)&lt;=1,0,1),1),1))</f>
        <v/>
      </c>
      <c r="E598" s="36" t="str">
        <f>IF(Data!B588="","",IF(ISNUMBER(MATCH(Data!E588,Data_Val!$A$2:$A$3,0)),0,1))</f>
        <v/>
      </c>
      <c r="F598" s="36" t="str">
        <f ca="1">IF(Data!B588="","",IF(ISNUMBER(Data!F588),IF(AND(Data!F588&gt;(TODAY()-(Data_Val!$H$3*365.25)),Data!F588&lt;=(TODAY()-(Data_Val!$H$2*365.25))),0,1),1))</f>
        <v/>
      </c>
      <c r="G598" s="12" t="str">
        <f>IF(Data!B588="","",IF(AND(Data!G588="",Data!H588&lt;&gt;""),1,IF(ISNUMBER(MATCH(Data!G588,Data_Val!$C$2:$C$5,0)),0,1)))</f>
        <v/>
      </c>
      <c r="H598" s="12" t="str">
        <f>IF(Data!B588="","",IF(AND(Data!G588&lt;&gt;"",Data!H588=""),1,IF(Data!G588="",1,IF(ISNUMBER(MATCH(Data!H588,Data_Val!$D$2:$D$35,0)),0,1))))</f>
        <v/>
      </c>
      <c r="I598" s="38" t="str">
        <f>IF(Data!G588="","",IF(Data!G588=Data_Val!$C$2,IF(Data!I588="",0,1),0))</f>
        <v/>
      </c>
      <c r="J598" s="38" t="str">
        <f>IF(Data!I588="","",IF(ISNUMBER(MATCH(Data!J588,Data_Val!$A$2:$A$3,0)),0,1))</f>
        <v/>
      </c>
      <c r="K598" s="38" t="str">
        <f ca="1">IF(Data!I588="","",IF(ISNUMBER(Data!K588),IF(AND(Data!K588&gt;(TODAY()-(Data_Val!$K$3*365.25)),Data!K588&lt;=(TODAY()-(Data_Val!$K$2*365.25))),0,1),1))</f>
        <v/>
      </c>
      <c r="L598" s="16" t="str">
        <f>IF(Data!G588="","",IF(Data!G588=Data_Val!$C$2,IF(Data!L588="",0,1),0))</f>
        <v/>
      </c>
      <c r="M598" s="16" t="str">
        <f>IF(Data!L588="","",IF(ISNUMBER(MATCH(Data!M588,Data_Val!$A$2:$A$3,0)),0,1))</f>
        <v/>
      </c>
      <c r="N598" s="43" t="str">
        <f ca="1">IF(Data!L588="","",IF(ISNUMBER(Data!N588),IF(AND(Data!N588&gt;(TODAY()-(Data_Val!$L$3*365.25)),Data!N588&lt;=(TODAY()-(Data_Val!$L$2*365.25))),0,1),1))</f>
        <v/>
      </c>
      <c r="O598" s="18" t="str">
        <f>IF(Data!$G588="","",IF(Data!$G588=Data_Val!$C$2,IF(Data!O588="",0,1),0))</f>
        <v/>
      </c>
      <c r="P598" s="18" t="str">
        <f>IF(Data!O588="","",IF(ISNUMBER(MATCH(Data!P588,Data_Val!$A$2:$A$3,0)),0,1))</f>
        <v/>
      </c>
      <c r="Q598" s="44" t="str">
        <f ca="1">IF(Data!O588="","",IF(ISNUMBER(Data!Q588),IF(AND(Data!Q588&gt;(TODAY()-(Data_Val!$L$3*365.25)),Data!Q588&lt;=(TODAY()-(Data_Val!$L$2*365.25))),0,1),1))</f>
        <v/>
      </c>
    </row>
    <row r="599" spans="1:17" ht="12" customHeight="1" x14ac:dyDescent="0.25">
      <c r="A599" s="36" t="str">
        <f>IF(Data!B589="","",IF(COUNTIFS(Data!A$1:'Data'!A589,Data!A589)&lt;=1,0,1))</f>
        <v/>
      </c>
      <c r="B599" s="36"/>
      <c r="C599" s="36" t="str">
        <f>IF(Data!C589="","",(IF(ISNUMBER(MATCH("*@*.?*",Data!C589,0)),0,1)+IF(COUNTIFS(Data!C$1:'Data'!C589,Data!C589)&gt;1,1,0)))</f>
        <v/>
      </c>
      <c r="D599" s="36" t="str">
        <f>IF(Data!B589="","",IF(ISNUMBER(Data!D589),IF(AND(Data!D589&gt;999999999,Data!D589&lt;=9999999999),IF(COUNTIFS(Data!D$1:'Data'!D589,Data!D589)&lt;=1,0,1),1),1))</f>
        <v/>
      </c>
      <c r="E599" s="36" t="str">
        <f>IF(Data!B589="","",IF(ISNUMBER(MATCH(Data!E589,Data_Val!$A$2:$A$3,0)),0,1))</f>
        <v/>
      </c>
      <c r="F599" s="36" t="str">
        <f ca="1">IF(Data!B589="","",IF(ISNUMBER(Data!F589),IF(AND(Data!F589&gt;(TODAY()-(Data_Val!$H$3*365.25)),Data!F589&lt;=(TODAY()-(Data_Val!$H$2*365.25))),0,1),1))</f>
        <v/>
      </c>
      <c r="G599" s="12" t="str">
        <f>IF(Data!B589="","",IF(AND(Data!G589="",Data!H589&lt;&gt;""),1,IF(ISNUMBER(MATCH(Data!G589,Data_Val!$C$2:$C$5,0)),0,1)))</f>
        <v/>
      </c>
      <c r="H599" s="12" t="str">
        <f>IF(Data!B589="","",IF(AND(Data!G589&lt;&gt;"",Data!H589=""),1,IF(Data!G589="",1,IF(ISNUMBER(MATCH(Data!H589,Data_Val!$D$2:$D$35,0)),0,1))))</f>
        <v/>
      </c>
      <c r="I599" s="38" t="str">
        <f>IF(Data!G589="","",IF(Data!G589=Data_Val!$C$2,IF(Data!I589="",0,1),0))</f>
        <v/>
      </c>
      <c r="J599" s="38" t="str">
        <f>IF(Data!I589="","",IF(ISNUMBER(MATCH(Data!J589,Data_Val!$A$2:$A$3,0)),0,1))</f>
        <v/>
      </c>
      <c r="K599" s="38" t="str">
        <f ca="1">IF(Data!I589="","",IF(ISNUMBER(Data!K589),IF(AND(Data!K589&gt;(TODAY()-(Data_Val!$K$3*365.25)),Data!K589&lt;=(TODAY()-(Data_Val!$K$2*365.25))),0,1),1))</f>
        <v/>
      </c>
      <c r="L599" s="16" t="str">
        <f>IF(Data!G589="","",IF(Data!G589=Data_Val!$C$2,IF(Data!L589="",0,1),0))</f>
        <v/>
      </c>
      <c r="M599" s="16" t="str">
        <f>IF(Data!L589="","",IF(ISNUMBER(MATCH(Data!M589,Data_Val!$A$2:$A$3,0)),0,1))</f>
        <v/>
      </c>
      <c r="N599" s="43" t="str">
        <f ca="1">IF(Data!L589="","",IF(ISNUMBER(Data!N589),IF(AND(Data!N589&gt;(TODAY()-(Data_Val!$L$3*365.25)),Data!N589&lt;=(TODAY()-(Data_Val!$L$2*365.25))),0,1),1))</f>
        <v/>
      </c>
      <c r="O599" s="18" t="str">
        <f>IF(Data!$G589="","",IF(Data!$G589=Data_Val!$C$2,IF(Data!O589="",0,1),0))</f>
        <v/>
      </c>
      <c r="P599" s="18" t="str">
        <f>IF(Data!O589="","",IF(ISNUMBER(MATCH(Data!P589,Data_Val!$A$2:$A$3,0)),0,1))</f>
        <v/>
      </c>
      <c r="Q599" s="44" t="str">
        <f ca="1">IF(Data!O589="","",IF(ISNUMBER(Data!Q589),IF(AND(Data!Q589&gt;(TODAY()-(Data_Val!$L$3*365.25)),Data!Q589&lt;=(TODAY()-(Data_Val!$L$2*365.25))),0,1),1))</f>
        <v/>
      </c>
    </row>
    <row r="600" spans="1:17" ht="12" customHeight="1" x14ac:dyDescent="0.25">
      <c r="A600" s="36" t="str">
        <f>IF(Data!B590="","",IF(COUNTIFS(Data!A$1:'Data'!A590,Data!A590)&lt;=1,0,1))</f>
        <v/>
      </c>
      <c r="B600" s="36"/>
      <c r="C600" s="36" t="str">
        <f>IF(Data!C590="","",(IF(ISNUMBER(MATCH("*@*.?*",Data!C590,0)),0,1)+IF(COUNTIFS(Data!C$1:'Data'!C590,Data!C590)&gt;1,1,0)))</f>
        <v/>
      </c>
      <c r="D600" s="36" t="str">
        <f>IF(Data!B590="","",IF(ISNUMBER(Data!D590),IF(AND(Data!D590&gt;999999999,Data!D590&lt;=9999999999),IF(COUNTIFS(Data!D$1:'Data'!D590,Data!D590)&lt;=1,0,1),1),1))</f>
        <v/>
      </c>
      <c r="E600" s="36" t="str">
        <f>IF(Data!B590="","",IF(ISNUMBER(MATCH(Data!E590,Data_Val!$A$2:$A$3,0)),0,1))</f>
        <v/>
      </c>
      <c r="F600" s="36" t="str">
        <f ca="1">IF(Data!B590="","",IF(ISNUMBER(Data!F590),IF(AND(Data!F590&gt;(TODAY()-(Data_Val!$H$3*365.25)),Data!F590&lt;=(TODAY()-(Data_Val!$H$2*365.25))),0,1),1))</f>
        <v/>
      </c>
      <c r="G600" s="12" t="str">
        <f>IF(Data!B590="","",IF(AND(Data!G590="",Data!H590&lt;&gt;""),1,IF(ISNUMBER(MATCH(Data!G590,Data_Val!$C$2:$C$5,0)),0,1)))</f>
        <v/>
      </c>
      <c r="H600" s="12" t="str">
        <f>IF(Data!B590="","",IF(AND(Data!G590&lt;&gt;"",Data!H590=""),1,IF(Data!G590="",1,IF(ISNUMBER(MATCH(Data!H590,Data_Val!$D$2:$D$35,0)),0,1))))</f>
        <v/>
      </c>
      <c r="I600" s="38" t="str">
        <f>IF(Data!G590="","",IF(Data!G590=Data_Val!$C$2,IF(Data!I590="",0,1),0))</f>
        <v/>
      </c>
      <c r="J600" s="38" t="str">
        <f>IF(Data!I590="","",IF(ISNUMBER(MATCH(Data!J590,Data_Val!$A$2:$A$3,0)),0,1))</f>
        <v/>
      </c>
      <c r="K600" s="38" t="str">
        <f ca="1">IF(Data!I590="","",IF(ISNUMBER(Data!K590),IF(AND(Data!K590&gt;(TODAY()-(Data_Val!$K$3*365.25)),Data!K590&lt;=(TODAY()-(Data_Val!$K$2*365.25))),0,1),1))</f>
        <v/>
      </c>
      <c r="L600" s="16" t="str">
        <f>IF(Data!G590="","",IF(Data!G590=Data_Val!$C$2,IF(Data!L590="",0,1),0))</f>
        <v/>
      </c>
      <c r="M600" s="16" t="str">
        <f>IF(Data!L590="","",IF(ISNUMBER(MATCH(Data!M590,Data_Val!$A$2:$A$3,0)),0,1))</f>
        <v/>
      </c>
      <c r="N600" s="43" t="str">
        <f ca="1">IF(Data!L590="","",IF(ISNUMBER(Data!N590),IF(AND(Data!N590&gt;(TODAY()-(Data_Val!$L$3*365.25)),Data!N590&lt;=(TODAY()-(Data_Val!$L$2*365.25))),0,1),1))</f>
        <v/>
      </c>
      <c r="O600" s="18" t="str">
        <f>IF(Data!$G590="","",IF(Data!$G590=Data_Val!$C$2,IF(Data!O590="",0,1),0))</f>
        <v/>
      </c>
      <c r="P600" s="18" t="str">
        <f>IF(Data!O590="","",IF(ISNUMBER(MATCH(Data!P590,Data_Val!$A$2:$A$3,0)),0,1))</f>
        <v/>
      </c>
      <c r="Q600" s="44" t="str">
        <f ca="1">IF(Data!O590="","",IF(ISNUMBER(Data!Q590),IF(AND(Data!Q590&gt;(TODAY()-(Data_Val!$L$3*365.25)),Data!Q590&lt;=(TODAY()-(Data_Val!$L$2*365.25))),0,1),1))</f>
        <v/>
      </c>
    </row>
    <row r="601" spans="1:17" ht="12" customHeight="1" x14ac:dyDescent="0.25">
      <c r="A601" s="36" t="str">
        <f>IF(Data!B591="","",IF(COUNTIFS(Data!A$1:'Data'!A591,Data!A591)&lt;=1,0,1))</f>
        <v/>
      </c>
      <c r="B601" s="36"/>
      <c r="C601" s="36" t="str">
        <f>IF(Data!C591="","",(IF(ISNUMBER(MATCH("*@*.?*",Data!C591,0)),0,1)+IF(COUNTIFS(Data!C$1:'Data'!C591,Data!C591)&gt;1,1,0)))</f>
        <v/>
      </c>
      <c r="D601" s="36" t="str">
        <f>IF(Data!B591="","",IF(ISNUMBER(Data!D591),IF(AND(Data!D591&gt;999999999,Data!D591&lt;=9999999999),IF(COUNTIFS(Data!D$1:'Data'!D591,Data!D591)&lt;=1,0,1),1),1))</f>
        <v/>
      </c>
      <c r="E601" s="36" t="str">
        <f>IF(Data!B591="","",IF(ISNUMBER(MATCH(Data!E591,Data_Val!$A$2:$A$3,0)),0,1))</f>
        <v/>
      </c>
      <c r="F601" s="36" t="str">
        <f ca="1">IF(Data!B591="","",IF(ISNUMBER(Data!F591),IF(AND(Data!F591&gt;(TODAY()-(Data_Val!$H$3*365.25)),Data!F591&lt;=(TODAY()-(Data_Val!$H$2*365.25))),0,1),1))</f>
        <v/>
      </c>
      <c r="G601" s="12" t="str">
        <f>IF(Data!B591="","",IF(AND(Data!G591="",Data!H591&lt;&gt;""),1,IF(ISNUMBER(MATCH(Data!G591,Data_Val!$C$2:$C$5,0)),0,1)))</f>
        <v/>
      </c>
      <c r="H601" s="12" t="str">
        <f>IF(Data!B591="","",IF(AND(Data!G591&lt;&gt;"",Data!H591=""),1,IF(Data!G591="",1,IF(ISNUMBER(MATCH(Data!H591,Data_Val!$D$2:$D$35,0)),0,1))))</f>
        <v/>
      </c>
      <c r="I601" s="38" t="str">
        <f>IF(Data!G591="","",IF(Data!G591=Data_Val!$C$2,IF(Data!I591="",0,1),0))</f>
        <v/>
      </c>
      <c r="J601" s="38" t="str">
        <f>IF(Data!I591="","",IF(ISNUMBER(MATCH(Data!J591,Data_Val!$A$2:$A$3,0)),0,1))</f>
        <v/>
      </c>
      <c r="K601" s="38" t="str">
        <f ca="1">IF(Data!I591="","",IF(ISNUMBER(Data!K591),IF(AND(Data!K591&gt;(TODAY()-(Data_Val!$K$3*365.25)),Data!K591&lt;=(TODAY()-(Data_Val!$K$2*365.25))),0,1),1))</f>
        <v/>
      </c>
      <c r="L601" s="16" t="str">
        <f>IF(Data!G591="","",IF(Data!G591=Data_Val!$C$2,IF(Data!L591="",0,1),0))</f>
        <v/>
      </c>
      <c r="M601" s="16" t="str">
        <f>IF(Data!L591="","",IF(ISNUMBER(MATCH(Data!M591,Data_Val!$A$2:$A$3,0)),0,1))</f>
        <v/>
      </c>
      <c r="N601" s="43" t="str">
        <f ca="1">IF(Data!L591="","",IF(ISNUMBER(Data!N591),IF(AND(Data!N591&gt;(TODAY()-(Data_Val!$L$3*365.25)),Data!N591&lt;=(TODAY()-(Data_Val!$L$2*365.25))),0,1),1))</f>
        <v/>
      </c>
      <c r="O601" s="18" t="str">
        <f>IF(Data!$G591="","",IF(Data!$G591=Data_Val!$C$2,IF(Data!O591="",0,1),0))</f>
        <v/>
      </c>
      <c r="P601" s="18" t="str">
        <f>IF(Data!O591="","",IF(ISNUMBER(MATCH(Data!P591,Data_Val!$A$2:$A$3,0)),0,1))</f>
        <v/>
      </c>
      <c r="Q601" s="44" t="str">
        <f ca="1">IF(Data!O591="","",IF(ISNUMBER(Data!Q591),IF(AND(Data!Q591&gt;(TODAY()-(Data_Val!$L$3*365.25)),Data!Q591&lt;=(TODAY()-(Data_Val!$L$2*365.25))),0,1),1))</f>
        <v/>
      </c>
    </row>
    <row r="602" spans="1:17" ht="12" customHeight="1" x14ac:dyDescent="0.25">
      <c r="A602" s="36" t="str">
        <f>IF(Data!B592="","",IF(COUNTIFS(Data!A$1:'Data'!A592,Data!A592)&lt;=1,0,1))</f>
        <v/>
      </c>
      <c r="B602" s="36"/>
      <c r="C602" s="36" t="str">
        <f>IF(Data!C592="","",(IF(ISNUMBER(MATCH("*@*.?*",Data!C592,0)),0,1)+IF(COUNTIFS(Data!C$1:'Data'!C592,Data!C592)&gt;1,1,0)))</f>
        <v/>
      </c>
      <c r="D602" s="36" t="str">
        <f>IF(Data!B592="","",IF(ISNUMBER(Data!D592),IF(AND(Data!D592&gt;999999999,Data!D592&lt;=9999999999),IF(COUNTIFS(Data!D$1:'Data'!D592,Data!D592)&lt;=1,0,1),1),1))</f>
        <v/>
      </c>
      <c r="E602" s="36" t="str">
        <f>IF(Data!B592="","",IF(ISNUMBER(MATCH(Data!E592,Data_Val!$A$2:$A$3,0)),0,1))</f>
        <v/>
      </c>
      <c r="F602" s="36" t="str">
        <f ca="1">IF(Data!B592="","",IF(ISNUMBER(Data!F592),IF(AND(Data!F592&gt;(TODAY()-(Data_Val!$H$3*365.25)),Data!F592&lt;=(TODAY()-(Data_Val!$H$2*365.25))),0,1),1))</f>
        <v/>
      </c>
      <c r="G602" s="12" t="str">
        <f>IF(Data!B592="","",IF(AND(Data!G592="",Data!H592&lt;&gt;""),1,IF(ISNUMBER(MATCH(Data!G592,Data_Val!$C$2:$C$5,0)),0,1)))</f>
        <v/>
      </c>
      <c r="H602" s="12" t="str">
        <f>IF(Data!B592="","",IF(AND(Data!G592&lt;&gt;"",Data!H592=""),1,IF(Data!G592="",1,IF(ISNUMBER(MATCH(Data!H592,Data_Val!$D$2:$D$35,0)),0,1))))</f>
        <v/>
      </c>
      <c r="I602" s="38" t="str">
        <f>IF(Data!G592="","",IF(Data!G592=Data_Val!$C$2,IF(Data!I592="",0,1),0))</f>
        <v/>
      </c>
      <c r="J602" s="38" t="str">
        <f>IF(Data!I592="","",IF(ISNUMBER(MATCH(Data!J592,Data_Val!$A$2:$A$3,0)),0,1))</f>
        <v/>
      </c>
      <c r="K602" s="38" t="str">
        <f ca="1">IF(Data!I592="","",IF(ISNUMBER(Data!K592),IF(AND(Data!K592&gt;(TODAY()-(Data_Val!$K$3*365.25)),Data!K592&lt;=(TODAY()-(Data_Val!$K$2*365.25))),0,1),1))</f>
        <v/>
      </c>
      <c r="L602" s="16" t="str">
        <f>IF(Data!G592="","",IF(Data!G592=Data_Val!$C$2,IF(Data!L592="",0,1),0))</f>
        <v/>
      </c>
      <c r="M602" s="16" t="str">
        <f>IF(Data!L592="","",IF(ISNUMBER(MATCH(Data!M592,Data_Val!$A$2:$A$3,0)),0,1))</f>
        <v/>
      </c>
      <c r="N602" s="43" t="str">
        <f ca="1">IF(Data!L592="","",IF(ISNUMBER(Data!N592),IF(AND(Data!N592&gt;(TODAY()-(Data_Val!$L$3*365.25)),Data!N592&lt;=(TODAY()-(Data_Val!$L$2*365.25))),0,1),1))</f>
        <v/>
      </c>
      <c r="O602" s="18" t="str">
        <f>IF(Data!$G592="","",IF(Data!$G592=Data_Val!$C$2,IF(Data!O592="",0,1),0))</f>
        <v/>
      </c>
      <c r="P602" s="18" t="str">
        <f>IF(Data!O592="","",IF(ISNUMBER(MATCH(Data!P592,Data_Val!$A$2:$A$3,0)),0,1))</f>
        <v/>
      </c>
      <c r="Q602" s="44" t="str">
        <f ca="1">IF(Data!O592="","",IF(ISNUMBER(Data!Q592),IF(AND(Data!Q592&gt;(TODAY()-(Data_Val!$L$3*365.25)),Data!Q592&lt;=(TODAY()-(Data_Val!$L$2*365.25))),0,1),1))</f>
        <v/>
      </c>
    </row>
    <row r="603" spans="1:17" ht="12" customHeight="1" x14ac:dyDescent="0.25">
      <c r="A603" s="36" t="str">
        <f>IF(Data!B593="","",IF(COUNTIFS(Data!A$1:'Data'!A593,Data!A593)&lt;=1,0,1))</f>
        <v/>
      </c>
      <c r="B603" s="36"/>
      <c r="C603" s="36" t="str">
        <f>IF(Data!C593="","",(IF(ISNUMBER(MATCH("*@*.?*",Data!C593,0)),0,1)+IF(COUNTIFS(Data!C$1:'Data'!C593,Data!C593)&gt;1,1,0)))</f>
        <v/>
      </c>
      <c r="D603" s="36" t="str">
        <f>IF(Data!B593="","",IF(ISNUMBER(Data!D593),IF(AND(Data!D593&gt;999999999,Data!D593&lt;=9999999999),IF(COUNTIFS(Data!D$1:'Data'!D593,Data!D593)&lt;=1,0,1),1),1))</f>
        <v/>
      </c>
      <c r="E603" s="36" t="str">
        <f>IF(Data!B593="","",IF(ISNUMBER(MATCH(Data!E593,Data_Val!$A$2:$A$3,0)),0,1))</f>
        <v/>
      </c>
      <c r="F603" s="36" t="str">
        <f ca="1">IF(Data!B593="","",IF(ISNUMBER(Data!F593),IF(AND(Data!F593&gt;(TODAY()-(Data_Val!$H$3*365.25)),Data!F593&lt;=(TODAY()-(Data_Val!$H$2*365.25))),0,1),1))</f>
        <v/>
      </c>
      <c r="G603" s="12" t="str">
        <f>IF(Data!B593="","",IF(AND(Data!G593="",Data!H593&lt;&gt;""),1,IF(ISNUMBER(MATCH(Data!G593,Data_Val!$C$2:$C$5,0)),0,1)))</f>
        <v/>
      </c>
      <c r="H603" s="12" t="str">
        <f>IF(Data!B593="","",IF(AND(Data!G593&lt;&gt;"",Data!H593=""),1,IF(Data!G593="",1,IF(ISNUMBER(MATCH(Data!H593,Data_Val!$D$2:$D$35,0)),0,1))))</f>
        <v/>
      </c>
      <c r="I603" s="38" t="str">
        <f>IF(Data!G593="","",IF(Data!G593=Data_Val!$C$2,IF(Data!I593="",0,1),0))</f>
        <v/>
      </c>
      <c r="J603" s="38" t="str">
        <f>IF(Data!I593="","",IF(ISNUMBER(MATCH(Data!J593,Data_Val!$A$2:$A$3,0)),0,1))</f>
        <v/>
      </c>
      <c r="K603" s="38" t="str">
        <f ca="1">IF(Data!I593="","",IF(ISNUMBER(Data!K593),IF(AND(Data!K593&gt;(TODAY()-(Data_Val!$K$3*365.25)),Data!K593&lt;=(TODAY()-(Data_Val!$K$2*365.25))),0,1),1))</f>
        <v/>
      </c>
      <c r="L603" s="16" t="str">
        <f>IF(Data!G593="","",IF(Data!G593=Data_Val!$C$2,IF(Data!L593="",0,1),0))</f>
        <v/>
      </c>
      <c r="M603" s="16" t="str">
        <f>IF(Data!L593="","",IF(ISNUMBER(MATCH(Data!M593,Data_Val!$A$2:$A$3,0)),0,1))</f>
        <v/>
      </c>
      <c r="N603" s="43" t="str">
        <f ca="1">IF(Data!L593="","",IF(ISNUMBER(Data!N593),IF(AND(Data!N593&gt;(TODAY()-(Data_Val!$L$3*365.25)),Data!N593&lt;=(TODAY()-(Data_Val!$L$2*365.25))),0,1),1))</f>
        <v/>
      </c>
      <c r="O603" s="18" t="str">
        <f>IF(Data!$G593="","",IF(Data!$G593=Data_Val!$C$2,IF(Data!O593="",0,1),0))</f>
        <v/>
      </c>
      <c r="P603" s="18" t="str">
        <f>IF(Data!O593="","",IF(ISNUMBER(MATCH(Data!P593,Data_Val!$A$2:$A$3,0)),0,1))</f>
        <v/>
      </c>
      <c r="Q603" s="44" t="str">
        <f ca="1">IF(Data!O593="","",IF(ISNUMBER(Data!Q593),IF(AND(Data!Q593&gt;(TODAY()-(Data_Val!$L$3*365.25)),Data!Q593&lt;=(TODAY()-(Data_Val!$L$2*365.25))),0,1),1))</f>
        <v/>
      </c>
    </row>
    <row r="604" spans="1:17" ht="12" customHeight="1" x14ac:dyDescent="0.25">
      <c r="A604" s="36" t="str">
        <f>IF(Data!B594="","",IF(COUNTIFS(Data!A$1:'Data'!A594,Data!A594)&lt;=1,0,1))</f>
        <v/>
      </c>
      <c r="B604" s="36"/>
      <c r="C604" s="36" t="str">
        <f>IF(Data!C594="","",(IF(ISNUMBER(MATCH("*@*.?*",Data!C594,0)),0,1)+IF(COUNTIFS(Data!C$1:'Data'!C594,Data!C594)&gt;1,1,0)))</f>
        <v/>
      </c>
      <c r="D604" s="36" t="str">
        <f>IF(Data!B594="","",IF(ISNUMBER(Data!D594),IF(AND(Data!D594&gt;999999999,Data!D594&lt;=9999999999),IF(COUNTIFS(Data!D$1:'Data'!D594,Data!D594)&lt;=1,0,1),1),1))</f>
        <v/>
      </c>
      <c r="E604" s="36" t="str">
        <f>IF(Data!B594="","",IF(ISNUMBER(MATCH(Data!E594,Data_Val!$A$2:$A$3,0)),0,1))</f>
        <v/>
      </c>
      <c r="F604" s="36" t="str">
        <f ca="1">IF(Data!B594="","",IF(ISNUMBER(Data!F594),IF(AND(Data!F594&gt;(TODAY()-(Data_Val!$H$3*365.25)),Data!F594&lt;=(TODAY()-(Data_Val!$H$2*365.25))),0,1),1))</f>
        <v/>
      </c>
      <c r="G604" s="12" t="str">
        <f>IF(Data!B594="","",IF(AND(Data!G594="",Data!H594&lt;&gt;""),1,IF(ISNUMBER(MATCH(Data!G594,Data_Val!$C$2:$C$5,0)),0,1)))</f>
        <v/>
      </c>
      <c r="H604" s="12" t="str">
        <f>IF(Data!B594="","",IF(AND(Data!G594&lt;&gt;"",Data!H594=""),1,IF(Data!G594="",1,IF(ISNUMBER(MATCH(Data!H594,Data_Val!$D$2:$D$35,0)),0,1))))</f>
        <v/>
      </c>
      <c r="I604" s="38" t="str">
        <f>IF(Data!G594="","",IF(Data!G594=Data_Val!$C$2,IF(Data!I594="",0,1),0))</f>
        <v/>
      </c>
      <c r="J604" s="38" t="str">
        <f>IF(Data!I594="","",IF(ISNUMBER(MATCH(Data!J594,Data_Val!$A$2:$A$3,0)),0,1))</f>
        <v/>
      </c>
      <c r="K604" s="38" t="str">
        <f ca="1">IF(Data!I594="","",IF(ISNUMBER(Data!K594),IF(AND(Data!K594&gt;(TODAY()-(Data_Val!$K$3*365.25)),Data!K594&lt;=(TODAY()-(Data_Val!$K$2*365.25))),0,1),1))</f>
        <v/>
      </c>
      <c r="L604" s="16" t="str">
        <f>IF(Data!G594="","",IF(Data!G594=Data_Val!$C$2,IF(Data!L594="",0,1),0))</f>
        <v/>
      </c>
      <c r="M604" s="16" t="str">
        <f>IF(Data!L594="","",IF(ISNUMBER(MATCH(Data!M594,Data_Val!$A$2:$A$3,0)),0,1))</f>
        <v/>
      </c>
      <c r="N604" s="43" t="str">
        <f ca="1">IF(Data!L594="","",IF(ISNUMBER(Data!N594),IF(AND(Data!N594&gt;(TODAY()-(Data_Val!$L$3*365.25)),Data!N594&lt;=(TODAY()-(Data_Val!$L$2*365.25))),0,1),1))</f>
        <v/>
      </c>
      <c r="O604" s="18" t="str">
        <f>IF(Data!$G594="","",IF(Data!$G594=Data_Val!$C$2,IF(Data!O594="",0,1),0))</f>
        <v/>
      </c>
      <c r="P604" s="18" t="str">
        <f>IF(Data!O594="","",IF(ISNUMBER(MATCH(Data!P594,Data_Val!$A$2:$A$3,0)),0,1))</f>
        <v/>
      </c>
      <c r="Q604" s="44" t="str">
        <f ca="1">IF(Data!O594="","",IF(ISNUMBER(Data!Q594),IF(AND(Data!Q594&gt;(TODAY()-(Data_Val!$L$3*365.25)),Data!Q594&lt;=(TODAY()-(Data_Val!$L$2*365.25))),0,1),1))</f>
        <v/>
      </c>
    </row>
    <row r="605" spans="1:17" ht="12" customHeight="1" x14ac:dyDescent="0.25">
      <c r="A605" s="36" t="str">
        <f>IF(Data!B595="","",IF(COUNTIFS(Data!A$1:'Data'!A595,Data!A595)&lt;=1,0,1))</f>
        <v/>
      </c>
      <c r="B605" s="36"/>
      <c r="C605" s="36" t="str">
        <f>IF(Data!C595="","",(IF(ISNUMBER(MATCH("*@*.?*",Data!C595,0)),0,1)+IF(COUNTIFS(Data!C$1:'Data'!C595,Data!C595)&gt;1,1,0)))</f>
        <v/>
      </c>
      <c r="D605" s="36" t="str">
        <f>IF(Data!B595="","",IF(ISNUMBER(Data!D595),IF(AND(Data!D595&gt;999999999,Data!D595&lt;=9999999999),IF(COUNTIFS(Data!D$1:'Data'!D595,Data!D595)&lt;=1,0,1),1),1))</f>
        <v/>
      </c>
      <c r="E605" s="36" t="str">
        <f>IF(Data!B595="","",IF(ISNUMBER(MATCH(Data!E595,Data_Val!$A$2:$A$3,0)),0,1))</f>
        <v/>
      </c>
      <c r="F605" s="36" t="str">
        <f ca="1">IF(Data!B595="","",IF(ISNUMBER(Data!F595),IF(AND(Data!F595&gt;(TODAY()-(Data_Val!$H$3*365.25)),Data!F595&lt;=(TODAY()-(Data_Val!$H$2*365.25))),0,1),1))</f>
        <v/>
      </c>
      <c r="G605" s="12" t="str">
        <f>IF(Data!B595="","",IF(AND(Data!G595="",Data!H595&lt;&gt;""),1,IF(ISNUMBER(MATCH(Data!G595,Data_Val!$C$2:$C$5,0)),0,1)))</f>
        <v/>
      </c>
      <c r="H605" s="12" t="str">
        <f>IF(Data!B595="","",IF(AND(Data!G595&lt;&gt;"",Data!H595=""),1,IF(Data!G595="",1,IF(ISNUMBER(MATCH(Data!H595,Data_Val!$D$2:$D$35,0)),0,1))))</f>
        <v/>
      </c>
      <c r="I605" s="38" t="str">
        <f>IF(Data!G595="","",IF(Data!G595=Data_Val!$C$2,IF(Data!I595="",0,1),0))</f>
        <v/>
      </c>
      <c r="J605" s="38" t="str">
        <f>IF(Data!I595="","",IF(ISNUMBER(MATCH(Data!J595,Data_Val!$A$2:$A$3,0)),0,1))</f>
        <v/>
      </c>
      <c r="K605" s="38" t="str">
        <f ca="1">IF(Data!I595="","",IF(ISNUMBER(Data!K595),IF(AND(Data!K595&gt;(TODAY()-(Data_Val!$K$3*365.25)),Data!K595&lt;=(TODAY()-(Data_Val!$K$2*365.25))),0,1),1))</f>
        <v/>
      </c>
      <c r="L605" s="16" t="str">
        <f>IF(Data!G595="","",IF(Data!G595=Data_Val!$C$2,IF(Data!L595="",0,1),0))</f>
        <v/>
      </c>
      <c r="M605" s="16" t="str">
        <f>IF(Data!L595="","",IF(ISNUMBER(MATCH(Data!M595,Data_Val!$A$2:$A$3,0)),0,1))</f>
        <v/>
      </c>
      <c r="N605" s="43" t="str">
        <f ca="1">IF(Data!L595="","",IF(ISNUMBER(Data!N595),IF(AND(Data!N595&gt;(TODAY()-(Data_Val!$L$3*365.25)),Data!N595&lt;=(TODAY()-(Data_Val!$L$2*365.25))),0,1),1))</f>
        <v/>
      </c>
      <c r="O605" s="18" t="str">
        <f>IF(Data!$G595="","",IF(Data!$G595=Data_Val!$C$2,IF(Data!O595="",0,1),0))</f>
        <v/>
      </c>
      <c r="P605" s="18" t="str">
        <f>IF(Data!O595="","",IF(ISNUMBER(MATCH(Data!P595,Data_Val!$A$2:$A$3,0)),0,1))</f>
        <v/>
      </c>
      <c r="Q605" s="44" t="str">
        <f ca="1">IF(Data!O595="","",IF(ISNUMBER(Data!Q595),IF(AND(Data!Q595&gt;(TODAY()-(Data_Val!$L$3*365.25)),Data!Q595&lt;=(TODAY()-(Data_Val!$L$2*365.25))),0,1),1))</f>
        <v/>
      </c>
    </row>
    <row r="606" spans="1:17" ht="12" customHeight="1" x14ac:dyDescent="0.25">
      <c r="A606" s="36" t="str">
        <f>IF(Data!B596="","",IF(COUNTIFS(Data!A$1:'Data'!A596,Data!A596)&lt;=1,0,1))</f>
        <v/>
      </c>
      <c r="B606" s="36"/>
      <c r="C606" s="36" t="str">
        <f>IF(Data!C596="","",(IF(ISNUMBER(MATCH("*@*.?*",Data!C596,0)),0,1)+IF(COUNTIFS(Data!C$1:'Data'!C596,Data!C596)&gt;1,1,0)))</f>
        <v/>
      </c>
      <c r="D606" s="36" t="str">
        <f>IF(Data!B596="","",IF(ISNUMBER(Data!D596),IF(AND(Data!D596&gt;999999999,Data!D596&lt;=9999999999),IF(COUNTIFS(Data!D$1:'Data'!D596,Data!D596)&lt;=1,0,1),1),1))</f>
        <v/>
      </c>
      <c r="E606" s="36" t="str">
        <f>IF(Data!B596="","",IF(ISNUMBER(MATCH(Data!E596,Data_Val!$A$2:$A$3,0)),0,1))</f>
        <v/>
      </c>
      <c r="F606" s="36" t="str">
        <f ca="1">IF(Data!B596="","",IF(ISNUMBER(Data!F596),IF(AND(Data!F596&gt;(TODAY()-(Data_Val!$H$3*365.25)),Data!F596&lt;=(TODAY()-(Data_Val!$H$2*365.25))),0,1),1))</f>
        <v/>
      </c>
      <c r="G606" s="12" t="str">
        <f>IF(Data!B596="","",IF(AND(Data!G596="",Data!H596&lt;&gt;""),1,IF(ISNUMBER(MATCH(Data!G596,Data_Val!$C$2:$C$5,0)),0,1)))</f>
        <v/>
      </c>
      <c r="H606" s="12" t="str">
        <f>IF(Data!B596="","",IF(AND(Data!G596&lt;&gt;"",Data!H596=""),1,IF(Data!G596="",1,IF(ISNUMBER(MATCH(Data!H596,Data_Val!$D$2:$D$35,0)),0,1))))</f>
        <v/>
      </c>
      <c r="I606" s="38" t="str">
        <f>IF(Data!G596="","",IF(Data!G596=Data_Val!$C$2,IF(Data!I596="",0,1),0))</f>
        <v/>
      </c>
      <c r="J606" s="38" t="str">
        <f>IF(Data!I596="","",IF(ISNUMBER(MATCH(Data!J596,Data_Val!$A$2:$A$3,0)),0,1))</f>
        <v/>
      </c>
      <c r="K606" s="38" t="str">
        <f ca="1">IF(Data!I596="","",IF(ISNUMBER(Data!K596),IF(AND(Data!K596&gt;(TODAY()-(Data_Val!$K$3*365.25)),Data!K596&lt;=(TODAY()-(Data_Val!$K$2*365.25))),0,1),1))</f>
        <v/>
      </c>
      <c r="L606" s="16" t="str">
        <f>IF(Data!G596="","",IF(Data!G596=Data_Val!$C$2,IF(Data!L596="",0,1),0))</f>
        <v/>
      </c>
      <c r="M606" s="16" t="str">
        <f>IF(Data!L596="","",IF(ISNUMBER(MATCH(Data!M596,Data_Val!$A$2:$A$3,0)),0,1))</f>
        <v/>
      </c>
      <c r="N606" s="43" t="str">
        <f ca="1">IF(Data!L596="","",IF(ISNUMBER(Data!N596),IF(AND(Data!N596&gt;(TODAY()-(Data_Val!$L$3*365.25)),Data!N596&lt;=(TODAY()-(Data_Val!$L$2*365.25))),0,1),1))</f>
        <v/>
      </c>
      <c r="O606" s="18" t="str">
        <f>IF(Data!$G596="","",IF(Data!$G596=Data_Val!$C$2,IF(Data!O596="",0,1),0))</f>
        <v/>
      </c>
      <c r="P606" s="18" t="str">
        <f>IF(Data!O596="","",IF(ISNUMBER(MATCH(Data!P596,Data_Val!$A$2:$A$3,0)),0,1))</f>
        <v/>
      </c>
      <c r="Q606" s="44" t="str">
        <f ca="1">IF(Data!O596="","",IF(ISNUMBER(Data!Q596),IF(AND(Data!Q596&gt;(TODAY()-(Data_Val!$L$3*365.25)),Data!Q596&lt;=(TODAY()-(Data_Val!$L$2*365.25))),0,1),1))</f>
        <v/>
      </c>
    </row>
    <row r="607" spans="1:17" ht="12" customHeight="1" x14ac:dyDescent="0.25">
      <c r="A607" s="36" t="str">
        <f>IF(Data!B597="","",IF(COUNTIFS(Data!A$1:'Data'!A597,Data!A597)&lt;=1,0,1))</f>
        <v/>
      </c>
      <c r="B607" s="36"/>
      <c r="C607" s="36" t="str">
        <f>IF(Data!C597="","",(IF(ISNUMBER(MATCH("*@*.?*",Data!C597,0)),0,1)+IF(COUNTIFS(Data!C$1:'Data'!C597,Data!C597)&gt;1,1,0)))</f>
        <v/>
      </c>
      <c r="D607" s="36" t="str">
        <f>IF(Data!B597="","",IF(ISNUMBER(Data!D597),IF(AND(Data!D597&gt;999999999,Data!D597&lt;=9999999999),IF(COUNTIFS(Data!D$1:'Data'!D597,Data!D597)&lt;=1,0,1),1),1))</f>
        <v/>
      </c>
      <c r="E607" s="36" t="str">
        <f>IF(Data!B597="","",IF(ISNUMBER(MATCH(Data!E597,Data_Val!$A$2:$A$3,0)),0,1))</f>
        <v/>
      </c>
      <c r="F607" s="36" t="str">
        <f ca="1">IF(Data!B597="","",IF(ISNUMBER(Data!F597),IF(AND(Data!F597&gt;(TODAY()-(Data_Val!$H$3*365.25)),Data!F597&lt;=(TODAY()-(Data_Val!$H$2*365.25))),0,1),1))</f>
        <v/>
      </c>
      <c r="G607" s="12" t="str">
        <f>IF(Data!B597="","",IF(AND(Data!G597="",Data!H597&lt;&gt;""),1,IF(ISNUMBER(MATCH(Data!G597,Data_Val!$C$2:$C$5,0)),0,1)))</f>
        <v/>
      </c>
      <c r="H607" s="12" t="str">
        <f>IF(Data!B597="","",IF(AND(Data!G597&lt;&gt;"",Data!H597=""),1,IF(Data!G597="",1,IF(ISNUMBER(MATCH(Data!H597,Data_Val!$D$2:$D$35,0)),0,1))))</f>
        <v/>
      </c>
      <c r="I607" s="38" t="str">
        <f>IF(Data!G597="","",IF(Data!G597=Data_Val!$C$2,IF(Data!I597="",0,1),0))</f>
        <v/>
      </c>
      <c r="J607" s="38" t="str">
        <f>IF(Data!I597="","",IF(ISNUMBER(MATCH(Data!J597,Data_Val!$A$2:$A$3,0)),0,1))</f>
        <v/>
      </c>
      <c r="K607" s="38" t="str">
        <f ca="1">IF(Data!I597="","",IF(ISNUMBER(Data!K597),IF(AND(Data!K597&gt;(TODAY()-(Data_Val!$K$3*365.25)),Data!K597&lt;=(TODAY()-(Data_Val!$K$2*365.25))),0,1),1))</f>
        <v/>
      </c>
      <c r="L607" s="16" t="str">
        <f>IF(Data!G597="","",IF(Data!G597=Data_Val!$C$2,IF(Data!L597="",0,1),0))</f>
        <v/>
      </c>
      <c r="M607" s="16" t="str">
        <f>IF(Data!L597="","",IF(ISNUMBER(MATCH(Data!M597,Data_Val!$A$2:$A$3,0)),0,1))</f>
        <v/>
      </c>
      <c r="N607" s="43" t="str">
        <f ca="1">IF(Data!L597="","",IF(ISNUMBER(Data!N597),IF(AND(Data!N597&gt;(TODAY()-(Data_Val!$L$3*365.25)),Data!N597&lt;=(TODAY()-(Data_Val!$L$2*365.25))),0,1),1))</f>
        <v/>
      </c>
      <c r="O607" s="18" t="str">
        <f>IF(Data!$G597="","",IF(Data!$G597=Data_Val!$C$2,IF(Data!O597="",0,1),0))</f>
        <v/>
      </c>
      <c r="P607" s="18" t="str">
        <f>IF(Data!O597="","",IF(ISNUMBER(MATCH(Data!P597,Data_Val!$A$2:$A$3,0)),0,1))</f>
        <v/>
      </c>
      <c r="Q607" s="44" t="str">
        <f ca="1">IF(Data!O597="","",IF(ISNUMBER(Data!Q597),IF(AND(Data!Q597&gt;(TODAY()-(Data_Val!$L$3*365.25)),Data!Q597&lt;=(TODAY()-(Data_Val!$L$2*365.25))),0,1),1))</f>
        <v/>
      </c>
    </row>
    <row r="608" spans="1:17" ht="12" customHeight="1" x14ac:dyDescent="0.25">
      <c r="A608" s="36" t="str">
        <f>IF(Data!B598="","",IF(COUNTIFS(Data!A$1:'Data'!A598,Data!A598)&lt;=1,0,1))</f>
        <v/>
      </c>
      <c r="B608" s="36"/>
      <c r="C608" s="36" t="str">
        <f>IF(Data!C598="","",(IF(ISNUMBER(MATCH("*@*.?*",Data!C598,0)),0,1)+IF(COUNTIFS(Data!C$1:'Data'!C598,Data!C598)&gt;1,1,0)))</f>
        <v/>
      </c>
      <c r="D608" s="36" t="str">
        <f>IF(Data!B598="","",IF(ISNUMBER(Data!D598),IF(AND(Data!D598&gt;999999999,Data!D598&lt;=9999999999),IF(COUNTIFS(Data!D$1:'Data'!D598,Data!D598)&lt;=1,0,1),1),1))</f>
        <v/>
      </c>
      <c r="E608" s="36" t="str">
        <f>IF(Data!B598="","",IF(ISNUMBER(MATCH(Data!E598,Data_Val!$A$2:$A$3,0)),0,1))</f>
        <v/>
      </c>
      <c r="F608" s="36" t="str">
        <f ca="1">IF(Data!B598="","",IF(ISNUMBER(Data!F598),IF(AND(Data!F598&gt;(TODAY()-(Data_Val!$H$3*365.25)),Data!F598&lt;=(TODAY()-(Data_Val!$H$2*365.25))),0,1),1))</f>
        <v/>
      </c>
      <c r="G608" s="12" t="str">
        <f>IF(Data!B598="","",IF(AND(Data!G598="",Data!H598&lt;&gt;""),1,IF(ISNUMBER(MATCH(Data!G598,Data_Val!$C$2:$C$5,0)),0,1)))</f>
        <v/>
      </c>
      <c r="H608" s="12" t="str">
        <f>IF(Data!B598="","",IF(AND(Data!G598&lt;&gt;"",Data!H598=""),1,IF(Data!G598="",1,IF(ISNUMBER(MATCH(Data!H598,Data_Val!$D$2:$D$35,0)),0,1))))</f>
        <v/>
      </c>
      <c r="I608" s="38" t="str">
        <f>IF(Data!G598="","",IF(Data!G598=Data_Val!$C$2,IF(Data!I598="",0,1),0))</f>
        <v/>
      </c>
      <c r="J608" s="38" t="str">
        <f>IF(Data!I598="","",IF(ISNUMBER(MATCH(Data!J598,Data_Val!$A$2:$A$3,0)),0,1))</f>
        <v/>
      </c>
      <c r="K608" s="38" t="str">
        <f ca="1">IF(Data!I598="","",IF(ISNUMBER(Data!K598),IF(AND(Data!K598&gt;(TODAY()-(Data_Val!$K$3*365.25)),Data!K598&lt;=(TODAY()-(Data_Val!$K$2*365.25))),0,1),1))</f>
        <v/>
      </c>
      <c r="L608" s="16" t="str">
        <f>IF(Data!G598="","",IF(Data!G598=Data_Val!$C$2,IF(Data!L598="",0,1),0))</f>
        <v/>
      </c>
      <c r="M608" s="16" t="str">
        <f>IF(Data!L598="","",IF(ISNUMBER(MATCH(Data!M598,Data_Val!$A$2:$A$3,0)),0,1))</f>
        <v/>
      </c>
      <c r="N608" s="43" t="str">
        <f ca="1">IF(Data!L598="","",IF(ISNUMBER(Data!N598),IF(AND(Data!N598&gt;(TODAY()-(Data_Val!$L$3*365.25)),Data!N598&lt;=(TODAY()-(Data_Val!$L$2*365.25))),0,1),1))</f>
        <v/>
      </c>
      <c r="O608" s="18" t="str">
        <f>IF(Data!$G598="","",IF(Data!$G598=Data_Val!$C$2,IF(Data!O598="",0,1),0))</f>
        <v/>
      </c>
      <c r="P608" s="18" t="str">
        <f>IF(Data!O598="","",IF(ISNUMBER(MATCH(Data!P598,Data_Val!$A$2:$A$3,0)),0,1))</f>
        <v/>
      </c>
      <c r="Q608" s="44" t="str">
        <f ca="1">IF(Data!O598="","",IF(ISNUMBER(Data!Q598),IF(AND(Data!Q598&gt;(TODAY()-(Data_Val!$L$3*365.25)),Data!Q598&lt;=(TODAY()-(Data_Val!$L$2*365.25))),0,1),1))</f>
        <v/>
      </c>
    </row>
    <row r="609" spans="1:17" ht="12" customHeight="1" x14ac:dyDescent="0.25">
      <c r="A609" s="36" t="str">
        <f>IF(Data!B599="","",IF(COUNTIFS(Data!A$1:'Data'!A599,Data!A599)&lt;=1,0,1))</f>
        <v/>
      </c>
      <c r="B609" s="36"/>
      <c r="C609" s="36" t="str">
        <f>IF(Data!C599="","",(IF(ISNUMBER(MATCH("*@*.?*",Data!C599,0)),0,1)+IF(COUNTIFS(Data!C$1:'Data'!C599,Data!C599)&gt;1,1,0)))</f>
        <v/>
      </c>
      <c r="D609" s="36" t="str">
        <f>IF(Data!B599="","",IF(ISNUMBER(Data!D599),IF(AND(Data!D599&gt;999999999,Data!D599&lt;=9999999999),IF(COUNTIFS(Data!D$1:'Data'!D599,Data!D599)&lt;=1,0,1),1),1))</f>
        <v/>
      </c>
      <c r="E609" s="36" t="str">
        <f>IF(Data!B599="","",IF(ISNUMBER(MATCH(Data!E599,Data_Val!$A$2:$A$3,0)),0,1))</f>
        <v/>
      </c>
      <c r="F609" s="36" t="str">
        <f ca="1">IF(Data!B599="","",IF(ISNUMBER(Data!F599),IF(AND(Data!F599&gt;(TODAY()-(Data_Val!$H$3*365.25)),Data!F599&lt;=(TODAY()-(Data_Val!$H$2*365.25))),0,1),1))</f>
        <v/>
      </c>
      <c r="G609" s="12" t="str">
        <f>IF(Data!B599="","",IF(AND(Data!G599="",Data!H599&lt;&gt;""),1,IF(ISNUMBER(MATCH(Data!G599,Data_Val!$C$2:$C$5,0)),0,1)))</f>
        <v/>
      </c>
      <c r="H609" s="12" t="str">
        <f>IF(Data!B599="","",IF(AND(Data!G599&lt;&gt;"",Data!H599=""),1,IF(Data!G599="",1,IF(ISNUMBER(MATCH(Data!H599,Data_Val!$D$2:$D$35,0)),0,1))))</f>
        <v/>
      </c>
      <c r="I609" s="38" t="str">
        <f>IF(Data!G599="","",IF(Data!G599=Data_Val!$C$2,IF(Data!I599="",0,1),0))</f>
        <v/>
      </c>
      <c r="J609" s="38" t="str">
        <f>IF(Data!I599="","",IF(ISNUMBER(MATCH(Data!J599,Data_Val!$A$2:$A$3,0)),0,1))</f>
        <v/>
      </c>
      <c r="K609" s="38" t="str">
        <f ca="1">IF(Data!I599="","",IF(ISNUMBER(Data!K599),IF(AND(Data!K599&gt;(TODAY()-(Data_Val!$K$3*365.25)),Data!K599&lt;=(TODAY()-(Data_Val!$K$2*365.25))),0,1),1))</f>
        <v/>
      </c>
      <c r="L609" s="16" t="str">
        <f>IF(Data!G599="","",IF(Data!G599=Data_Val!$C$2,IF(Data!L599="",0,1),0))</f>
        <v/>
      </c>
      <c r="M609" s="16" t="str">
        <f>IF(Data!L599="","",IF(ISNUMBER(MATCH(Data!M599,Data_Val!$A$2:$A$3,0)),0,1))</f>
        <v/>
      </c>
      <c r="N609" s="43" t="str">
        <f ca="1">IF(Data!L599="","",IF(ISNUMBER(Data!N599),IF(AND(Data!N599&gt;(TODAY()-(Data_Val!$L$3*365.25)),Data!N599&lt;=(TODAY()-(Data_Val!$L$2*365.25))),0,1),1))</f>
        <v/>
      </c>
      <c r="O609" s="18" t="str">
        <f>IF(Data!$G599="","",IF(Data!$G599=Data_Val!$C$2,IF(Data!O599="",0,1),0))</f>
        <v/>
      </c>
      <c r="P609" s="18" t="str">
        <f>IF(Data!O599="","",IF(ISNUMBER(MATCH(Data!P599,Data_Val!$A$2:$A$3,0)),0,1))</f>
        <v/>
      </c>
      <c r="Q609" s="44" t="str">
        <f ca="1">IF(Data!O599="","",IF(ISNUMBER(Data!Q599),IF(AND(Data!Q599&gt;(TODAY()-(Data_Val!$L$3*365.25)),Data!Q599&lt;=(TODAY()-(Data_Val!$L$2*365.25))),0,1),1))</f>
        <v/>
      </c>
    </row>
    <row r="610" spans="1:17" ht="12" customHeight="1" x14ac:dyDescent="0.25">
      <c r="A610" s="36" t="str">
        <f>IF(Data!B600="","",IF(COUNTIFS(Data!A$1:'Data'!A600,Data!A600)&lt;=1,0,1))</f>
        <v/>
      </c>
      <c r="B610" s="36"/>
      <c r="C610" s="36" t="str">
        <f>IF(Data!C600="","",(IF(ISNUMBER(MATCH("*@*.?*",Data!C600,0)),0,1)+IF(COUNTIFS(Data!C$1:'Data'!C600,Data!C600)&gt;1,1,0)))</f>
        <v/>
      </c>
      <c r="D610" s="36" t="str">
        <f>IF(Data!B600="","",IF(ISNUMBER(Data!D600),IF(AND(Data!D600&gt;999999999,Data!D600&lt;=9999999999),IF(COUNTIFS(Data!D$1:'Data'!D600,Data!D600)&lt;=1,0,1),1),1))</f>
        <v/>
      </c>
      <c r="E610" s="36" t="str">
        <f>IF(Data!B600="","",IF(ISNUMBER(MATCH(Data!E600,Data_Val!$A$2:$A$3,0)),0,1))</f>
        <v/>
      </c>
      <c r="F610" s="36" t="str">
        <f ca="1">IF(Data!B600="","",IF(ISNUMBER(Data!F600),IF(AND(Data!F600&gt;(TODAY()-(Data_Val!$H$3*365.25)),Data!F600&lt;=(TODAY()-(Data_Val!$H$2*365.25))),0,1),1))</f>
        <v/>
      </c>
      <c r="G610" s="12" t="str">
        <f>IF(Data!B600="","",IF(AND(Data!G600="",Data!H600&lt;&gt;""),1,IF(ISNUMBER(MATCH(Data!G600,Data_Val!$C$2:$C$5,0)),0,1)))</f>
        <v/>
      </c>
      <c r="H610" s="12" t="str">
        <f>IF(Data!B600="","",IF(AND(Data!G600&lt;&gt;"",Data!H600=""),1,IF(Data!G600="",1,IF(ISNUMBER(MATCH(Data!H600,Data_Val!$D$2:$D$35,0)),0,1))))</f>
        <v/>
      </c>
      <c r="I610" s="38" t="str">
        <f>IF(Data!G600="","",IF(Data!G600=Data_Val!$C$2,IF(Data!I600="",0,1),0))</f>
        <v/>
      </c>
      <c r="J610" s="38" t="str">
        <f>IF(Data!I600="","",IF(ISNUMBER(MATCH(Data!J600,Data_Val!$A$2:$A$3,0)),0,1))</f>
        <v/>
      </c>
      <c r="K610" s="38" t="str">
        <f ca="1">IF(Data!I600="","",IF(ISNUMBER(Data!K600),IF(AND(Data!K600&gt;(TODAY()-(Data_Val!$K$3*365.25)),Data!K600&lt;=(TODAY()-(Data_Val!$K$2*365.25))),0,1),1))</f>
        <v/>
      </c>
      <c r="L610" s="16" t="str">
        <f>IF(Data!G600="","",IF(Data!G600=Data_Val!$C$2,IF(Data!L600="",0,1),0))</f>
        <v/>
      </c>
      <c r="M610" s="16" t="str">
        <f>IF(Data!L600="","",IF(ISNUMBER(MATCH(Data!M600,Data_Val!$A$2:$A$3,0)),0,1))</f>
        <v/>
      </c>
      <c r="N610" s="43" t="str">
        <f ca="1">IF(Data!L600="","",IF(ISNUMBER(Data!N600),IF(AND(Data!N600&gt;(TODAY()-(Data_Val!$L$3*365.25)),Data!N600&lt;=(TODAY()-(Data_Val!$L$2*365.25))),0,1),1))</f>
        <v/>
      </c>
      <c r="O610" s="18" t="str">
        <f>IF(Data!$G600="","",IF(Data!$G600=Data_Val!$C$2,IF(Data!O600="",0,1),0))</f>
        <v/>
      </c>
      <c r="P610" s="18" t="str">
        <f>IF(Data!O600="","",IF(ISNUMBER(MATCH(Data!P600,Data_Val!$A$2:$A$3,0)),0,1))</f>
        <v/>
      </c>
      <c r="Q610" s="44" t="str">
        <f ca="1">IF(Data!O600="","",IF(ISNUMBER(Data!Q600),IF(AND(Data!Q600&gt;(TODAY()-(Data_Val!$L$3*365.25)),Data!Q600&lt;=(TODAY()-(Data_Val!$L$2*365.25))),0,1),1))</f>
        <v/>
      </c>
    </row>
    <row r="611" spans="1:17" ht="12" customHeight="1" x14ac:dyDescent="0.25">
      <c r="A611" s="36" t="str">
        <f>IF(Data!B601="","",IF(COUNTIFS(Data!A$1:'Data'!A601,Data!A601)&lt;=1,0,1))</f>
        <v/>
      </c>
      <c r="B611" s="36"/>
      <c r="C611" s="36" t="str">
        <f>IF(Data!C601="","",(IF(ISNUMBER(MATCH("*@*.?*",Data!C601,0)),0,1)+IF(COUNTIFS(Data!C$1:'Data'!C601,Data!C601)&gt;1,1,0)))</f>
        <v/>
      </c>
      <c r="D611" s="36" t="str">
        <f>IF(Data!B601="","",IF(ISNUMBER(Data!D601),IF(AND(Data!D601&gt;999999999,Data!D601&lt;=9999999999),IF(COUNTIFS(Data!D$1:'Data'!D601,Data!D601)&lt;=1,0,1),1),1))</f>
        <v/>
      </c>
      <c r="E611" s="36" t="str">
        <f>IF(Data!B601="","",IF(ISNUMBER(MATCH(Data!E601,Data_Val!$A$2:$A$3,0)),0,1))</f>
        <v/>
      </c>
      <c r="F611" s="36" t="str">
        <f ca="1">IF(Data!B601="","",IF(ISNUMBER(Data!F601),IF(AND(Data!F601&gt;(TODAY()-(Data_Val!$H$3*365.25)),Data!F601&lt;=(TODAY()-(Data_Val!$H$2*365.25))),0,1),1))</f>
        <v/>
      </c>
      <c r="G611" s="12" t="str">
        <f>IF(Data!B601="","",IF(AND(Data!G601="",Data!H601&lt;&gt;""),1,IF(ISNUMBER(MATCH(Data!G601,Data_Val!$C$2:$C$5,0)),0,1)))</f>
        <v/>
      </c>
      <c r="H611" s="12" t="str">
        <f>IF(Data!B601="","",IF(AND(Data!G601&lt;&gt;"",Data!H601=""),1,IF(Data!G601="",1,IF(ISNUMBER(MATCH(Data!H601,Data_Val!$D$2:$D$35,0)),0,1))))</f>
        <v/>
      </c>
      <c r="I611" s="38" t="str">
        <f>IF(Data!G601="","",IF(Data!G601=Data_Val!$C$2,IF(Data!I601="",0,1),0))</f>
        <v/>
      </c>
      <c r="J611" s="38" t="str">
        <f>IF(Data!I601="","",IF(ISNUMBER(MATCH(Data!J601,Data_Val!$A$2:$A$3,0)),0,1))</f>
        <v/>
      </c>
      <c r="K611" s="38" t="str">
        <f ca="1">IF(Data!I601="","",IF(ISNUMBER(Data!K601),IF(AND(Data!K601&gt;(TODAY()-(Data_Val!$K$3*365.25)),Data!K601&lt;=(TODAY()-(Data_Val!$K$2*365.25))),0,1),1))</f>
        <v/>
      </c>
      <c r="L611" s="16" t="str">
        <f>IF(Data!G601="","",IF(Data!G601=Data_Val!$C$2,IF(Data!L601="",0,1),0))</f>
        <v/>
      </c>
      <c r="M611" s="16" t="str">
        <f>IF(Data!L601="","",IF(ISNUMBER(MATCH(Data!M601,Data_Val!$A$2:$A$3,0)),0,1))</f>
        <v/>
      </c>
      <c r="N611" s="43" t="str">
        <f ca="1">IF(Data!L601="","",IF(ISNUMBER(Data!N601),IF(AND(Data!N601&gt;(TODAY()-(Data_Val!$L$3*365.25)),Data!N601&lt;=(TODAY()-(Data_Val!$L$2*365.25))),0,1),1))</f>
        <v/>
      </c>
      <c r="O611" s="18" t="str">
        <f>IF(Data!$G601="","",IF(Data!$G601=Data_Val!$C$2,IF(Data!O601="",0,1),0))</f>
        <v/>
      </c>
      <c r="P611" s="18" t="str">
        <f>IF(Data!O601="","",IF(ISNUMBER(MATCH(Data!P601,Data_Val!$A$2:$A$3,0)),0,1))</f>
        <v/>
      </c>
      <c r="Q611" s="44" t="str">
        <f ca="1">IF(Data!O601="","",IF(ISNUMBER(Data!Q601),IF(AND(Data!Q601&gt;(TODAY()-(Data_Val!$L$3*365.25)),Data!Q601&lt;=(TODAY()-(Data_Val!$L$2*365.25))),0,1),1))</f>
        <v/>
      </c>
    </row>
    <row r="612" spans="1:17" ht="12" customHeight="1" x14ac:dyDescent="0.25">
      <c r="A612" s="36" t="str">
        <f>IF(Data!B602="","",IF(COUNTIFS(Data!A$1:'Data'!A602,Data!A602)&lt;=1,0,1))</f>
        <v/>
      </c>
      <c r="B612" s="36"/>
      <c r="C612" s="36" t="str">
        <f>IF(Data!C602="","",(IF(ISNUMBER(MATCH("*@*.?*",Data!C602,0)),0,1)+IF(COUNTIFS(Data!C$1:'Data'!C602,Data!C602)&gt;1,1,0)))</f>
        <v/>
      </c>
      <c r="D612" s="36" t="str">
        <f>IF(Data!B602="","",IF(ISNUMBER(Data!D602),IF(AND(Data!D602&gt;999999999,Data!D602&lt;=9999999999),IF(COUNTIFS(Data!D$1:'Data'!D602,Data!D602)&lt;=1,0,1),1),1))</f>
        <v/>
      </c>
      <c r="E612" s="36" t="str">
        <f>IF(Data!B602="","",IF(ISNUMBER(MATCH(Data!E602,Data_Val!$A$2:$A$3,0)),0,1))</f>
        <v/>
      </c>
      <c r="F612" s="36" t="str">
        <f ca="1">IF(Data!B602="","",IF(ISNUMBER(Data!F602),IF(AND(Data!F602&gt;(TODAY()-(Data_Val!$H$3*365.25)),Data!F602&lt;=(TODAY()-(Data_Val!$H$2*365.25))),0,1),1))</f>
        <v/>
      </c>
      <c r="G612" s="12" t="str">
        <f>IF(Data!B602="","",IF(AND(Data!G602="",Data!H602&lt;&gt;""),1,IF(ISNUMBER(MATCH(Data!G602,Data_Val!$C$2:$C$5,0)),0,1)))</f>
        <v/>
      </c>
      <c r="H612" s="12" t="str">
        <f>IF(Data!B602="","",IF(AND(Data!G602&lt;&gt;"",Data!H602=""),1,IF(Data!G602="",1,IF(ISNUMBER(MATCH(Data!H602,Data_Val!$D$2:$D$35,0)),0,1))))</f>
        <v/>
      </c>
      <c r="I612" s="38" t="str">
        <f>IF(Data!G602="","",IF(Data!G602=Data_Val!$C$2,IF(Data!I602="",0,1),0))</f>
        <v/>
      </c>
      <c r="J612" s="38" t="str">
        <f>IF(Data!I602="","",IF(ISNUMBER(MATCH(Data!J602,Data_Val!$A$2:$A$3,0)),0,1))</f>
        <v/>
      </c>
      <c r="K612" s="38" t="str">
        <f ca="1">IF(Data!I602="","",IF(ISNUMBER(Data!K602),IF(AND(Data!K602&gt;(TODAY()-(Data_Val!$K$3*365.25)),Data!K602&lt;=(TODAY()-(Data_Val!$K$2*365.25))),0,1),1))</f>
        <v/>
      </c>
      <c r="L612" s="16" t="str">
        <f>IF(Data!G602="","",IF(Data!G602=Data_Val!$C$2,IF(Data!L602="",0,1),0))</f>
        <v/>
      </c>
      <c r="M612" s="16" t="str">
        <f>IF(Data!L602="","",IF(ISNUMBER(MATCH(Data!M602,Data_Val!$A$2:$A$3,0)),0,1))</f>
        <v/>
      </c>
      <c r="N612" s="43" t="str">
        <f ca="1">IF(Data!L602="","",IF(ISNUMBER(Data!N602),IF(AND(Data!N602&gt;(TODAY()-(Data_Val!$L$3*365.25)),Data!N602&lt;=(TODAY()-(Data_Val!$L$2*365.25))),0,1),1))</f>
        <v/>
      </c>
      <c r="O612" s="18" t="str">
        <f>IF(Data!$G602="","",IF(Data!$G602=Data_Val!$C$2,IF(Data!O602="",0,1),0))</f>
        <v/>
      </c>
      <c r="P612" s="18" t="str">
        <f>IF(Data!O602="","",IF(ISNUMBER(MATCH(Data!P602,Data_Val!$A$2:$A$3,0)),0,1))</f>
        <v/>
      </c>
      <c r="Q612" s="44" t="str">
        <f ca="1">IF(Data!O602="","",IF(ISNUMBER(Data!Q602),IF(AND(Data!Q602&gt;(TODAY()-(Data_Val!$L$3*365.25)),Data!Q602&lt;=(TODAY()-(Data_Val!$L$2*365.25))),0,1),1))</f>
        <v/>
      </c>
    </row>
    <row r="613" spans="1:17" ht="12" customHeight="1" x14ac:dyDescent="0.25">
      <c r="A613" s="36" t="str">
        <f>IF(Data!B603="","",IF(COUNTIFS(Data!A$1:'Data'!A603,Data!A603)&lt;=1,0,1))</f>
        <v/>
      </c>
      <c r="B613" s="36"/>
      <c r="C613" s="36" t="str">
        <f>IF(Data!C603="","",(IF(ISNUMBER(MATCH("*@*.?*",Data!C603,0)),0,1)+IF(COUNTIFS(Data!C$1:'Data'!C603,Data!C603)&gt;1,1,0)))</f>
        <v/>
      </c>
      <c r="D613" s="36" t="str">
        <f>IF(Data!B603="","",IF(ISNUMBER(Data!D603),IF(AND(Data!D603&gt;999999999,Data!D603&lt;=9999999999),IF(COUNTIFS(Data!D$1:'Data'!D603,Data!D603)&lt;=1,0,1),1),1))</f>
        <v/>
      </c>
      <c r="E613" s="36" t="str">
        <f>IF(Data!B603="","",IF(ISNUMBER(MATCH(Data!E603,Data_Val!$A$2:$A$3,0)),0,1))</f>
        <v/>
      </c>
      <c r="F613" s="36" t="str">
        <f ca="1">IF(Data!B603="","",IF(ISNUMBER(Data!F603),IF(AND(Data!F603&gt;(TODAY()-(Data_Val!$H$3*365.25)),Data!F603&lt;=(TODAY()-(Data_Val!$H$2*365.25))),0,1),1))</f>
        <v/>
      </c>
      <c r="G613" s="12" t="str">
        <f>IF(Data!B603="","",IF(AND(Data!G603="",Data!H603&lt;&gt;""),1,IF(ISNUMBER(MATCH(Data!G603,Data_Val!$C$2:$C$5,0)),0,1)))</f>
        <v/>
      </c>
      <c r="H613" s="12" t="str">
        <f>IF(Data!B603="","",IF(AND(Data!G603&lt;&gt;"",Data!H603=""),1,IF(Data!G603="",1,IF(ISNUMBER(MATCH(Data!H603,Data_Val!$D$2:$D$35,0)),0,1))))</f>
        <v/>
      </c>
      <c r="I613" s="38" t="str">
        <f>IF(Data!G603="","",IF(Data!G603=Data_Val!$C$2,IF(Data!I603="",0,1),0))</f>
        <v/>
      </c>
      <c r="J613" s="38" t="str">
        <f>IF(Data!I603="","",IF(ISNUMBER(MATCH(Data!J603,Data_Val!$A$2:$A$3,0)),0,1))</f>
        <v/>
      </c>
      <c r="K613" s="38" t="str">
        <f ca="1">IF(Data!I603="","",IF(ISNUMBER(Data!K603),IF(AND(Data!K603&gt;(TODAY()-(Data_Val!$K$3*365.25)),Data!K603&lt;=(TODAY()-(Data_Val!$K$2*365.25))),0,1),1))</f>
        <v/>
      </c>
      <c r="L613" s="16" t="str">
        <f>IF(Data!G603="","",IF(Data!G603=Data_Val!$C$2,IF(Data!L603="",0,1),0))</f>
        <v/>
      </c>
      <c r="M613" s="16" t="str">
        <f>IF(Data!L603="","",IF(ISNUMBER(MATCH(Data!M603,Data_Val!$A$2:$A$3,0)),0,1))</f>
        <v/>
      </c>
      <c r="N613" s="43" t="str">
        <f ca="1">IF(Data!L603="","",IF(ISNUMBER(Data!N603),IF(AND(Data!N603&gt;(TODAY()-(Data_Val!$L$3*365.25)),Data!N603&lt;=(TODAY()-(Data_Val!$L$2*365.25))),0,1),1))</f>
        <v/>
      </c>
      <c r="O613" s="18" t="str">
        <f>IF(Data!$G603="","",IF(Data!$G603=Data_Val!$C$2,IF(Data!O603="",0,1),0))</f>
        <v/>
      </c>
      <c r="P613" s="18" t="str">
        <f>IF(Data!O603="","",IF(ISNUMBER(MATCH(Data!P603,Data_Val!$A$2:$A$3,0)),0,1))</f>
        <v/>
      </c>
      <c r="Q613" s="44" t="str">
        <f ca="1">IF(Data!O603="","",IF(ISNUMBER(Data!Q603),IF(AND(Data!Q603&gt;(TODAY()-(Data_Val!$L$3*365.25)),Data!Q603&lt;=(TODAY()-(Data_Val!$L$2*365.25))),0,1),1))</f>
        <v/>
      </c>
    </row>
    <row r="614" spans="1:17" ht="12" customHeight="1" x14ac:dyDescent="0.25">
      <c r="A614" s="36" t="str">
        <f>IF(Data!B604="","",IF(COUNTIFS(Data!A$1:'Data'!A604,Data!A604)&lt;=1,0,1))</f>
        <v/>
      </c>
      <c r="B614" s="36"/>
      <c r="C614" s="36" t="str">
        <f>IF(Data!C604="","",(IF(ISNUMBER(MATCH("*@*.?*",Data!C604,0)),0,1)+IF(COUNTIFS(Data!C$1:'Data'!C604,Data!C604)&gt;1,1,0)))</f>
        <v/>
      </c>
      <c r="D614" s="36" t="str">
        <f>IF(Data!B604="","",IF(ISNUMBER(Data!D604),IF(AND(Data!D604&gt;999999999,Data!D604&lt;=9999999999),IF(COUNTIFS(Data!D$1:'Data'!D604,Data!D604)&lt;=1,0,1),1),1))</f>
        <v/>
      </c>
      <c r="E614" s="36" t="str">
        <f>IF(Data!B604="","",IF(ISNUMBER(MATCH(Data!E604,Data_Val!$A$2:$A$3,0)),0,1))</f>
        <v/>
      </c>
      <c r="F614" s="36" t="str">
        <f ca="1">IF(Data!B604="","",IF(ISNUMBER(Data!F604),IF(AND(Data!F604&gt;(TODAY()-(Data_Val!$H$3*365.25)),Data!F604&lt;=(TODAY()-(Data_Val!$H$2*365.25))),0,1),1))</f>
        <v/>
      </c>
      <c r="G614" s="12" t="str">
        <f>IF(Data!B604="","",IF(AND(Data!G604="",Data!H604&lt;&gt;""),1,IF(ISNUMBER(MATCH(Data!G604,Data_Val!$C$2:$C$5,0)),0,1)))</f>
        <v/>
      </c>
      <c r="H614" s="12" t="str">
        <f>IF(Data!B604="","",IF(AND(Data!G604&lt;&gt;"",Data!H604=""),1,IF(Data!G604="",1,IF(ISNUMBER(MATCH(Data!H604,Data_Val!$D$2:$D$35,0)),0,1))))</f>
        <v/>
      </c>
      <c r="I614" s="38" t="str">
        <f>IF(Data!G604="","",IF(Data!G604=Data_Val!$C$2,IF(Data!I604="",0,1),0))</f>
        <v/>
      </c>
      <c r="J614" s="38" t="str">
        <f>IF(Data!I604="","",IF(ISNUMBER(MATCH(Data!J604,Data_Val!$A$2:$A$3,0)),0,1))</f>
        <v/>
      </c>
      <c r="K614" s="38" t="str">
        <f ca="1">IF(Data!I604="","",IF(ISNUMBER(Data!K604),IF(AND(Data!K604&gt;(TODAY()-(Data_Val!$K$3*365.25)),Data!K604&lt;=(TODAY()-(Data_Val!$K$2*365.25))),0,1),1))</f>
        <v/>
      </c>
      <c r="L614" s="16" t="str">
        <f>IF(Data!G604="","",IF(Data!G604=Data_Val!$C$2,IF(Data!L604="",0,1),0))</f>
        <v/>
      </c>
      <c r="M614" s="16" t="str">
        <f>IF(Data!L604="","",IF(ISNUMBER(MATCH(Data!M604,Data_Val!$A$2:$A$3,0)),0,1))</f>
        <v/>
      </c>
      <c r="N614" s="43" t="str">
        <f ca="1">IF(Data!L604="","",IF(ISNUMBER(Data!N604),IF(AND(Data!N604&gt;(TODAY()-(Data_Val!$L$3*365.25)),Data!N604&lt;=(TODAY()-(Data_Val!$L$2*365.25))),0,1),1))</f>
        <v/>
      </c>
      <c r="O614" s="18" t="str">
        <f>IF(Data!$G604="","",IF(Data!$G604=Data_Val!$C$2,IF(Data!O604="",0,1),0))</f>
        <v/>
      </c>
      <c r="P614" s="18" t="str">
        <f>IF(Data!O604="","",IF(ISNUMBER(MATCH(Data!P604,Data_Val!$A$2:$A$3,0)),0,1))</f>
        <v/>
      </c>
      <c r="Q614" s="44" t="str">
        <f ca="1">IF(Data!O604="","",IF(ISNUMBER(Data!Q604),IF(AND(Data!Q604&gt;(TODAY()-(Data_Val!$L$3*365.25)),Data!Q604&lt;=(TODAY()-(Data_Val!$L$2*365.25))),0,1),1))</f>
        <v/>
      </c>
    </row>
    <row r="615" spans="1:17" ht="12" customHeight="1" x14ac:dyDescent="0.25">
      <c r="A615" s="36" t="str">
        <f>IF(Data!B605="","",IF(COUNTIFS(Data!A$1:'Data'!A605,Data!A605)&lt;=1,0,1))</f>
        <v/>
      </c>
      <c r="B615" s="36"/>
      <c r="C615" s="36" t="str">
        <f>IF(Data!C605="","",(IF(ISNUMBER(MATCH("*@*.?*",Data!C605,0)),0,1)+IF(COUNTIFS(Data!C$1:'Data'!C605,Data!C605)&gt;1,1,0)))</f>
        <v/>
      </c>
      <c r="D615" s="36" t="str">
        <f>IF(Data!B605="","",IF(ISNUMBER(Data!D605),IF(AND(Data!D605&gt;999999999,Data!D605&lt;=9999999999),IF(COUNTIFS(Data!D$1:'Data'!D605,Data!D605)&lt;=1,0,1),1),1))</f>
        <v/>
      </c>
      <c r="E615" s="36" t="str">
        <f>IF(Data!B605="","",IF(ISNUMBER(MATCH(Data!E605,Data_Val!$A$2:$A$3,0)),0,1))</f>
        <v/>
      </c>
      <c r="F615" s="36" t="str">
        <f ca="1">IF(Data!B605="","",IF(ISNUMBER(Data!F605),IF(AND(Data!F605&gt;(TODAY()-(Data_Val!$H$3*365.25)),Data!F605&lt;=(TODAY()-(Data_Val!$H$2*365.25))),0,1),1))</f>
        <v/>
      </c>
      <c r="G615" s="12" t="str">
        <f>IF(Data!B605="","",IF(AND(Data!G605="",Data!H605&lt;&gt;""),1,IF(ISNUMBER(MATCH(Data!G605,Data_Val!$C$2:$C$5,0)),0,1)))</f>
        <v/>
      </c>
      <c r="H615" s="12" t="str">
        <f>IF(Data!B605="","",IF(AND(Data!G605&lt;&gt;"",Data!H605=""),1,IF(Data!G605="",1,IF(ISNUMBER(MATCH(Data!H605,Data_Val!$D$2:$D$35,0)),0,1))))</f>
        <v/>
      </c>
      <c r="I615" s="38" t="str">
        <f>IF(Data!G605="","",IF(Data!G605=Data_Val!$C$2,IF(Data!I605="",0,1),0))</f>
        <v/>
      </c>
      <c r="J615" s="38" t="str">
        <f>IF(Data!I605="","",IF(ISNUMBER(MATCH(Data!J605,Data_Val!$A$2:$A$3,0)),0,1))</f>
        <v/>
      </c>
      <c r="K615" s="38" t="str">
        <f ca="1">IF(Data!I605="","",IF(ISNUMBER(Data!K605),IF(AND(Data!K605&gt;(TODAY()-(Data_Val!$K$3*365.25)),Data!K605&lt;=(TODAY()-(Data_Val!$K$2*365.25))),0,1),1))</f>
        <v/>
      </c>
      <c r="L615" s="16" t="str">
        <f>IF(Data!G605="","",IF(Data!G605=Data_Val!$C$2,IF(Data!L605="",0,1),0))</f>
        <v/>
      </c>
      <c r="M615" s="16" t="str">
        <f>IF(Data!L605="","",IF(ISNUMBER(MATCH(Data!M605,Data_Val!$A$2:$A$3,0)),0,1))</f>
        <v/>
      </c>
      <c r="N615" s="43" t="str">
        <f ca="1">IF(Data!L605="","",IF(ISNUMBER(Data!N605),IF(AND(Data!N605&gt;(TODAY()-(Data_Val!$L$3*365.25)),Data!N605&lt;=(TODAY()-(Data_Val!$L$2*365.25))),0,1),1))</f>
        <v/>
      </c>
      <c r="O615" s="18" t="str">
        <f>IF(Data!$G605="","",IF(Data!$G605=Data_Val!$C$2,IF(Data!O605="",0,1),0))</f>
        <v/>
      </c>
      <c r="P615" s="18" t="str">
        <f>IF(Data!O605="","",IF(ISNUMBER(MATCH(Data!P605,Data_Val!$A$2:$A$3,0)),0,1))</f>
        <v/>
      </c>
      <c r="Q615" s="44" t="str">
        <f ca="1">IF(Data!O605="","",IF(ISNUMBER(Data!Q605),IF(AND(Data!Q605&gt;(TODAY()-(Data_Val!$L$3*365.25)),Data!Q605&lt;=(TODAY()-(Data_Val!$L$2*365.25))),0,1),1))</f>
        <v/>
      </c>
    </row>
    <row r="616" spans="1:17" ht="12" customHeight="1" x14ac:dyDescent="0.25">
      <c r="A616" s="36" t="str">
        <f>IF(Data!B606="","",IF(COUNTIFS(Data!A$1:'Data'!A606,Data!A606)&lt;=1,0,1))</f>
        <v/>
      </c>
      <c r="B616" s="36"/>
      <c r="C616" s="36" t="str">
        <f>IF(Data!C606="","",(IF(ISNUMBER(MATCH("*@*.?*",Data!C606,0)),0,1)+IF(COUNTIFS(Data!C$1:'Data'!C606,Data!C606)&gt;1,1,0)))</f>
        <v/>
      </c>
      <c r="D616" s="36" t="str">
        <f>IF(Data!B606="","",IF(ISNUMBER(Data!D606),IF(AND(Data!D606&gt;999999999,Data!D606&lt;=9999999999),IF(COUNTIFS(Data!D$1:'Data'!D606,Data!D606)&lt;=1,0,1),1),1))</f>
        <v/>
      </c>
      <c r="E616" s="36" t="str">
        <f>IF(Data!B606="","",IF(ISNUMBER(MATCH(Data!E606,Data_Val!$A$2:$A$3,0)),0,1))</f>
        <v/>
      </c>
      <c r="F616" s="36" t="str">
        <f ca="1">IF(Data!B606="","",IF(ISNUMBER(Data!F606),IF(AND(Data!F606&gt;(TODAY()-(Data_Val!$H$3*365.25)),Data!F606&lt;=(TODAY()-(Data_Val!$H$2*365.25))),0,1),1))</f>
        <v/>
      </c>
      <c r="G616" s="12" t="str">
        <f>IF(Data!B606="","",IF(AND(Data!G606="",Data!H606&lt;&gt;""),1,IF(ISNUMBER(MATCH(Data!G606,Data_Val!$C$2:$C$5,0)),0,1)))</f>
        <v/>
      </c>
      <c r="H616" s="12" t="str">
        <f>IF(Data!B606="","",IF(AND(Data!G606&lt;&gt;"",Data!H606=""),1,IF(Data!G606="",1,IF(ISNUMBER(MATCH(Data!H606,Data_Val!$D$2:$D$35,0)),0,1))))</f>
        <v/>
      </c>
      <c r="I616" s="38" t="str">
        <f>IF(Data!G606="","",IF(Data!G606=Data_Val!$C$2,IF(Data!I606="",0,1),0))</f>
        <v/>
      </c>
      <c r="J616" s="38" t="str">
        <f>IF(Data!I606="","",IF(ISNUMBER(MATCH(Data!J606,Data_Val!$A$2:$A$3,0)),0,1))</f>
        <v/>
      </c>
      <c r="K616" s="38" t="str">
        <f ca="1">IF(Data!I606="","",IF(ISNUMBER(Data!K606),IF(AND(Data!K606&gt;(TODAY()-(Data_Val!$K$3*365.25)),Data!K606&lt;=(TODAY()-(Data_Val!$K$2*365.25))),0,1),1))</f>
        <v/>
      </c>
      <c r="L616" s="16" t="str">
        <f>IF(Data!G606="","",IF(Data!G606=Data_Val!$C$2,IF(Data!L606="",0,1),0))</f>
        <v/>
      </c>
      <c r="M616" s="16" t="str">
        <f>IF(Data!L606="","",IF(ISNUMBER(MATCH(Data!M606,Data_Val!$A$2:$A$3,0)),0,1))</f>
        <v/>
      </c>
      <c r="N616" s="43" t="str">
        <f ca="1">IF(Data!L606="","",IF(ISNUMBER(Data!N606),IF(AND(Data!N606&gt;(TODAY()-(Data_Val!$L$3*365.25)),Data!N606&lt;=(TODAY()-(Data_Val!$L$2*365.25))),0,1),1))</f>
        <v/>
      </c>
      <c r="O616" s="18" t="str">
        <f>IF(Data!$G606="","",IF(Data!$G606=Data_Val!$C$2,IF(Data!O606="",0,1),0))</f>
        <v/>
      </c>
      <c r="P616" s="18" t="str">
        <f>IF(Data!O606="","",IF(ISNUMBER(MATCH(Data!P606,Data_Val!$A$2:$A$3,0)),0,1))</f>
        <v/>
      </c>
      <c r="Q616" s="44" t="str">
        <f ca="1">IF(Data!O606="","",IF(ISNUMBER(Data!Q606),IF(AND(Data!Q606&gt;(TODAY()-(Data_Val!$L$3*365.25)),Data!Q606&lt;=(TODAY()-(Data_Val!$L$2*365.25))),0,1),1))</f>
        <v/>
      </c>
    </row>
    <row r="617" spans="1:17" ht="12" customHeight="1" x14ac:dyDescent="0.25">
      <c r="A617" s="36" t="str">
        <f>IF(Data!B607="","",IF(COUNTIFS(Data!A$1:'Data'!A607,Data!A607)&lt;=1,0,1))</f>
        <v/>
      </c>
      <c r="B617" s="36"/>
      <c r="C617" s="36" t="str">
        <f>IF(Data!C607="","",(IF(ISNUMBER(MATCH("*@*.?*",Data!C607,0)),0,1)+IF(COUNTIFS(Data!C$1:'Data'!C607,Data!C607)&gt;1,1,0)))</f>
        <v/>
      </c>
      <c r="D617" s="36" t="str">
        <f>IF(Data!B607="","",IF(ISNUMBER(Data!D607),IF(AND(Data!D607&gt;999999999,Data!D607&lt;=9999999999),IF(COUNTIFS(Data!D$1:'Data'!D607,Data!D607)&lt;=1,0,1),1),1))</f>
        <v/>
      </c>
      <c r="E617" s="36" t="str">
        <f>IF(Data!B607="","",IF(ISNUMBER(MATCH(Data!E607,Data_Val!$A$2:$A$3,0)),0,1))</f>
        <v/>
      </c>
      <c r="F617" s="36" t="str">
        <f ca="1">IF(Data!B607="","",IF(ISNUMBER(Data!F607),IF(AND(Data!F607&gt;(TODAY()-(Data_Val!$H$3*365.25)),Data!F607&lt;=(TODAY()-(Data_Val!$H$2*365.25))),0,1),1))</f>
        <v/>
      </c>
      <c r="G617" s="12" t="str">
        <f>IF(Data!B607="","",IF(AND(Data!G607="",Data!H607&lt;&gt;""),1,IF(ISNUMBER(MATCH(Data!G607,Data_Val!$C$2:$C$5,0)),0,1)))</f>
        <v/>
      </c>
      <c r="H617" s="12" t="str">
        <f>IF(Data!B607="","",IF(AND(Data!G607&lt;&gt;"",Data!H607=""),1,IF(Data!G607="",1,IF(ISNUMBER(MATCH(Data!H607,Data_Val!$D$2:$D$35,0)),0,1))))</f>
        <v/>
      </c>
      <c r="I617" s="38" t="str">
        <f>IF(Data!G607="","",IF(Data!G607=Data_Val!$C$2,IF(Data!I607="",0,1),0))</f>
        <v/>
      </c>
      <c r="J617" s="38" t="str">
        <f>IF(Data!I607="","",IF(ISNUMBER(MATCH(Data!J607,Data_Val!$A$2:$A$3,0)),0,1))</f>
        <v/>
      </c>
      <c r="K617" s="38" t="str">
        <f ca="1">IF(Data!I607="","",IF(ISNUMBER(Data!K607),IF(AND(Data!K607&gt;(TODAY()-(Data_Val!$K$3*365.25)),Data!K607&lt;=(TODAY()-(Data_Val!$K$2*365.25))),0,1),1))</f>
        <v/>
      </c>
      <c r="L617" s="16" t="str">
        <f>IF(Data!G607="","",IF(Data!G607=Data_Val!$C$2,IF(Data!L607="",0,1),0))</f>
        <v/>
      </c>
      <c r="M617" s="16" t="str">
        <f>IF(Data!L607="","",IF(ISNUMBER(MATCH(Data!M607,Data_Val!$A$2:$A$3,0)),0,1))</f>
        <v/>
      </c>
      <c r="N617" s="43" t="str">
        <f ca="1">IF(Data!L607="","",IF(ISNUMBER(Data!N607),IF(AND(Data!N607&gt;(TODAY()-(Data_Val!$L$3*365.25)),Data!N607&lt;=(TODAY()-(Data_Val!$L$2*365.25))),0,1),1))</f>
        <v/>
      </c>
      <c r="O617" s="18" t="str">
        <f>IF(Data!$G607="","",IF(Data!$G607=Data_Val!$C$2,IF(Data!O607="",0,1),0))</f>
        <v/>
      </c>
      <c r="P617" s="18" t="str">
        <f>IF(Data!O607="","",IF(ISNUMBER(MATCH(Data!P607,Data_Val!$A$2:$A$3,0)),0,1))</f>
        <v/>
      </c>
      <c r="Q617" s="44" t="str">
        <f ca="1">IF(Data!O607="","",IF(ISNUMBER(Data!Q607),IF(AND(Data!Q607&gt;(TODAY()-(Data_Val!$L$3*365.25)),Data!Q607&lt;=(TODAY()-(Data_Val!$L$2*365.25))),0,1),1))</f>
        <v/>
      </c>
    </row>
    <row r="618" spans="1:17" ht="12" customHeight="1" x14ac:dyDescent="0.25">
      <c r="A618" s="36" t="str">
        <f>IF(Data!B608="","",IF(COUNTIFS(Data!A$1:'Data'!A608,Data!A608)&lt;=1,0,1))</f>
        <v/>
      </c>
      <c r="B618" s="36"/>
      <c r="C618" s="36" t="str">
        <f>IF(Data!C608="","",(IF(ISNUMBER(MATCH("*@*.?*",Data!C608,0)),0,1)+IF(COUNTIFS(Data!C$1:'Data'!C608,Data!C608)&gt;1,1,0)))</f>
        <v/>
      </c>
      <c r="D618" s="36" t="str">
        <f>IF(Data!B608="","",IF(ISNUMBER(Data!D608),IF(AND(Data!D608&gt;999999999,Data!D608&lt;=9999999999),IF(COUNTIFS(Data!D$1:'Data'!D608,Data!D608)&lt;=1,0,1),1),1))</f>
        <v/>
      </c>
      <c r="E618" s="36" t="str">
        <f>IF(Data!B608="","",IF(ISNUMBER(MATCH(Data!E608,Data_Val!$A$2:$A$3,0)),0,1))</f>
        <v/>
      </c>
      <c r="F618" s="36" t="str">
        <f ca="1">IF(Data!B608="","",IF(ISNUMBER(Data!F608),IF(AND(Data!F608&gt;(TODAY()-(Data_Val!$H$3*365.25)),Data!F608&lt;=(TODAY()-(Data_Val!$H$2*365.25))),0,1),1))</f>
        <v/>
      </c>
      <c r="G618" s="12" t="str">
        <f>IF(Data!B608="","",IF(AND(Data!G608="",Data!H608&lt;&gt;""),1,IF(ISNUMBER(MATCH(Data!G608,Data_Val!$C$2:$C$5,0)),0,1)))</f>
        <v/>
      </c>
      <c r="H618" s="12" t="str">
        <f>IF(Data!B608="","",IF(AND(Data!G608&lt;&gt;"",Data!H608=""),1,IF(Data!G608="",1,IF(ISNUMBER(MATCH(Data!H608,Data_Val!$D$2:$D$35,0)),0,1))))</f>
        <v/>
      </c>
      <c r="I618" s="38" t="str">
        <f>IF(Data!G608="","",IF(Data!G608=Data_Val!$C$2,IF(Data!I608="",0,1),0))</f>
        <v/>
      </c>
      <c r="J618" s="38" t="str">
        <f>IF(Data!I608="","",IF(ISNUMBER(MATCH(Data!J608,Data_Val!$A$2:$A$3,0)),0,1))</f>
        <v/>
      </c>
      <c r="K618" s="38" t="str">
        <f ca="1">IF(Data!I608="","",IF(ISNUMBER(Data!K608),IF(AND(Data!K608&gt;(TODAY()-(Data_Val!$K$3*365.25)),Data!K608&lt;=(TODAY()-(Data_Val!$K$2*365.25))),0,1),1))</f>
        <v/>
      </c>
      <c r="L618" s="16" t="str">
        <f>IF(Data!G608="","",IF(Data!G608=Data_Val!$C$2,IF(Data!L608="",0,1),0))</f>
        <v/>
      </c>
      <c r="M618" s="16" t="str">
        <f>IF(Data!L608="","",IF(ISNUMBER(MATCH(Data!M608,Data_Val!$A$2:$A$3,0)),0,1))</f>
        <v/>
      </c>
      <c r="N618" s="43" t="str">
        <f ca="1">IF(Data!L608="","",IF(ISNUMBER(Data!N608),IF(AND(Data!N608&gt;(TODAY()-(Data_Val!$L$3*365.25)),Data!N608&lt;=(TODAY()-(Data_Val!$L$2*365.25))),0,1),1))</f>
        <v/>
      </c>
      <c r="O618" s="18" t="str">
        <f>IF(Data!$G608="","",IF(Data!$G608=Data_Val!$C$2,IF(Data!O608="",0,1),0))</f>
        <v/>
      </c>
      <c r="P618" s="18" t="str">
        <f>IF(Data!O608="","",IF(ISNUMBER(MATCH(Data!P608,Data_Val!$A$2:$A$3,0)),0,1))</f>
        <v/>
      </c>
      <c r="Q618" s="44" t="str">
        <f ca="1">IF(Data!O608="","",IF(ISNUMBER(Data!Q608),IF(AND(Data!Q608&gt;(TODAY()-(Data_Val!$L$3*365.25)),Data!Q608&lt;=(TODAY()-(Data_Val!$L$2*365.25))),0,1),1))</f>
        <v/>
      </c>
    </row>
    <row r="619" spans="1:17" ht="12" customHeight="1" x14ac:dyDescent="0.25">
      <c r="A619" s="36" t="str">
        <f>IF(Data!B609="","",IF(COUNTIFS(Data!A$1:'Data'!A609,Data!A609)&lt;=1,0,1))</f>
        <v/>
      </c>
      <c r="B619" s="36"/>
      <c r="C619" s="36" t="str">
        <f>IF(Data!C609="","",(IF(ISNUMBER(MATCH("*@*.?*",Data!C609,0)),0,1)+IF(COUNTIFS(Data!C$1:'Data'!C609,Data!C609)&gt;1,1,0)))</f>
        <v/>
      </c>
      <c r="D619" s="36" t="str">
        <f>IF(Data!B609="","",IF(ISNUMBER(Data!D609),IF(AND(Data!D609&gt;999999999,Data!D609&lt;=9999999999),IF(COUNTIFS(Data!D$1:'Data'!D609,Data!D609)&lt;=1,0,1),1),1))</f>
        <v/>
      </c>
      <c r="E619" s="36" t="str">
        <f>IF(Data!B609="","",IF(ISNUMBER(MATCH(Data!E609,Data_Val!$A$2:$A$3,0)),0,1))</f>
        <v/>
      </c>
      <c r="F619" s="36" t="str">
        <f ca="1">IF(Data!B609="","",IF(ISNUMBER(Data!F609),IF(AND(Data!F609&gt;(TODAY()-(Data_Val!$H$3*365.25)),Data!F609&lt;=(TODAY()-(Data_Val!$H$2*365.25))),0,1),1))</f>
        <v/>
      </c>
      <c r="G619" s="12" t="str">
        <f>IF(Data!B609="","",IF(AND(Data!G609="",Data!H609&lt;&gt;""),1,IF(ISNUMBER(MATCH(Data!G609,Data_Val!$C$2:$C$5,0)),0,1)))</f>
        <v/>
      </c>
      <c r="H619" s="12" t="str">
        <f>IF(Data!B609="","",IF(AND(Data!G609&lt;&gt;"",Data!H609=""),1,IF(Data!G609="",1,IF(ISNUMBER(MATCH(Data!H609,Data_Val!$D$2:$D$35,0)),0,1))))</f>
        <v/>
      </c>
      <c r="I619" s="38" t="str">
        <f>IF(Data!G609="","",IF(Data!G609=Data_Val!$C$2,IF(Data!I609="",0,1),0))</f>
        <v/>
      </c>
      <c r="J619" s="38" t="str">
        <f>IF(Data!I609="","",IF(ISNUMBER(MATCH(Data!J609,Data_Val!$A$2:$A$3,0)),0,1))</f>
        <v/>
      </c>
      <c r="K619" s="38" t="str">
        <f ca="1">IF(Data!I609="","",IF(ISNUMBER(Data!K609),IF(AND(Data!K609&gt;(TODAY()-(Data_Val!$K$3*365.25)),Data!K609&lt;=(TODAY()-(Data_Val!$K$2*365.25))),0,1),1))</f>
        <v/>
      </c>
      <c r="L619" s="16" t="str">
        <f>IF(Data!G609="","",IF(Data!G609=Data_Val!$C$2,IF(Data!L609="",0,1),0))</f>
        <v/>
      </c>
      <c r="M619" s="16" t="str">
        <f>IF(Data!L609="","",IF(ISNUMBER(MATCH(Data!M609,Data_Val!$A$2:$A$3,0)),0,1))</f>
        <v/>
      </c>
      <c r="N619" s="43" t="str">
        <f ca="1">IF(Data!L609="","",IF(ISNUMBER(Data!N609),IF(AND(Data!N609&gt;(TODAY()-(Data_Val!$L$3*365.25)),Data!N609&lt;=(TODAY()-(Data_Val!$L$2*365.25))),0,1),1))</f>
        <v/>
      </c>
      <c r="O619" s="18" t="str">
        <f>IF(Data!$G609="","",IF(Data!$G609=Data_Val!$C$2,IF(Data!O609="",0,1),0))</f>
        <v/>
      </c>
      <c r="P619" s="18" t="str">
        <f>IF(Data!O609="","",IF(ISNUMBER(MATCH(Data!P609,Data_Val!$A$2:$A$3,0)),0,1))</f>
        <v/>
      </c>
      <c r="Q619" s="44" t="str">
        <f ca="1">IF(Data!O609="","",IF(ISNUMBER(Data!Q609),IF(AND(Data!Q609&gt;(TODAY()-(Data_Val!$L$3*365.25)),Data!Q609&lt;=(TODAY()-(Data_Val!$L$2*365.25))),0,1),1))</f>
        <v/>
      </c>
    </row>
    <row r="620" spans="1:17" ht="12" customHeight="1" x14ac:dyDescent="0.25">
      <c r="A620" s="36" t="str">
        <f>IF(Data!B610="","",IF(COUNTIFS(Data!A$1:'Data'!A610,Data!A610)&lt;=1,0,1))</f>
        <v/>
      </c>
      <c r="B620" s="36"/>
      <c r="C620" s="36" t="str">
        <f>IF(Data!C610="","",(IF(ISNUMBER(MATCH("*@*.?*",Data!C610,0)),0,1)+IF(COUNTIFS(Data!C$1:'Data'!C610,Data!C610)&gt;1,1,0)))</f>
        <v/>
      </c>
      <c r="D620" s="36" t="str">
        <f>IF(Data!B610="","",IF(ISNUMBER(Data!D610),IF(AND(Data!D610&gt;999999999,Data!D610&lt;=9999999999),IF(COUNTIFS(Data!D$1:'Data'!D610,Data!D610)&lt;=1,0,1),1),1))</f>
        <v/>
      </c>
      <c r="E620" s="36" t="str">
        <f>IF(Data!B610="","",IF(ISNUMBER(MATCH(Data!E610,Data_Val!$A$2:$A$3,0)),0,1))</f>
        <v/>
      </c>
      <c r="F620" s="36" t="str">
        <f ca="1">IF(Data!B610="","",IF(ISNUMBER(Data!F610),IF(AND(Data!F610&gt;(TODAY()-(Data_Val!$H$3*365.25)),Data!F610&lt;=(TODAY()-(Data_Val!$H$2*365.25))),0,1),1))</f>
        <v/>
      </c>
      <c r="G620" s="12" t="str">
        <f>IF(Data!B610="","",IF(AND(Data!G610="",Data!H610&lt;&gt;""),1,IF(ISNUMBER(MATCH(Data!G610,Data_Val!$C$2:$C$5,0)),0,1)))</f>
        <v/>
      </c>
      <c r="H620" s="12" t="str">
        <f>IF(Data!B610="","",IF(AND(Data!G610&lt;&gt;"",Data!H610=""),1,IF(Data!G610="",1,IF(ISNUMBER(MATCH(Data!H610,Data_Val!$D$2:$D$35,0)),0,1))))</f>
        <v/>
      </c>
      <c r="I620" s="38" t="str">
        <f>IF(Data!G610="","",IF(Data!G610=Data_Val!$C$2,IF(Data!I610="",0,1),0))</f>
        <v/>
      </c>
      <c r="J620" s="38" t="str">
        <f>IF(Data!I610="","",IF(ISNUMBER(MATCH(Data!J610,Data_Val!$A$2:$A$3,0)),0,1))</f>
        <v/>
      </c>
      <c r="K620" s="38" t="str">
        <f ca="1">IF(Data!I610="","",IF(ISNUMBER(Data!K610),IF(AND(Data!K610&gt;(TODAY()-(Data_Val!$K$3*365.25)),Data!K610&lt;=(TODAY()-(Data_Val!$K$2*365.25))),0,1),1))</f>
        <v/>
      </c>
      <c r="L620" s="16" t="str">
        <f>IF(Data!G610="","",IF(Data!G610=Data_Val!$C$2,IF(Data!L610="",0,1),0))</f>
        <v/>
      </c>
      <c r="M620" s="16" t="str">
        <f>IF(Data!L610="","",IF(ISNUMBER(MATCH(Data!M610,Data_Val!$A$2:$A$3,0)),0,1))</f>
        <v/>
      </c>
      <c r="N620" s="43" t="str">
        <f ca="1">IF(Data!L610="","",IF(ISNUMBER(Data!N610),IF(AND(Data!N610&gt;(TODAY()-(Data_Val!$L$3*365.25)),Data!N610&lt;=(TODAY()-(Data_Val!$L$2*365.25))),0,1),1))</f>
        <v/>
      </c>
      <c r="O620" s="18" t="str">
        <f>IF(Data!$G610="","",IF(Data!$G610=Data_Val!$C$2,IF(Data!O610="",0,1),0))</f>
        <v/>
      </c>
      <c r="P620" s="18" t="str">
        <f>IF(Data!O610="","",IF(ISNUMBER(MATCH(Data!P610,Data_Val!$A$2:$A$3,0)),0,1))</f>
        <v/>
      </c>
      <c r="Q620" s="44" t="str">
        <f ca="1">IF(Data!O610="","",IF(ISNUMBER(Data!Q610),IF(AND(Data!Q610&gt;(TODAY()-(Data_Val!$L$3*365.25)),Data!Q610&lt;=(TODAY()-(Data_Val!$L$2*365.25))),0,1),1))</f>
        <v/>
      </c>
    </row>
    <row r="621" spans="1:17" ht="12" customHeight="1" x14ac:dyDescent="0.25">
      <c r="A621" s="36" t="str">
        <f>IF(Data!B611="","",IF(COUNTIFS(Data!A$1:'Data'!A611,Data!A611)&lt;=1,0,1))</f>
        <v/>
      </c>
      <c r="B621" s="36"/>
      <c r="C621" s="36" t="str">
        <f>IF(Data!C611="","",(IF(ISNUMBER(MATCH("*@*.?*",Data!C611,0)),0,1)+IF(COUNTIFS(Data!C$1:'Data'!C611,Data!C611)&gt;1,1,0)))</f>
        <v/>
      </c>
      <c r="D621" s="36" t="str">
        <f>IF(Data!B611="","",IF(ISNUMBER(Data!D611),IF(AND(Data!D611&gt;999999999,Data!D611&lt;=9999999999),IF(COUNTIFS(Data!D$1:'Data'!D611,Data!D611)&lt;=1,0,1),1),1))</f>
        <v/>
      </c>
      <c r="E621" s="36" t="str">
        <f>IF(Data!B611="","",IF(ISNUMBER(MATCH(Data!E611,Data_Val!$A$2:$A$3,0)),0,1))</f>
        <v/>
      </c>
      <c r="F621" s="36" t="str">
        <f ca="1">IF(Data!B611="","",IF(ISNUMBER(Data!F611),IF(AND(Data!F611&gt;(TODAY()-(Data_Val!$H$3*365.25)),Data!F611&lt;=(TODAY()-(Data_Val!$H$2*365.25))),0,1),1))</f>
        <v/>
      </c>
      <c r="G621" s="12" t="str">
        <f>IF(Data!B611="","",IF(AND(Data!G611="",Data!H611&lt;&gt;""),1,IF(ISNUMBER(MATCH(Data!G611,Data_Val!$C$2:$C$5,0)),0,1)))</f>
        <v/>
      </c>
      <c r="H621" s="12" t="str">
        <f>IF(Data!B611="","",IF(AND(Data!G611&lt;&gt;"",Data!H611=""),1,IF(Data!G611="",1,IF(ISNUMBER(MATCH(Data!H611,Data_Val!$D$2:$D$35,0)),0,1))))</f>
        <v/>
      </c>
      <c r="I621" s="38" t="str">
        <f>IF(Data!G611="","",IF(Data!G611=Data_Val!$C$2,IF(Data!I611="",0,1),0))</f>
        <v/>
      </c>
      <c r="J621" s="38" t="str">
        <f>IF(Data!I611="","",IF(ISNUMBER(MATCH(Data!J611,Data_Val!$A$2:$A$3,0)),0,1))</f>
        <v/>
      </c>
      <c r="K621" s="38" t="str">
        <f ca="1">IF(Data!I611="","",IF(ISNUMBER(Data!K611),IF(AND(Data!K611&gt;(TODAY()-(Data_Val!$K$3*365.25)),Data!K611&lt;=(TODAY()-(Data_Val!$K$2*365.25))),0,1),1))</f>
        <v/>
      </c>
      <c r="L621" s="16" t="str">
        <f>IF(Data!G611="","",IF(Data!G611=Data_Val!$C$2,IF(Data!L611="",0,1),0))</f>
        <v/>
      </c>
      <c r="M621" s="16" t="str">
        <f>IF(Data!L611="","",IF(ISNUMBER(MATCH(Data!M611,Data_Val!$A$2:$A$3,0)),0,1))</f>
        <v/>
      </c>
      <c r="N621" s="43" t="str">
        <f ca="1">IF(Data!L611="","",IF(ISNUMBER(Data!N611),IF(AND(Data!N611&gt;(TODAY()-(Data_Val!$L$3*365.25)),Data!N611&lt;=(TODAY()-(Data_Val!$L$2*365.25))),0,1),1))</f>
        <v/>
      </c>
      <c r="O621" s="18" t="str">
        <f>IF(Data!$G611="","",IF(Data!$G611=Data_Val!$C$2,IF(Data!O611="",0,1),0))</f>
        <v/>
      </c>
      <c r="P621" s="18" t="str">
        <f>IF(Data!O611="","",IF(ISNUMBER(MATCH(Data!P611,Data_Val!$A$2:$A$3,0)),0,1))</f>
        <v/>
      </c>
      <c r="Q621" s="44" t="str">
        <f ca="1">IF(Data!O611="","",IF(ISNUMBER(Data!Q611),IF(AND(Data!Q611&gt;(TODAY()-(Data_Val!$L$3*365.25)),Data!Q611&lt;=(TODAY()-(Data_Val!$L$2*365.25))),0,1),1))</f>
        <v/>
      </c>
    </row>
    <row r="622" spans="1:17" ht="12" customHeight="1" x14ac:dyDescent="0.25">
      <c r="A622" s="36" t="str">
        <f>IF(Data!B612="","",IF(COUNTIFS(Data!A$1:'Data'!A612,Data!A612)&lt;=1,0,1))</f>
        <v/>
      </c>
      <c r="B622" s="36"/>
      <c r="C622" s="36" t="str">
        <f>IF(Data!C612="","",(IF(ISNUMBER(MATCH("*@*.?*",Data!C612,0)),0,1)+IF(COUNTIFS(Data!C$1:'Data'!C612,Data!C612)&gt;1,1,0)))</f>
        <v/>
      </c>
      <c r="D622" s="36" t="str">
        <f>IF(Data!B612="","",IF(ISNUMBER(Data!D612),IF(AND(Data!D612&gt;999999999,Data!D612&lt;=9999999999),IF(COUNTIFS(Data!D$1:'Data'!D612,Data!D612)&lt;=1,0,1),1),1))</f>
        <v/>
      </c>
      <c r="E622" s="36" t="str">
        <f>IF(Data!B612="","",IF(ISNUMBER(MATCH(Data!E612,Data_Val!$A$2:$A$3,0)),0,1))</f>
        <v/>
      </c>
      <c r="F622" s="36" t="str">
        <f ca="1">IF(Data!B612="","",IF(ISNUMBER(Data!F612),IF(AND(Data!F612&gt;(TODAY()-(Data_Val!$H$3*365.25)),Data!F612&lt;=(TODAY()-(Data_Val!$H$2*365.25))),0,1),1))</f>
        <v/>
      </c>
      <c r="G622" s="12" t="str">
        <f>IF(Data!B612="","",IF(AND(Data!G612="",Data!H612&lt;&gt;""),1,IF(ISNUMBER(MATCH(Data!G612,Data_Val!$C$2:$C$5,0)),0,1)))</f>
        <v/>
      </c>
      <c r="H622" s="12" t="str">
        <f>IF(Data!B612="","",IF(AND(Data!G612&lt;&gt;"",Data!H612=""),1,IF(Data!G612="",1,IF(ISNUMBER(MATCH(Data!H612,Data_Val!$D$2:$D$35,0)),0,1))))</f>
        <v/>
      </c>
      <c r="I622" s="38" t="str">
        <f>IF(Data!G612="","",IF(Data!G612=Data_Val!$C$2,IF(Data!I612="",0,1),0))</f>
        <v/>
      </c>
      <c r="J622" s="38" t="str">
        <f>IF(Data!I612="","",IF(ISNUMBER(MATCH(Data!J612,Data_Val!$A$2:$A$3,0)),0,1))</f>
        <v/>
      </c>
      <c r="K622" s="38" t="str">
        <f ca="1">IF(Data!I612="","",IF(ISNUMBER(Data!K612),IF(AND(Data!K612&gt;(TODAY()-(Data_Val!$K$3*365.25)),Data!K612&lt;=(TODAY()-(Data_Val!$K$2*365.25))),0,1),1))</f>
        <v/>
      </c>
      <c r="L622" s="16" t="str">
        <f>IF(Data!G612="","",IF(Data!G612=Data_Val!$C$2,IF(Data!L612="",0,1),0))</f>
        <v/>
      </c>
      <c r="M622" s="16" t="str">
        <f>IF(Data!L612="","",IF(ISNUMBER(MATCH(Data!M612,Data_Val!$A$2:$A$3,0)),0,1))</f>
        <v/>
      </c>
      <c r="N622" s="43" t="str">
        <f ca="1">IF(Data!L612="","",IF(ISNUMBER(Data!N612),IF(AND(Data!N612&gt;(TODAY()-(Data_Val!$L$3*365.25)),Data!N612&lt;=(TODAY()-(Data_Val!$L$2*365.25))),0,1),1))</f>
        <v/>
      </c>
      <c r="O622" s="18" t="str">
        <f>IF(Data!$G612="","",IF(Data!$G612=Data_Val!$C$2,IF(Data!O612="",0,1),0))</f>
        <v/>
      </c>
      <c r="P622" s="18" t="str">
        <f>IF(Data!O612="","",IF(ISNUMBER(MATCH(Data!P612,Data_Val!$A$2:$A$3,0)),0,1))</f>
        <v/>
      </c>
      <c r="Q622" s="44" t="str">
        <f ca="1">IF(Data!O612="","",IF(ISNUMBER(Data!Q612),IF(AND(Data!Q612&gt;(TODAY()-(Data_Val!$L$3*365.25)),Data!Q612&lt;=(TODAY()-(Data_Val!$L$2*365.25))),0,1),1))</f>
        <v/>
      </c>
    </row>
    <row r="623" spans="1:17" ht="12" customHeight="1" x14ac:dyDescent="0.25">
      <c r="A623" s="36" t="str">
        <f>IF(Data!B613="","",IF(COUNTIFS(Data!A$1:'Data'!A613,Data!A613)&lt;=1,0,1))</f>
        <v/>
      </c>
      <c r="B623" s="36"/>
      <c r="C623" s="36" t="str">
        <f>IF(Data!C613="","",(IF(ISNUMBER(MATCH("*@*.?*",Data!C613,0)),0,1)+IF(COUNTIFS(Data!C$1:'Data'!C613,Data!C613)&gt;1,1,0)))</f>
        <v/>
      </c>
      <c r="D623" s="36" t="str">
        <f>IF(Data!B613="","",IF(ISNUMBER(Data!D613),IF(AND(Data!D613&gt;999999999,Data!D613&lt;=9999999999),IF(COUNTIFS(Data!D$1:'Data'!D613,Data!D613)&lt;=1,0,1),1),1))</f>
        <v/>
      </c>
      <c r="E623" s="36" t="str">
        <f>IF(Data!B613="","",IF(ISNUMBER(MATCH(Data!E613,Data_Val!$A$2:$A$3,0)),0,1))</f>
        <v/>
      </c>
      <c r="F623" s="36" t="str">
        <f ca="1">IF(Data!B613="","",IF(ISNUMBER(Data!F613),IF(AND(Data!F613&gt;(TODAY()-(Data_Val!$H$3*365.25)),Data!F613&lt;=(TODAY()-(Data_Val!$H$2*365.25))),0,1),1))</f>
        <v/>
      </c>
      <c r="G623" s="12" t="str">
        <f>IF(Data!B613="","",IF(AND(Data!G613="",Data!H613&lt;&gt;""),1,IF(ISNUMBER(MATCH(Data!G613,Data_Val!$C$2:$C$5,0)),0,1)))</f>
        <v/>
      </c>
      <c r="H623" s="12" t="str">
        <f>IF(Data!B613="","",IF(AND(Data!G613&lt;&gt;"",Data!H613=""),1,IF(Data!G613="",1,IF(ISNUMBER(MATCH(Data!H613,Data_Val!$D$2:$D$35,0)),0,1))))</f>
        <v/>
      </c>
      <c r="I623" s="38" t="str">
        <f>IF(Data!G613="","",IF(Data!G613=Data_Val!$C$2,IF(Data!I613="",0,1),0))</f>
        <v/>
      </c>
      <c r="J623" s="38" t="str">
        <f>IF(Data!I613="","",IF(ISNUMBER(MATCH(Data!J613,Data_Val!$A$2:$A$3,0)),0,1))</f>
        <v/>
      </c>
      <c r="K623" s="38" t="str">
        <f ca="1">IF(Data!I613="","",IF(ISNUMBER(Data!K613),IF(AND(Data!K613&gt;(TODAY()-(Data_Val!$K$3*365.25)),Data!K613&lt;=(TODAY()-(Data_Val!$K$2*365.25))),0,1),1))</f>
        <v/>
      </c>
      <c r="L623" s="16" t="str">
        <f>IF(Data!G613="","",IF(Data!G613=Data_Val!$C$2,IF(Data!L613="",0,1),0))</f>
        <v/>
      </c>
      <c r="M623" s="16" t="str">
        <f>IF(Data!L613="","",IF(ISNUMBER(MATCH(Data!M613,Data_Val!$A$2:$A$3,0)),0,1))</f>
        <v/>
      </c>
      <c r="N623" s="43" t="str">
        <f ca="1">IF(Data!L613="","",IF(ISNUMBER(Data!N613),IF(AND(Data!N613&gt;(TODAY()-(Data_Val!$L$3*365.25)),Data!N613&lt;=(TODAY()-(Data_Val!$L$2*365.25))),0,1),1))</f>
        <v/>
      </c>
      <c r="O623" s="18" t="str">
        <f>IF(Data!$G613="","",IF(Data!$G613=Data_Val!$C$2,IF(Data!O613="",0,1),0))</f>
        <v/>
      </c>
      <c r="P623" s="18" t="str">
        <f>IF(Data!O613="","",IF(ISNUMBER(MATCH(Data!P613,Data_Val!$A$2:$A$3,0)),0,1))</f>
        <v/>
      </c>
      <c r="Q623" s="44" t="str">
        <f ca="1">IF(Data!O613="","",IF(ISNUMBER(Data!Q613),IF(AND(Data!Q613&gt;(TODAY()-(Data_Val!$L$3*365.25)),Data!Q613&lt;=(TODAY()-(Data_Val!$L$2*365.25))),0,1),1))</f>
        <v/>
      </c>
    </row>
    <row r="624" spans="1:17" ht="12" customHeight="1" x14ac:dyDescent="0.25">
      <c r="A624" s="36" t="str">
        <f>IF(Data!B614="","",IF(COUNTIFS(Data!A$1:'Data'!A614,Data!A614)&lt;=1,0,1))</f>
        <v/>
      </c>
      <c r="B624" s="36"/>
      <c r="C624" s="36" t="str">
        <f>IF(Data!C614="","",(IF(ISNUMBER(MATCH("*@*.?*",Data!C614,0)),0,1)+IF(COUNTIFS(Data!C$1:'Data'!C614,Data!C614)&gt;1,1,0)))</f>
        <v/>
      </c>
      <c r="D624" s="36" t="str">
        <f>IF(Data!B614="","",IF(ISNUMBER(Data!D614),IF(AND(Data!D614&gt;999999999,Data!D614&lt;=9999999999),IF(COUNTIFS(Data!D$1:'Data'!D614,Data!D614)&lt;=1,0,1),1),1))</f>
        <v/>
      </c>
      <c r="E624" s="36" t="str">
        <f>IF(Data!B614="","",IF(ISNUMBER(MATCH(Data!E614,Data_Val!$A$2:$A$3,0)),0,1))</f>
        <v/>
      </c>
      <c r="F624" s="36" t="str">
        <f ca="1">IF(Data!B614="","",IF(ISNUMBER(Data!F614),IF(AND(Data!F614&gt;(TODAY()-(Data_Val!$H$3*365.25)),Data!F614&lt;=(TODAY()-(Data_Val!$H$2*365.25))),0,1),1))</f>
        <v/>
      </c>
      <c r="G624" s="12" t="str">
        <f>IF(Data!B614="","",IF(AND(Data!G614="",Data!H614&lt;&gt;""),1,IF(ISNUMBER(MATCH(Data!G614,Data_Val!$C$2:$C$5,0)),0,1)))</f>
        <v/>
      </c>
      <c r="H624" s="12" t="str">
        <f>IF(Data!B614="","",IF(AND(Data!G614&lt;&gt;"",Data!H614=""),1,IF(Data!G614="",1,IF(ISNUMBER(MATCH(Data!H614,Data_Val!$D$2:$D$35,0)),0,1))))</f>
        <v/>
      </c>
      <c r="I624" s="38" t="str">
        <f>IF(Data!G614="","",IF(Data!G614=Data_Val!$C$2,IF(Data!I614="",0,1),0))</f>
        <v/>
      </c>
      <c r="J624" s="38" t="str">
        <f>IF(Data!I614="","",IF(ISNUMBER(MATCH(Data!J614,Data_Val!$A$2:$A$3,0)),0,1))</f>
        <v/>
      </c>
      <c r="K624" s="38" t="str">
        <f ca="1">IF(Data!I614="","",IF(ISNUMBER(Data!K614),IF(AND(Data!K614&gt;(TODAY()-(Data_Val!$K$3*365.25)),Data!K614&lt;=(TODAY()-(Data_Val!$K$2*365.25))),0,1),1))</f>
        <v/>
      </c>
      <c r="L624" s="16" t="str">
        <f>IF(Data!G614="","",IF(Data!G614=Data_Val!$C$2,IF(Data!L614="",0,1),0))</f>
        <v/>
      </c>
      <c r="M624" s="16" t="str">
        <f>IF(Data!L614="","",IF(ISNUMBER(MATCH(Data!M614,Data_Val!$A$2:$A$3,0)),0,1))</f>
        <v/>
      </c>
      <c r="N624" s="43" t="str">
        <f ca="1">IF(Data!L614="","",IF(ISNUMBER(Data!N614),IF(AND(Data!N614&gt;(TODAY()-(Data_Val!$L$3*365.25)),Data!N614&lt;=(TODAY()-(Data_Val!$L$2*365.25))),0,1),1))</f>
        <v/>
      </c>
      <c r="O624" s="18" t="str">
        <f>IF(Data!$G614="","",IF(Data!$G614=Data_Val!$C$2,IF(Data!O614="",0,1),0))</f>
        <v/>
      </c>
      <c r="P624" s="18" t="str">
        <f>IF(Data!O614="","",IF(ISNUMBER(MATCH(Data!P614,Data_Val!$A$2:$A$3,0)),0,1))</f>
        <v/>
      </c>
      <c r="Q624" s="44" t="str">
        <f ca="1">IF(Data!O614="","",IF(ISNUMBER(Data!Q614),IF(AND(Data!Q614&gt;(TODAY()-(Data_Val!$L$3*365.25)),Data!Q614&lt;=(TODAY()-(Data_Val!$L$2*365.25))),0,1),1))</f>
        <v/>
      </c>
    </row>
    <row r="625" spans="1:17" ht="12" customHeight="1" x14ac:dyDescent="0.25">
      <c r="A625" s="36" t="str">
        <f>IF(Data!B615="","",IF(COUNTIFS(Data!A$1:'Data'!A615,Data!A615)&lt;=1,0,1))</f>
        <v/>
      </c>
      <c r="B625" s="36"/>
      <c r="C625" s="36" t="str">
        <f>IF(Data!C615="","",(IF(ISNUMBER(MATCH("*@*.?*",Data!C615,0)),0,1)+IF(COUNTIFS(Data!C$1:'Data'!C615,Data!C615)&gt;1,1,0)))</f>
        <v/>
      </c>
      <c r="D625" s="36" t="str">
        <f>IF(Data!B615="","",IF(ISNUMBER(Data!D615),IF(AND(Data!D615&gt;999999999,Data!D615&lt;=9999999999),IF(COUNTIFS(Data!D$1:'Data'!D615,Data!D615)&lt;=1,0,1),1),1))</f>
        <v/>
      </c>
      <c r="E625" s="36" t="str">
        <f>IF(Data!B615="","",IF(ISNUMBER(MATCH(Data!E615,Data_Val!$A$2:$A$3,0)),0,1))</f>
        <v/>
      </c>
      <c r="F625" s="36" t="str">
        <f ca="1">IF(Data!B615="","",IF(ISNUMBER(Data!F615),IF(AND(Data!F615&gt;(TODAY()-(Data_Val!$H$3*365.25)),Data!F615&lt;=(TODAY()-(Data_Val!$H$2*365.25))),0,1),1))</f>
        <v/>
      </c>
      <c r="G625" s="12" t="str">
        <f>IF(Data!B615="","",IF(AND(Data!G615="",Data!H615&lt;&gt;""),1,IF(ISNUMBER(MATCH(Data!G615,Data_Val!$C$2:$C$5,0)),0,1)))</f>
        <v/>
      </c>
      <c r="H625" s="12" t="str">
        <f>IF(Data!B615="","",IF(AND(Data!G615&lt;&gt;"",Data!H615=""),1,IF(Data!G615="",1,IF(ISNUMBER(MATCH(Data!H615,Data_Val!$D$2:$D$35,0)),0,1))))</f>
        <v/>
      </c>
      <c r="I625" s="38" t="str">
        <f>IF(Data!G615="","",IF(Data!G615=Data_Val!$C$2,IF(Data!I615="",0,1),0))</f>
        <v/>
      </c>
      <c r="J625" s="38" t="str">
        <f>IF(Data!I615="","",IF(ISNUMBER(MATCH(Data!J615,Data_Val!$A$2:$A$3,0)),0,1))</f>
        <v/>
      </c>
      <c r="K625" s="38" t="str">
        <f ca="1">IF(Data!I615="","",IF(ISNUMBER(Data!K615),IF(AND(Data!K615&gt;(TODAY()-(Data_Val!$K$3*365.25)),Data!K615&lt;=(TODAY()-(Data_Val!$K$2*365.25))),0,1),1))</f>
        <v/>
      </c>
      <c r="L625" s="16" t="str">
        <f>IF(Data!G615="","",IF(Data!G615=Data_Val!$C$2,IF(Data!L615="",0,1),0))</f>
        <v/>
      </c>
      <c r="M625" s="16" t="str">
        <f>IF(Data!L615="","",IF(ISNUMBER(MATCH(Data!M615,Data_Val!$A$2:$A$3,0)),0,1))</f>
        <v/>
      </c>
      <c r="N625" s="43" t="str">
        <f ca="1">IF(Data!L615="","",IF(ISNUMBER(Data!N615),IF(AND(Data!N615&gt;(TODAY()-(Data_Val!$L$3*365.25)),Data!N615&lt;=(TODAY()-(Data_Val!$L$2*365.25))),0,1),1))</f>
        <v/>
      </c>
      <c r="O625" s="18" t="str">
        <f>IF(Data!$G615="","",IF(Data!$G615=Data_Val!$C$2,IF(Data!O615="",0,1),0))</f>
        <v/>
      </c>
      <c r="P625" s="18" t="str">
        <f>IF(Data!O615="","",IF(ISNUMBER(MATCH(Data!P615,Data_Val!$A$2:$A$3,0)),0,1))</f>
        <v/>
      </c>
      <c r="Q625" s="44" t="str">
        <f ca="1">IF(Data!O615="","",IF(ISNUMBER(Data!Q615),IF(AND(Data!Q615&gt;(TODAY()-(Data_Val!$L$3*365.25)),Data!Q615&lt;=(TODAY()-(Data_Val!$L$2*365.25))),0,1),1))</f>
        <v/>
      </c>
    </row>
    <row r="626" spans="1:17" ht="12" customHeight="1" x14ac:dyDescent="0.25">
      <c r="A626" s="36" t="str">
        <f>IF(Data!B616="","",IF(COUNTIFS(Data!A$1:'Data'!A616,Data!A616)&lt;=1,0,1))</f>
        <v/>
      </c>
      <c r="B626" s="36"/>
      <c r="C626" s="36" t="str">
        <f>IF(Data!C616="","",(IF(ISNUMBER(MATCH("*@*.?*",Data!C616,0)),0,1)+IF(COUNTIFS(Data!C$1:'Data'!C616,Data!C616)&gt;1,1,0)))</f>
        <v/>
      </c>
      <c r="D626" s="36" t="str">
        <f>IF(Data!B616="","",IF(ISNUMBER(Data!D616),IF(AND(Data!D616&gt;999999999,Data!D616&lt;=9999999999),IF(COUNTIFS(Data!D$1:'Data'!D616,Data!D616)&lt;=1,0,1),1),1))</f>
        <v/>
      </c>
      <c r="E626" s="36" t="str">
        <f>IF(Data!B616="","",IF(ISNUMBER(MATCH(Data!E616,Data_Val!$A$2:$A$3,0)),0,1))</f>
        <v/>
      </c>
      <c r="F626" s="36" t="str">
        <f ca="1">IF(Data!B616="","",IF(ISNUMBER(Data!F616),IF(AND(Data!F616&gt;(TODAY()-(Data_Val!$H$3*365.25)),Data!F616&lt;=(TODAY()-(Data_Val!$H$2*365.25))),0,1),1))</f>
        <v/>
      </c>
      <c r="G626" s="12" t="str">
        <f>IF(Data!B616="","",IF(AND(Data!G616="",Data!H616&lt;&gt;""),1,IF(ISNUMBER(MATCH(Data!G616,Data_Val!$C$2:$C$5,0)),0,1)))</f>
        <v/>
      </c>
      <c r="H626" s="12" t="str">
        <f>IF(Data!B616="","",IF(AND(Data!G616&lt;&gt;"",Data!H616=""),1,IF(Data!G616="",1,IF(ISNUMBER(MATCH(Data!H616,Data_Val!$D$2:$D$35,0)),0,1))))</f>
        <v/>
      </c>
      <c r="I626" s="38" t="str">
        <f>IF(Data!G616="","",IF(Data!G616=Data_Val!$C$2,IF(Data!I616="",0,1),0))</f>
        <v/>
      </c>
      <c r="J626" s="38" t="str">
        <f>IF(Data!I616="","",IF(ISNUMBER(MATCH(Data!J616,Data_Val!$A$2:$A$3,0)),0,1))</f>
        <v/>
      </c>
      <c r="K626" s="38" t="str">
        <f ca="1">IF(Data!I616="","",IF(ISNUMBER(Data!K616),IF(AND(Data!K616&gt;(TODAY()-(Data_Val!$K$3*365.25)),Data!K616&lt;=(TODAY()-(Data_Val!$K$2*365.25))),0,1),1))</f>
        <v/>
      </c>
      <c r="L626" s="16" t="str">
        <f>IF(Data!G616="","",IF(Data!G616=Data_Val!$C$2,IF(Data!L616="",0,1),0))</f>
        <v/>
      </c>
      <c r="M626" s="16" t="str">
        <f>IF(Data!L616="","",IF(ISNUMBER(MATCH(Data!M616,Data_Val!$A$2:$A$3,0)),0,1))</f>
        <v/>
      </c>
      <c r="N626" s="43" t="str">
        <f ca="1">IF(Data!L616="","",IF(ISNUMBER(Data!N616),IF(AND(Data!N616&gt;(TODAY()-(Data_Val!$L$3*365.25)),Data!N616&lt;=(TODAY()-(Data_Val!$L$2*365.25))),0,1),1))</f>
        <v/>
      </c>
      <c r="O626" s="18" t="str">
        <f>IF(Data!$G616="","",IF(Data!$G616=Data_Val!$C$2,IF(Data!O616="",0,1),0))</f>
        <v/>
      </c>
      <c r="P626" s="18" t="str">
        <f>IF(Data!O616="","",IF(ISNUMBER(MATCH(Data!P616,Data_Val!$A$2:$A$3,0)),0,1))</f>
        <v/>
      </c>
      <c r="Q626" s="44" t="str">
        <f ca="1">IF(Data!O616="","",IF(ISNUMBER(Data!Q616),IF(AND(Data!Q616&gt;(TODAY()-(Data_Val!$L$3*365.25)),Data!Q616&lt;=(TODAY()-(Data_Val!$L$2*365.25))),0,1),1))</f>
        <v/>
      </c>
    </row>
    <row r="627" spans="1:17" ht="12" customHeight="1" x14ac:dyDescent="0.25">
      <c r="A627" s="36" t="str">
        <f>IF(Data!B617="","",IF(COUNTIFS(Data!A$1:'Data'!A617,Data!A617)&lt;=1,0,1))</f>
        <v/>
      </c>
      <c r="B627" s="36"/>
      <c r="C627" s="36" t="str">
        <f>IF(Data!C617="","",(IF(ISNUMBER(MATCH("*@*.?*",Data!C617,0)),0,1)+IF(COUNTIFS(Data!C$1:'Data'!C617,Data!C617)&gt;1,1,0)))</f>
        <v/>
      </c>
      <c r="D627" s="36" t="str">
        <f>IF(Data!B617="","",IF(ISNUMBER(Data!D617),IF(AND(Data!D617&gt;999999999,Data!D617&lt;=9999999999),IF(COUNTIFS(Data!D$1:'Data'!D617,Data!D617)&lt;=1,0,1),1),1))</f>
        <v/>
      </c>
      <c r="E627" s="36" t="str">
        <f>IF(Data!B617="","",IF(ISNUMBER(MATCH(Data!E617,Data_Val!$A$2:$A$3,0)),0,1))</f>
        <v/>
      </c>
      <c r="F627" s="36" t="str">
        <f ca="1">IF(Data!B617="","",IF(ISNUMBER(Data!F617),IF(AND(Data!F617&gt;(TODAY()-(Data_Val!$H$3*365.25)),Data!F617&lt;=(TODAY()-(Data_Val!$H$2*365.25))),0,1),1))</f>
        <v/>
      </c>
      <c r="G627" s="12" t="str">
        <f>IF(Data!B617="","",IF(AND(Data!G617="",Data!H617&lt;&gt;""),1,IF(ISNUMBER(MATCH(Data!G617,Data_Val!$C$2:$C$5,0)),0,1)))</f>
        <v/>
      </c>
      <c r="H627" s="12" t="str">
        <f>IF(Data!B617="","",IF(AND(Data!G617&lt;&gt;"",Data!H617=""),1,IF(Data!G617="",1,IF(ISNUMBER(MATCH(Data!H617,Data_Val!$D$2:$D$35,0)),0,1))))</f>
        <v/>
      </c>
      <c r="I627" s="38" t="str">
        <f>IF(Data!G617="","",IF(Data!G617=Data_Val!$C$2,IF(Data!I617="",0,1),0))</f>
        <v/>
      </c>
      <c r="J627" s="38" t="str">
        <f>IF(Data!I617="","",IF(ISNUMBER(MATCH(Data!J617,Data_Val!$A$2:$A$3,0)),0,1))</f>
        <v/>
      </c>
      <c r="K627" s="38" t="str">
        <f ca="1">IF(Data!I617="","",IF(ISNUMBER(Data!K617),IF(AND(Data!K617&gt;(TODAY()-(Data_Val!$K$3*365.25)),Data!K617&lt;=(TODAY()-(Data_Val!$K$2*365.25))),0,1),1))</f>
        <v/>
      </c>
      <c r="L627" s="16" t="str">
        <f>IF(Data!G617="","",IF(Data!G617=Data_Val!$C$2,IF(Data!L617="",0,1),0))</f>
        <v/>
      </c>
      <c r="M627" s="16" t="str">
        <f>IF(Data!L617="","",IF(ISNUMBER(MATCH(Data!M617,Data_Val!$A$2:$A$3,0)),0,1))</f>
        <v/>
      </c>
      <c r="N627" s="43" t="str">
        <f ca="1">IF(Data!L617="","",IF(ISNUMBER(Data!N617),IF(AND(Data!N617&gt;(TODAY()-(Data_Val!$L$3*365.25)),Data!N617&lt;=(TODAY()-(Data_Val!$L$2*365.25))),0,1),1))</f>
        <v/>
      </c>
      <c r="O627" s="18" t="str">
        <f>IF(Data!$G617="","",IF(Data!$G617=Data_Val!$C$2,IF(Data!O617="",0,1),0))</f>
        <v/>
      </c>
      <c r="P627" s="18" t="str">
        <f>IF(Data!O617="","",IF(ISNUMBER(MATCH(Data!P617,Data_Val!$A$2:$A$3,0)),0,1))</f>
        <v/>
      </c>
      <c r="Q627" s="44" t="str">
        <f ca="1">IF(Data!O617="","",IF(ISNUMBER(Data!Q617),IF(AND(Data!Q617&gt;(TODAY()-(Data_Val!$L$3*365.25)),Data!Q617&lt;=(TODAY()-(Data_Val!$L$2*365.25))),0,1),1))</f>
        <v/>
      </c>
    </row>
    <row r="628" spans="1:17" ht="12" customHeight="1" x14ac:dyDescent="0.25">
      <c r="A628" s="36" t="str">
        <f>IF(Data!B618="","",IF(COUNTIFS(Data!A$1:'Data'!A618,Data!A618)&lt;=1,0,1))</f>
        <v/>
      </c>
      <c r="B628" s="36"/>
      <c r="C628" s="36" t="str">
        <f>IF(Data!C618="","",(IF(ISNUMBER(MATCH("*@*.?*",Data!C618,0)),0,1)+IF(COUNTIFS(Data!C$1:'Data'!C618,Data!C618)&gt;1,1,0)))</f>
        <v/>
      </c>
      <c r="D628" s="36" t="str">
        <f>IF(Data!B618="","",IF(ISNUMBER(Data!D618),IF(AND(Data!D618&gt;999999999,Data!D618&lt;=9999999999),IF(COUNTIFS(Data!D$1:'Data'!D618,Data!D618)&lt;=1,0,1),1),1))</f>
        <v/>
      </c>
      <c r="E628" s="36" t="str">
        <f>IF(Data!B618="","",IF(ISNUMBER(MATCH(Data!E618,Data_Val!$A$2:$A$3,0)),0,1))</f>
        <v/>
      </c>
      <c r="F628" s="36" t="str">
        <f ca="1">IF(Data!B618="","",IF(ISNUMBER(Data!F618),IF(AND(Data!F618&gt;(TODAY()-(Data_Val!$H$3*365.25)),Data!F618&lt;=(TODAY()-(Data_Val!$H$2*365.25))),0,1),1))</f>
        <v/>
      </c>
      <c r="G628" s="12" t="str">
        <f>IF(Data!B618="","",IF(AND(Data!G618="",Data!H618&lt;&gt;""),1,IF(ISNUMBER(MATCH(Data!G618,Data_Val!$C$2:$C$5,0)),0,1)))</f>
        <v/>
      </c>
      <c r="H628" s="12" t="str">
        <f>IF(Data!B618="","",IF(AND(Data!G618&lt;&gt;"",Data!H618=""),1,IF(Data!G618="",1,IF(ISNUMBER(MATCH(Data!H618,Data_Val!$D$2:$D$35,0)),0,1))))</f>
        <v/>
      </c>
      <c r="I628" s="38" t="str">
        <f>IF(Data!G618="","",IF(Data!G618=Data_Val!$C$2,IF(Data!I618="",0,1),0))</f>
        <v/>
      </c>
      <c r="J628" s="38" t="str">
        <f>IF(Data!I618="","",IF(ISNUMBER(MATCH(Data!J618,Data_Val!$A$2:$A$3,0)),0,1))</f>
        <v/>
      </c>
      <c r="K628" s="38" t="str">
        <f ca="1">IF(Data!I618="","",IF(ISNUMBER(Data!K618),IF(AND(Data!K618&gt;(TODAY()-(Data_Val!$K$3*365.25)),Data!K618&lt;=(TODAY()-(Data_Val!$K$2*365.25))),0,1),1))</f>
        <v/>
      </c>
      <c r="L628" s="16" t="str">
        <f>IF(Data!G618="","",IF(Data!G618=Data_Val!$C$2,IF(Data!L618="",0,1),0))</f>
        <v/>
      </c>
      <c r="M628" s="16" t="str">
        <f>IF(Data!L618="","",IF(ISNUMBER(MATCH(Data!M618,Data_Val!$A$2:$A$3,0)),0,1))</f>
        <v/>
      </c>
      <c r="N628" s="43" t="str">
        <f ca="1">IF(Data!L618="","",IF(ISNUMBER(Data!N618),IF(AND(Data!N618&gt;(TODAY()-(Data_Val!$L$3*365.25)),Data!N618&lt;=(TODAY()-(Data_Val!$L$2*365.25))),0,1),1))</f>
        <v/>
      </c>
      <c r="O628" s="18" t="str">
        <f>IF(Data!$G618="","",IF(Data!$G618=Data_Val!$C$2,IF(Data!O618="",0,1),0))</f>
        <v/>
      </c>
      <c r="P628" s="18" t="str">
        <f>IF(Data!O618="","",IF(ISNUMBER(MATCH(Data!P618,Data_Val!$A$2:$A$3,0)),0,1))</f>
        <v/>
      </c>
      <c r="Q628" s="44" t="str">
        <f ca="1">IF(Data!O618="","",IF(ISNUMBER(Data!Q618),IF(AND(Data!Q618&gt;(TODAY()-(Data_Val!$L$3*365.25)),Data!Q618&lt;=(TODAY()-(Data_Val!$L$2*365.25))),0,1),1))</f>
        <v/>
      </c>
    </row>
    <row r="629" spans="1:17" ht="12" customHeight="1" x14ac:dyDescent="0.25">
      <c r="A629" s="36" t="str">
        <f>IF(Data!B619="","",IF(COUNTIFS(Data!A$1:'Data'!A619,Data!A619)&lt;=1,0,1))</f>
        <v/>
      </c>
      <c r="B629" s="36"/>
      <c r="C629" s="36" t="str">
        <f>IF(Data!C619="","",(IF(ISNUMBER(MATCH("*@*.?*",Data!C619,0)),0,1)+IF(COUNTIFS(Data!C$1:'Data'!C619,Data!C619)&gt;1,1,0)))</f>
        <v/>
      </c>
      <c r="D629" s="36" t="str">
        <f>IF(Data!B619="","",IF(ISNUMBER(Data!D619),IF(AND(Data!D619&gt;999999999,Data!D619&lt;=9999999999),IF(COUNTIFS(Data!D$1:'Data'!D619,Data!D619)&lt;=1,0,1),1),1))</f>
        <v/>
      </c>
      <c r="E629" s="36" t="str">
        <f>IF(Data!B619="","",IF(ISNUMBER(MATCH(Data!E619,Data_Val!$A$2:$A$3,0)),0,1))</f>
        <v/>
      </c>
      <c r="F629" s="36" t="str">
        <f ca="1">IF(Data!B619="","",IF(ISNUMBER(Data!F619),IF(AND(Data!F619&gt;(TODAY()-(Data_Val!$H$3*365.25)),Data!F619&lt;=(TODAY()-(Data_Val!$H$2*365.25))),0,1),1))</f>
        <v/>
      </c>
      <c r="G629" s="12" t="str">
        <f>IF(Data!B619="","",IF(AND(Data!G619="",Data!H619&lt;&gt;""),1,IF(ISNUMBER(MATCH(Data!G619,Data_Val!$C$2:$C$5,0)),0,1)))</f>
        <v/>
      </c>
      <c r="H629" s="12" t="str">
        <f>IF(Data!B619="","",IF(AND(Data!G619&lt;&gt;"",Data!H619=""),1,IF(Data!G619="",1,IF(ISNUMBER(MATCH(Data!H619,Data_Val!$D$2:$D$35,0)),0,1))))</f>
        <v/>
      </c>
      <c r="I629" s="38" t="str">
        <f>IF(Data!G619="","",IF(Data!G619=Data_Val!$C$2,IF(Data!I619="",0,1),0))</f>
        <v/>
      </c>
      <c r="J629" s="38" t="str">
        <f>IF(Data!I619="","",IF(ISNUMBER(MATCH(Data!J619,Data_Val!$A$2:$A$3,0)),0,1))</f>
        <v/>
      </c>
      <c r="K629" s="38" t="str">
        <f ca="1">IF(Data!I619="","",IF(ISNUMBER(Data!K619),IF(AND(Data!K619&gt;(TODAY()-(Data_Val!$K$3*365.25)),Data!K619&lt;=(TODAY()-(Data_Val!$K$2*365.25))),0,1),1))</f>
        <v/>
      </c>
      <c r="L629" s="16" t="str">
        <f>IF(Data!G619="","",IF(Data!G619=Data_Val!$C$2,IF(Data!L619="",0,1),0))</f>
        <v/>
      </c>
      <c r="M629" s="16" t="str">
        <f>IF(Data!L619="","",IF(ISNUMBER(MATCH(Data!M619,Data_Val!$A$2:$A$3,0)),0,1))</f>
        <v/>
      </c>
      <c r="N629" s="43" t="str">
        <f ca="1">IF(Data!L619="","",IF(ISNUMBER(Data!N619),IF(AND(Data!N619&gt;(TODAY()-(Data_Val!$L$3*365.25)),Data!N619&lt;=(TODAY()-(Data_Val!$L$2*365.25))),0,1),1))</f>
        <v/>
      </c>
      <c r="O629" s="18" t="str">
        <f>IF(Data!$G619="","",IF(Data!$G619=Data_Val!$C$2,IF(Data!O619="",0,1),0))</f>
        <v/>
      </c>
      <c r="P629" s="18" t="str">
        <f>IF(Data!O619="","",IF(ISNUMBER(MATCH(Data!P619,Data_Val!$A$2:$A$3,0)),0,1))</f>
        <v/>
      </c>
      <c r="Q629" s="44" t="str">
        <f ca="1">IF(Data!O619="","",IF(ISNUMBER(Data!Q619),IF(AND(Data!Q619&gt;(TODAY()-(Data_Val!$L$3*365.25)),Data!Q619&lt;=(TODAY()-(Data_Val!$L$2*365.25))),0,1),1))</f>
        <v/>
      </c>
    </row>
    <row r="630" spans="1:17" ht="12" customHeight="1" x14ac:dyDescent="0.25">
      <c r="A630" s="36" t="str">
        <f>IF(Data!B620="","",IF(COUNTIFS(Data!A$1:'Data'!A620,Data!A620)&lt;=1,0,1))</f>
        <v/>
      </c>
      <c r="B630" s="36"/>
      <c r="C630" s="36" t="str">
        <f>IF(Data!C620="","",(IF(ISNUMBER(MATCH("*@*.?*",Data!C620,0)),0,1)+IF(COUNTIFS(Data!C$1:'Data'!C620,Data!C620)&gt;1,1,0)))</f>
        <v/>
      </c>
      <c r="D630" s="36" t="str">
        <f>IF(Data!B620="","",IF(ISNUMBER(Data!D620),IF(AND(Data!D620&gt;999999999,Data!D620&lt;=9999999999),IF(COUNTIFS(Data!D$1:'Data'!D620,Data!D620)&lt;=1,0,1),1),1))</f>
        <v/>
      </c>
      <c r="E630" s="36" t="str">
        <f>IF(Data!B620="","",IF(ISNUMBER(MATCH(Data!E620,Data_Val!$A$2:$A$3,0)),0,1))</f>
        <v/>
      </c>
      <c r="F630" s="36" t="str">
        <f ca="1">IF(Data!B620="","",IF(ISNUMBER(Data!F620),IF(AND(Data!F620&gt;(TODAY()-(Data_Val!$H$3*365.25)),Data!F620&lt;=(TODAY()-(Data_Val!$H$2*365.25))),0,1),1))</f>
        <v/>
      </c>
      <c r="G630" s="12" t="str">
        <f>IF(Data!B620="","",IF(AND(Data!G620="",Data!H620&lt;&gt;""),1,IF(ISNUMBER(MATCH(Data!G620,Data_Val!$C$2:$C$5,0)),0,1)))</f>
        <v/>
      </c>
      <c r="H630" s="12" t="str">
        <f>IF(Data!B620="","",IF(AND(Data!G620&lt;&gt;"",Data!H620=""),1,IF(Data!G620="",1,IF(ISNUMBER(MATCH(Data!H620,Data_Val!$D$2:$D$35,0)),0,1))))</f>
        <v/>
      </c>
      <c r="I630" s="38" t="str">
        <f>IF(Data!G620="","",IF(Data!G620=Data_Val!$C$2,IF(Data!I620="",0,1),0))</f>
        <v/>
      </c>
      <c r="J630" s="38" t="str">
        <f>IF(Data!I620="","",IF(ISNUMBER(MATCH(Data!J620,Data_Val!$A$2:$A$3,0)),0,1))</f>
        <v/>
      </c>
      <c r="K630" s="38" t="str">
        <f ca="1">IF(Data!I620="","",IF(ISNUMBER(Data!K620),IF(AND(Data!K620&gt;(TODAY()-(Data_Val!$K$3*365.25)),Data!K620&lt;=(TODAY()-(Data_Val!$K$2*365.25))),0,1),1))</f>
        <v/>
      </c>
      <c r="L630" s="16" t="str">
        <f>IF(Data!G620="","",IF(Data!G620=Data_Val!$C$2,IF(Data!L620="",0,1),0))</f>
        <v/>
      </c>
      <c r="M630" s="16" t="str">
        <f>IF(Data!L620="","",IF(ISNUMBER(MATCH(Data!M620,Data_Val!$A$2:$A$3,0)),0,1))</f>
        <v/>
      </c>
      <c r="N630" s="43" t="str">
        <f ca="1">IF(Data!L620="","",IF(ISNUMBER(Data!N620),IF(AND(Data!N620&gt;(TODAY()-(Data_Val!$L$3*365.25)),Data!N620&lt;=(TODAY()-(Data_Val!$L$2*365.25))),0,1),1))</f>
        <v/>
      </c>
      <c r="O630" s="18" t="str">
        <f>IF(Data!$G620="","",IF(Data!$G620=Data_Val!$C$2,IF(Data!O620="",0,1),0))</f>
        <v/>
      </c>
      <c r="P630" s="18" t="str">
        <f>IF(Data!O620="","",IF(ISNUMBER(MATCH(Data!P620,Data_Val!$A$2:$A$3,0)),0,1))</f>
        <v/>
      </c>
      <c r="Q630" s="44" t="str">
        <f ca="1">IF(Data!O620="","",IF(ISNUMBER(Data!Q620),IF(AND(Data!Q620&gt;(TODAY()-(Data_Val!$L$3*365.25)),Data!Q620&lt;=(TODAY()-(Data_Val!$L$2*365.25))),0,1),1))</f>
        <v/>
      </c>
    </row>
    <row r="631" spans="1:17" ht="12" customHeight="1" x14ac:dyDescent="0.25">
      <c r="A631" s="36" t="str">
        <f>IF(Data!B621="","",IF(COUNTIFS(Data!A$1:'Data'!A621,Data!A621)&lt;=1,0,1))</f>
        <v/>
      </c>
      <c r="B631" s="36"/>
      <c r="C631" s="36" t="str">
        <f>IF(Data!C621="","",(IF(ISNUMBER(MATCH("*@*.?*",Data!C621,0)),0,1)+IF(COUNTIFS(Data!C$1:'Data'!C621,Data!C621)&gt;1,1,0)))</f>
        <v/>
      </c>
      <c r="D631" s="36" t="str">
        <f>IF(Data!B621="","",IF(ISNUMBER(Data!D621),IF(AND(Data!D621&gt;999999999,Data!D621&lt;=9999999999),IF(COUNTIFS(Data!D$1:'Data'!D621,Data!D621)&lt;=1,0,1),1),1))</f>
        <v/>
      </c>
      <c r="E631" s="36" t="str">
        <f>IF(Data!B621="","",IF(ISNUMBER(MATCH(Data!E621,Data_Val!$A$2:$A$3,0)),0,1))</f>
        <v/>
      </c>
      <c r="F631" s="36" t="str">
        <f ca="1">IF(Data!B621="","",IF(ISNUMBER(Data!F621),IF(AND(Data!F621&gt;(TODAY()-(Data_Val!$H$3*365.25)),Data!F621&lt;=(TODAY()-(Data_Val!$H$2*365.25))),0,1),1))</f>
        <v/>
      </c>
      <c r="G631" s="12" t="str">
        <f>IF(Data!B621="","",IF(AND(Data!G621="",Data!H621&lt;&gt;""),1,IF(ISNUMBER(MATCH(Data!G621,Data_Val!$C$2:$C$5,0)),0,1)))</f>
        <v/>
      </c>
      <c r="H631" s="12" t="str">
        <f>IF(Data!B621="","",IF(AND(Data!G621&lt;&gt;"",Data!H621=""),1,IF(Data!G621="",1,IF(ISNUMBER(MATCH(Data!H621,Data_Val!$D$2:$D$35,0)),0,1))))</f>
        <v/>
      </c>
      <c r="I631" s="38" t="str">
        <f>IF(Data!G621="","",IF(Data!G621=Data_Val!$C$2,IF(Data!I621="",0,1),0))</f>
        <v/>
      </c>
      <c r="J631" s="38" t="str">
        <f>IF(Data!I621="","",IF(ISNUMBER(MATCH(Data!J621,Data_Val!$A$2:$A$3,0)),0,1))</f>
        <v/>
      </c>
      <c r="K631" s="38" t="str">
        <f ca="1">IF(Data!I621="","",IF(ISNUMBER(Data!K621),IF(AND(Data!K621&gt;(TODAY()-(Data_Val!$K$3*365.25)),Data!K621&lt;=(TODAY()-(Data_Val!$K$2*365.25))),0,1),1))</f>
        <v/>
      </c>
      <c r="L631" s="16" t="str">
        <f>IF(Data!G621="","",IF(Data!G621=Data_Val!$C$2,IF(Data!L621="",0,1),0))</f>
        <v/>
      </c>
      <c r="M631" s="16" t="str">
        <f>IF(Data!L621="","",IF(ISNUMBER(MATCH(Data!M621,Data_Val!$A$2:$A$3,0)),0,1))</f>
        <v/>
      </c>
      <c r="N631" s="43" t="str">
        <f ca="1">IF(Data!L621="","",IF(ISNUMBER(Data!N621),IF(AND(Data!N621&gt;(TODAY()-(Data_Val!$L$3*365.25)),Data!N621&lt;=(TODAY()-(Data_Val!$L$2*365.25))),0,1),1))</f>
        <v/>
      </c>
      <c r="O631" s="18" t="str">
        <f>IF(Data!$G621="","",IF(Data!$G621=Data_Val!$C$2,IF(Data!O621="",0,1),0))</f>
        <v/>
      </c>
      <c r="P631" s="18" t="str">
        <f>IF(Data!O621="","",IF(ISNUMBER(MATCH(Data!P621,Data_Val!$A$2:$A$3,0)),0,1))</f>
        <v/>
      </c>
      <c r="Q631" s="44" t="str">
        <f ca="1">IF(Data!O621="","",IF(ISNUMBER(Data!Q621),IF(AND(Data!Q621&gt;(TODAY()-(Data_Val!$L$3*365.25)),Data!Q621&lt;=(TODAY()-(Data_Val!$L$2*365.25))),0,1),1))</f>
        <v/>
      </c>
    </row>
    <row r="632" spans="1:17" ht="12" customHeight="1" x14ac:dyDescent="0.25">
      <c r="A632" s="36" t="str">
        <f>IF(Data!B622="","",IF(COUNTIFS(Data!A$1:'Data'!A622,Data!A622)&lt;=1,0,1))</f>
        <v/>
      </c>
      <c r="B632" s="36"/>
      <c r="C632" s="36" t="str">
        <f>IF(Data!C622="","",(IF(ISNUMBER(MATCH("*@*.?*",Data!C622,0)),0,1)+IF(COUNTIFS(Data!C$1:'Data'!C622,Data!C622)&gt;1,1,0)))</f>
        <v/>
      </c>
      <c r="D632" s="36" t="str">
        <f>IF(Data!B622="","",IF(ISNUMBER(Data!D622),IF(AND(Data!D622&gt;999999999,Data!D622&lt;=9999999999),IF(COUNTIFS(Data!D$1:'Data'!D622,Data!D622)&lt;=1,0,1),1),1))</f>
        <v/>
      </c>
      <c r="E632" s="36" t="str">
        <f>IF(Data!B622="","",IF(ISNUMBER(MATCH(Data!E622,Data_Val!$A$2:$A$3,0)),0,1))</f>
        <v/>
      </c>
      <c r="F632" s="36" t="str">
        <f ca="1">IF(Data!B622="","",IF(ISNUMBER(Data!F622),IF(AND(Data!F622&gt;(TODAY()-(Data_Val!$H$3*365.25)),Data!F622&lt;=(TODAY()-(Data_Val!$H$2*365.25))),0,1),1))</f>
        <v/>
      </c>
      <c r="G632" s="12" t="str">
        <f>IF(Data!B622="","",IF(AND(Data!G622="",Data!H622&lt;&gt;""),1,IF(ISNUMBER(MATCH(Data!G622,Data_Val!$C$2:$C$5,0)),0,1)))</f>
        <v/>
      </c>
      <c r="H632" s="12" t="str">
        <f>IF(Data!B622="","",IF(AND(Data!G622&lt;&gt;"",Data!H622=""),1,IF(Data!G622="",1,IF(ISNUMBER(MATCH(Data!H622,Data_Val!$D$2:$D$35,0)),0,1))))</f>
        <v/>
      </c>
      <c r="I632" s="38" t="str">
        <f>IF(Data!G622="","",IF(Data!G622=Data_Val!$C$2,IF(Data!I622="",0,1),0))</f>
        <v/>
      </c>
      <c r="J632" s="38" t="str">
        <f>IF(Data!I622="","",IF(ISNUMBER(MATCH(Data!J622,Data_Val!$A$2:$A$3,0)),0,1))</f>
        <v/>
      </c>
      <c r="K632" s="38" t="str">
        <f ca="1">IF(Data!I622="","",IF(ISNUMBER(Data!K622),IF(AND(Data!K622&gt;(TODAY()-(Data_Val!$K$3*365.25)),Data!K622&lt;=(TODAY()-(Data_Val!$K$2*365.25))),0,1),1))</f>
        <v/>
      </c>
      <c r="L632" s="16" t="str">
        <f>IF(Data!G622="","",IF(Data!G622=Data_Val!$C$2,IF(Data!L622="",0,1),0))</f>
        <v/>
      </c>
      <c r="M632" s="16" t="str">
        <f>IF(Data!L622="","",IF(ISNUMBER(MATCH(Data!M622,Data_Val!$A$2:$A$3,0)),0,1))</f>
        <v/>
      </c>
      <c r="N632" s="43" t="str">
        <f ca="1">IF(Data!L622="","",IF(ISNUMBER(Data!N622),IF(AND(Data!N622&gt;(TODAY()-(Data_Val!$L$3*365.25)),Data!N622&lt;=(TODAY()-(Data_Val!$L$2*365.25))),0,1),1))</f>
        <v/>
      </c>
      <c r="O632" s="18" t="str">
        <f>IF(Data!$G622="","",IF(Data!$G622=Data_Val!$C$2,IF(Data!O622="",0,1),0))</f>
        <v/>
      </c>
      <c r="P632" s="18" t="str">
        <f>IF(Data!O622="","",IF(ISNUMBER(MATCH(Data!P622,Data_Val!$A$2:$A$3,0)),0,1))</f>
        <v/>
      </c>
      <c r="Q632" s="44" t="str">
        <f ca="1">IF(Data!O622="","",IF(ISNUMBER(Data!Q622),IF(AND(Data!Q622&gt;(TODAY()-(Data_Val!$L$3*365.25)),Data!Q622&lt;=(TODAY()-(Data_Val!$L$2*365.25))),0,1),1))</f>
        <v/>
      </c>
    </row>
    <row r="633" spans="1:17" ht="12" customHeight="1" x14ac:dyDescent="0.25">
      <c r="A633" s="36" t="str">
        <f>IF(Data!B623="","",IF(COUNTIFS(Data!A$1:'Data'!A623,Data!A623)&lt;=1,0,1))</f>
        <v/>
      </c>
      <c r="B633" s="36"/>
      <c r="C633" s="36" t="str">
        <f>IF(Data!C623="","",(IF(ISNUMBER(MATCH("*@*.?*",Data!C623,0)),0,1)+IF(COUNTIFS(Data!C$1:'Data'!C623,Data!C623)&gt;1,1,0)))</f>
        <v/>
      </c>
      <c r="D633" s="36" t="str">
        <f>IF(Data!B623="","",IF(ISNUMBER(Data!D623),IF(AND(Data!D623&gt;999999999,Data!D623&lt;=9999999999),IF(COUNTIFS(Data!D$1:'Data'!D623,Data!D623)&lt;=1,0,1),1),1))</f>
        <v/>
      </c>
      <c r="E633" s="36" t="str">
        <f>IF(Data!B623="","",IF(ISNUMBER(MATCH(Data!E623,Data_Val!$A$2:$A$3,0)),0,1))</f>
        <v/>
      </c>
      <c r="F633" s="36" t="str">
        <f ca="1">IF(Data!B623="","",IF(ISNUMBER(Data!F623),IF(AND(Data!F623&gt;(TODAY()-(Data_Val!$H$3*365.25)),Data!F623&lt;=(TODAY()-(Data_Val!$H$2*365.25))),0,1),1))</f>
        <v/>
      </c>
      <c r="G633" s="12" t="str">
        <f>IF(Data!B623="","",IF(AND(Data!G623="",Data!H623&lt;&gt;""),1,IF(ISNUMBER(MATCH(Data!G623,Data_Val!$C$2:$C$5,0)),0,1)))</f>
        <v/>
      </c>
      <c r="H633" s="12" t="str">
        <f>IF(Data!B623="","",IF(AND(Data!G623&lt;&gt;"",Data!H623=""),1,IF(Data!G623="",1,IF(ISNUMBER(MATCH(Data!H623,Data_Val!$D$2:$D$35,0)),0,1))))</f>
        <v/>
      </c>
      <c r="I633" s="38" t="str">
        <f>IF(Data!G623="","",IF(Data!G623=Data_Val!$C$2,IF(Data!I623="",0,1),0))</f>
        <v/>
      </c>
      <c r="J633" s="38" t="str">
        <f>IF(Data!I623="","",IF(ISNUMBER(MATCH(Data!J623,Data_Val!$A$2:$A$3,0)),0,1))</f>
        <v/>
      </c>
      <c r="K633" s="38" t="str">
        <f ca="1">IF(Data!I623="","",IF(ISNUMBER(Data!K623),IF(AND(Data!K623&gt;(TODAY()-(Data_Val!$K$3*365.25)),Data!K623&lt;=(TODAY()-(Data_Val!$K$2*365.25))),0,1),1))</f>
        <v/>
      </c>
      <c r="L633" s="16" t="str">
        <f>IF(Data!G623="","",IF(Data!G623=Data_Val!$C$2,IF(Data!L623="",0,1),0))</f>
        <v/>
      </c>
      <c r="M633" s="16" t="str">
        <f>IF(Data!L623="","",IF(ISNUMBER(MATCH(Data!M623,Data_Val!$A$2:$A$3,0)),0,1))</f>
        <v/>
      </c>
      <c r="N633" s="43" t="str">
        <f ca="1">IF(Data!L623="","",IF(ISNUMBER(Data!N623),IF(AND(Data!N623&gt;(TODAY()-(Data_Val!$L$3*365.25)),Data!N623&lt;=(TODAY()-(Data_Val!$L$2*365.25))),0,1),1))</f>
        <v/>
      </c>
      <c r="O633" s="18" t="str">
        <f>IF(Data!$G623="","",IF(Data!$G623=Data_Val!$C$2,IF(Data!O623="",0,1),0))</f>
        <v/>
      </c>
      <c r="P633" s="18" t="str">
        <f>IF(Data!O623="","",IF(ISNUMBER(MATCH(Data!P623,Data_Val!$A$2:$A$3,0)),0,1))</f>
        <v/>
      </c>
      <c r="Q633" s="44" t="str">
        <f ca="1">IF(Data!O623="","",IF(ISNUMBER(Data!Q623),IF(AND(Data!Q623&gt;(TODAY()-(Data_Val!$L$3*365.25)),Data!Q623&lt;=(TODAY()-(Data_Val!$L$2*365.25))),0,1),1))</f>
        <v/>
      </c>
    </row>
    <row r="634" spans="1:17" ht="12" customHeight="1" x14ac:dyDescent="0.25">
      <c r="A634" s="36" t="str">
        <f>IF(Data!B624="","",IF(COUNTIFS(Data!A$1:'Data'!A624,Data!A624)&lt;=1,0,1))</f>
        <v/>
      </c>
      <c r="B634" s="36"/>
      <c r="C634" s="36" t="str">
        <f>IF(Data!C624="","",(IF(ISNUMBER(MATCH("*@*.?*",Data!C624,0)),0,1)+IF(COUNTIFS(Data!C$1:'Data'!C624,Data!C624)&gt;1,1,0)))</f>
        <v/>
      </c>
      <c r="D634" s="36" t="str">
        <f>IF(Data!B624="","",IF(ISNUMBER(Data!D624),IF(AND(Data!D624&gt;999999999,Data!D624&lt;=9999999999),IF(COUNTIFS(Data!D$1:'Data'!D624,Data!D624)&lt;=1,0,1),1),1))</f>
        <v/>
      </c>
      <c r="E634" s="36" t="str">
        <f>IF(Data!B624="","",IF(ISNUMBER(MATCH(Data!E624,Data_Val!$A$2:$A$3,0)),0,1))</f>
        <v/>
      </c>
      <c r="F634" s="36" t="str">
        <f ca="1">IF(Data!B624="","",IF(ISNUMBER(Data!F624),IF(AND(Data!F624&gt;(TODAY()-(Data_Val!$H$3*365.25)),Data!F624&lt;=(TODAY()-(Data_Val!$H$2*365.25))),0,1),1))</f>
        <v/>
      </c>
      <c r="G634" s="12" t="str">
        <f>IF(Data!B624="","",IF(AND(Data!G624="",Data!H624&lt;&gt;""),1,IF(ISNUMBER(MATCH(Data!G624,Data_Val!$C$2:$C$5,0)),0,1)))</f>
        <v/>
      </c>
      <c r="H634" s="12" t="str">
        <f>IF(Data!B624="","",IF(AND(Data!G624&lt;&gt;"",Data!H624=""),1,IF(Data!G624="",1,IF(ISNUMBER(MATCH(Data!H624,Data_Val!$D$2:$D$35,0)),0,1))))</f>
        <v/>
      </c>
      <c r="I634" s="38" t="str">
        <f>IF(Data!G624="","",IF(Data!G624=Data_Val!$C$2,IF(Data!I624="",0,1),0))</f>
        <v/>
      </c>
      <c r="J634" s="38" t="str">
        <f>IF(Data!I624="","",IF(ISNUMBER(MATCH(Data!J624,Data_Val!$A$2:$A$3,0)),0,1))</f>
        <v/>
      </c>
      <c r="K634" s="38" t="str">
        <f ca="1">IF(Data!I624="","",IF(ISNUMBER(Data!K624),IF(AND(Data!K624&gt;(TODAY()-(Data_Val!$K$3*365.25)),Data!K624&lt;=(TODAY()-(Data_Val!$K$2*365.25))),0,1),1))</f>
        <v/>
      </c>
      <c r="L634" s="16" t="str">
        <f>IF(Data!G624="","",IF(Data!G624=Data_Val!$C$2,IF(Data!L624="",0,1),0))</f>
        <v/>
      </c>
      <c r="M634" s="16" t="str">
        <f>IF(Data!L624="","",IF(ISNUMBER(MATCH(Data!M624,Data_Val!$A$2:$A$3,0)),0,1))</f>
        <v/>
      </c>
      <c r="N634" s="43" t="str">
        <f ca="1">IF(Data!L624="","",IF(ISNUMBER(Data!N624),IF(AND(Data!N624&gt;(TODAY()-(Data_Val!$L$3*365.25)),Data!N624&lt;=(TODAY()-(Data_Val!$L$2*365.25))),0,1),1))</f>
        <v/>
      </c>
      <c r="O634" s="18" t="str">
        <f>IF(Data!$G624="","",IF(Data!$G624=Data_Val!$C$2,IF(Data!O624="",0,1),0))</f>
        <v/>
      </c>
      <c r="P634" s="18" t="str">
        <f>IF(Data!O624="","",IF(ISNUMBER(MATCH(Data!P624,Data_Val!$A$2:$A$3,0)),0,1))</f>
        <v/>
      </c>
      <c r="Q634" s="44" t="str">
        <f ca="1">IF(Data!O624="","",IF(ISNUMBER(Data!Q624),IF(AND(Data!Q624&gt;(TODAY()-(Data_Val!$L$3*365.25)),Data!Q624&lt;=(TODAY()-(Data_Val!$L$2*365.25))),0,1),1))</f>
        <v/>
      </c>
    </row>
    <row r="635" spans="1:17" ht="12" customHeight="1" x14ac:dyDescent="0.25">
      <c r="A635" s="36" t="str">
        <f>IF(Data!B625="","",IF(COUNTIFS(Data!A$1:'Data'!A625,Data!A625)&lt;=1,0,1))</f>
        <v/>
      </c>
      <c r="B635" s="36"/>
      <c r="C635" s="36" t="str">
        <f>IF(Data!C625="","",(IF(ISNUMBER(MATCH("*@*.?*",Data!C625,0)),0,1)+IF(COUNTIFS(Data!C$1:'Data'!C625,Data!C625)&gt;1,1,0)))</f>
        <v/>
      </c>
      <c r="D635" s="36" t="str">
        <f>IF(Data!B625="","",IF(ISNUMBER(Data!D625),IF(AND(Data!D625&gt;999999999,Data!D625&lt;=9999999999),IF(COUNTIFS(Data!D$1:'Data'!D625,Data!D625)&lt;=1,0,1),1),1))</f>
        <v/>
      </c>
      <c r="E635" s="36" t="str">
        <f>IF(Data!B625="","",IF(ISNUMBER(MATCH(Data!E625,Data_Val!$A$2:$A$3,0)),0,1))</f>
        <v/>
      </c>
      <c r="F635" s="36" t="str">
        <f ca="1">IF(Data!B625="","",IF(ISNUMBER(Data!F625),IF(AND(Data!F625&gt;(TODAY()-(Data_Val!$H$3*365.25)),Data!F625&lt;=(TODAY()-(Data_Val!$H$2*365.25))),0,1),1))</f>
        <v/>
      </c>
      <c r="G635" s="12" t="str">
        <f>IF(Data!B625="","",IF(AND(Data!G625="",Data!H625&lt;&gt;""),1,IF(ISNUMBER(MATCH(Data!G625,Data_Val!$C$2:$C$5,0)),0,1)))</f>
        <v/>
      </c>
      <c r="H635" s="12" t="str">
        <f>IF(Data!B625="","",IF(AND(Data!G625&lt;&gt;"",Data!H625=""),1,IF(Data!G625="",1,IF(ISNUMBER(MATCH(Data!H625,Data_Val!$D$2:$D$35,0)),0,1))))</f>
        <v/>
      </c>
      <c r="I635" s="38" t="str">
        <f>IF(Data!G625="","",IF(Data!G625=Data_Val!$C$2,IF(Data!I625="",0,1),0))</f>
        <v/>
      </c>
      <c r="J635" s="38" t="str">
        <f>IF(Data!I625="","",IF(ISNUMBER(MATCH(Data!J625,Data_Val!$A$2:$A$3,0)),0,1))</f>
        <v/>
      </c>
      <c r="K635" s="38" t="str">
        <f ca="1">IF(Data!I625="","",IF(ISNUMBER(Data!K625),IF(AND(Data!K625&gt;(TODAY()-(Data_Val!$K$3*365.25)),Data!K625&lt;=(TODAY()-(Data_Val!$K$2*365.25))),0,1),1))</f>
        <v/>
      </c>
      <c r="L635" s="16" t="str">
        <f>IF(Data!G625="","",IF(Data!G625=Data_Val!$C$2,IF(Data!L625="",0,1),0))</f>
        <v/>
      </c>
      <c r="M635" s="16" t="str">
        <f>IF(Data!L625="","",IF(ISNUMBER(MATCH(Data!M625,Data_Val!$A$2:$A$3,0)),0,1))</f>
        <v/>
      </c>
      <c r="N635" s="43" t="str">
        <f ca="1">IF(Data!L625="","",IF(ISNUMBER(Data!N625),IF(AND(Data!N625&gt;(TODAY()-(Data_Val!$L$3*365.25)),Data!N625&lt;=(TODAY()-(Data_Val!$L$2*365.25))),0,1),1))</f>
        <v/>
      </c>
      <c r="O635" s="18" t="str">
        <f>IF(Data!$G625="","",IF(Data!$G625=Data_Val!$C$2,IF(Data!O625="",0,1),0))</f>
        <v/>
      </c>
      <c r="P635" s="18" t="str">
        <f>IF(Data!O625="","",IF(ISNUMBER(MATCH(Data!P625,Data_Val!$A$2:$A$3,0)),0,1))</f>
        <v/>
      </c>
      <c r="Q635" s="44" t="str">
        <f ca="1">IF(Data!O625="","",IF(ISNUMBER(Data!Q625),IF(AND(Data!Q625&gt;(TODAY()-(Data_Val!$L$3*365.25)),Data!Q625&lt;=(TODAY()-(Data_Val!$L$2*365.25))),0,1),1))</f>
        <v/>
      </c>
    </row>
    <row r="636" spans="1:17" ht="12" customHeight="1" x14ac:dyDescent="0.25">
      <c r="A636" s="36" t="str">
        <f>IF(Data!B626="","",IF(COUNTIFS(Data!A$1:'Data'!A626,Data!A626)&lt;=1,0,1))</f>
        <v/>
      </c>
      <c r="B636" s="36"/>
      <c r="C636" s="36" t="str">
        <f>IF(Data!C626="","",(IF(ISNUMBER(MATCH("*@*.?*",Data!C626,0)),0,1)+IF(COUNTIFS(Data!C$1:'Data'!C626,Data!C626)&gt;1,1,0)))</f>
        <v/>
      </c>
      <c r="D636" s="36" t="str">
        <f>IF(Data!B626="","",IF(ISNUMBER(Data!D626),IF(AND(Data!D626&gt;999999999,Data!D626&lt;=9999999999),IF(COUNTIFS(Data!D$1:'Data'!D626,Data!D626)&lt;=1,0,1),1),1))</f>
        <v/>
      </c>
      <c r="E636" s="36" t="str">
        <f>IF(Data!B626="","",IF(ISNUMBER(MATCH(Data!E626,Data_Val!$A$2:$A$3,0)),0,1))</f>
        <v/>
      </c>
      <c r="F636" s="36" t="str">
        <f ca="1">IF(Data!B626="","",IF(ISNUMBER(Data!F626),IF(AND(Data!F626&gt;(TODAY()-(Data_Val!$H$3*365.25)),Data!F626&lt;=(TODAY()-(Data_Val!$H$2*365.25))),0,1),1))</f>
        <v/>
      </c>
      <c r="G636" s="12" t="str">
        <f>IF(Data!B626="","",IF(AND(Data!G626="",Data!H626&lt;&gt;""),1,IF(ISNUMBER(MATCH(Data!G626,Data_Val!$C$2:$C$5,0)),0,1)))</f>
        <v/>
      </c>
      <c r="H636" s="12" t="str">
        <f>IF(Data!B626="","",IF(AND(Data!G626&lt;&gt;"",Data!H626=""),1,IF(Data!G626="",1,IF(ISNUMBER(MATCH(Data!H626,Data_Val!$D$2:$D$35,0)),0,1))))</f>
        <v/>
      </c>
      <c r="I636" s="38" t="str">
        <f>IF(Data!G626="","",IF(Data!G626=Data_Val!$C$2,IF(Data!I626="",0,1),0))</f>
        <v/>
      </c>
      <c r="J636" s="38" t="str">
        <f>IF(Data!I626="","",IF(ISNUMBER(MATCH(Data!J626,Data_Val!$A$2:$A$3,0)),0,1))</f>
        <v/>
      </c>
      <c r="K636" s="38" t="str">
        <f ca="1">IF(Data!I626="","",IF(ISNUMBER(Data!K626),IF(AND(Data!K626&gt;(TODAY()-(Data_Val!$K$3*365.25)),Data!K626&lt;=(TODAY()-(Data_Val!$K$2*365.25))),0,1),1))</f>
        <v/>
      </c>
      <c r="L636" s="16" t="str">
        <f>IF(Data!G626="","",IF(Data!G626=Data_Val!$C$2,IF(Data!L626="",0,1),0))</f>
        <v/>
      </c>
      <c r="M636" s="16" t="str">
        <f>IF(Data!L626="","",IF(ISNUMBER(MATCH(Data!M626,Data_Val!$A$2:$A$3,0)),0,1))</f>
        <v/>
      </c>
      <c r="N636" s="43" t="str">
        <f ca="1">IF(Data!L626="","",IF(ISNUMBER(Data!N626),IF(AND(Data!N626&gt;(TODAY()-(Data_Val!$L$3*365.25)),Data!N626&lt;=(TODAY()-(Data_Val!$L$2*365.25))),0,1),1))</f>
        <v/>
      </c>
      <c r="O636" s="18" t="str">
        <f>IF(Data!$G626="","",IF(Data!$G626=Data_Val!$C$2,IF(Data!O626="",0,1),0))</f>
        <v/>
      </c>
      <c r="P636" s="18" t="str">
        <f>IF(Data!O626="","",IF(ISNUMBER(MATCH(Data!P626,Data_Val!$A$2:$A$3,0)),0,1))</f>
        <v/>
      </c>
      <c r="Q636" s="44" t="str">
        <f ca="1">IF(Data!O626="","",IF(ISNUMBER(Data!Q626),IF(AND(Data!Q626&gt;(TODAY()-(Data_Val!$L$3*365.25)),Data!Q626&lt;=(TODAY()-(Data_Val!$L$2*365.25))),0,1),1))</f>
        <v/>
      </c>
    </row>
    <row r="637" spans="1:17" ht="12" customHeight="1" x14ac:dyDescent="0.25">
      <c r="A637" s="36" t="str">
        <f>IF(Data!B627="","",IF(COUNTIFS(Data!A$1:'Data'!A627,Data!A627)&lt;=1,0,1))</f>
        <v/>
      </c>
      <c r="B637" s="36"/>
      <c r="C637" s="36" t="str">
        <f>IF(Data!C627="","",(IF(ISNUMBER(MATCH("*@*.?*",Data!C627,0)),0,1)+IF(COUNTIFS(Data!C$1:'Data'!C627,Data!C627)&gt;1,1,0)))</f>
        <v/>
      </c>
      <c r="D637" s="36" t="str">
        <f>IF(Data!B627="","",IF(ISNUMBER(Data!D627),IF(AND(Data!D627&gt;999999999,Data!D627&lt;=9999999999),IF(COUNTIFS(Data!D$1:'Data'!D627,Data!D627)&lt;=1,0,1),1),1))</f>
        <v/>
      </c>
      <c r="E637" s="36" t="str">
        <f>IF(Data!B627="","",IF(ISNUMBER(MATCH(Data!E627,Data_Val!$A$2:$A$3,0)),0,1))</f>
        <v/>
      </c>
      <c r="F637" s="36" t="str">
        <f ca="1">IF(Data!B627="","",IF(ISNUMBER(Data!F627),IF(AND(Data!F627&gt;(TODAY()-(Data_Val!$H$3*365.25)),Data!F627&lt;=(TODAY()-(Data_Val!$H$2*365.25))),0,1),1))</f>
        <v/>
      </c>
      <c r="G637" s="12" t="str">
        <f>IF(Data!B627="","",IF(AND(Data!G627="",Data!H627&lt;&gt;""),1,IF(ISNUMBER(MATCH(Data!G627,Data_Val!$C$2:$C$5,0)),0,1)))</f>
        <v/>
      </c>
      <c r="H637" s="12" t="str">
        <f>IF(Data!B627="","",IF(AND(Data!G627&lt;&gt;"",Data!H627=""),1,IF(Data!G627="",1,IF(ISNUMBER(MATCH(Data!H627,Data_Val!$D$2:$D$35,0)),0,1))))</f>
        <v/>
      </c>
      <c r="I637" s="38" t="str">
        <f>IF(Data!G627="","",IF(Data!G627=Data_Val!$C$2,IF(Data!I627="",0,1),0))</f>
        <v/>
      </c>
      <c r="J637" s="38" t="str">
        <f>IF(Data!I627="","",IF(ISNUMBER(MATCH(Data!J627,Data_Val!$A$2:$A$3,0)),0,1))</f>
        <v/>
      </c>
      <c r="K637" s="38" t="str">
        <f ca="1">IF(Data!I627="","",IF(ISNUMBER(Data!K627),IF(AND(Data!K627&gt;(TODAY()-(Data_Val!$K$3*365.25)),Data!K627&lt;=(TODAY()-(Data_Val!$K$2*365.25))),0,1),1))</f>
        <v/>
      </c>
      <c r="L637" s="16" t="str">
        <f>IF(Data!G627="","",IF(Data!G627=Data_Val!$C$2,IF(Data!L627="",0,1),0))</f>
        <v/>
      </c>
      <c r="M637" s="16" t="str">
        <f>IF(Data!L627="","",IF(ISNUMBER(MATCH(Data!M627,Data_Val!$A$2:$A$3,0)),0,1))</f>
        <v/>
      </c>
      <c r="N637" s="43" t="str">
        <f ca="1">IF(Data!L627="","",IF(ISNUMBER(Data!N627),IF(AND(Data!N627&gt;(TODAY()-(Data_Val!$L$3*365.25)),Data!N627&lt;=(TODAY()-(Data_Val!$L$2*365.25))),0,1),1))</f>
        <v/>
      </c>
      <c r="O637" s="18" t="str">
        <f>IF(Data!$G627="","",IF(Data!$G627=Data_Val!$C$2,IF(Data!O627="",0,1),0))</f>
        <v/>
      </c>
      <c r="P637" s="18" t="str">
        <f>IF(Data!O627="","",IF(ISNUMBER(MATCH(Data!P627,Data_Val!$A$2:$A$3,0)),0,1))</f>
        <v/>
      </c>
      <c r="Q637" s="44" t="str">
        <f ca="1">IF(Data!O627="","",IF(ISNUMBER(Data!Q627),IF(AND(Data!Q627&gt;(TODAY()-(Data_Val!$L$3*365.25)),Data!Q627&lt;=(TODAY()-(Data_Val!$L$2*365.25))),0,1),1))</f>
        <v/>
      </c>
    </row>
    <row r="638" spans="1:17" ht="12" customHeight="1" x14ac:dyDescent="0.25">
      <c r="A638" s="36" t="str">
        <f>IF(Data!B628="","",IF(COUNTIFS(Data!A$1:'Data'!A628,Data!A628)&lt;=1,0,1))</f>
        <v/>
      </c>
      <c r="B638" s="36"/>
      <c r="C638" s="36" t="str">
        <f>IF(Data!C628="","",(IF(ISNUMBER(MATCH("*@*.?*",Data!C628,0)),0,1)+IF(COUNTIFS(Data!C$1:'Data'!C628,Data!C628)&gt;1,1,0)))</f>
        <v/>
      </c>
      <c r="D638" s="36" t="str">
        <f>IF(Data!B628="","",IF(ISNUMBER(Data!D628),IF(AND(Data!D628&gt;999999999,Data!D628&lt;=9999999999),IF(COUNTIFS(Data!D$1:'Data'!D628,Data!D628)&lt;=1,0,1),1),1))</f>
        <v/>
      </c>
      <c r="E638" s="36" t="str">
        <f>IF(Data!B628="","",IF(ISNUMBER(MATCH(Data!E628,Data_Val!$A$2:$A$3,0)),0,1))</f>
        <v/>
      </c>
      <c r="F638" s="36" t="str">
        <f ca="1">IF(Data!B628="","",IF(ISNUMBER(Data!F628),IF(AND(Data!F628&gt;(TODAY()-(Data_Val!$H$3*365.25)),Data!F628&lt;=(TODAY()-(Data_Val!$H$2*365.25))),0,1),1))</f>
        <v/>
      </c>
      <c r="G638" s="12" t="str">
        <f>IF(Data!B628="","",IF(AND(Data!G628="",Data!H628&lt;&gt;""),1,IF(ISNUMBER(MATCH(Data!G628,Data_Val!$C$2:$C$5,0)),0,1)))</f>
        <v/>
      </c>
      <c r="H638" s="12" t="str">
        <f>IF(Data!B628="","",IF(AND(Data!G628&lt;&gt;"",Data!H628=""),1,IF(Data!G628="",1,IF(ISNUMBER(MATCH(Data!H628,Data_Val!$D$2:$D$35,0)),0,1))))</f>
        <v/>
      </c>
      <c r="I638" s="38" t="str">
        <f>IF(Data!G628="","",IF(Data!G628=Data_Val!$C$2,IF(Data!I628="",0,1),0))</f>
        <v/>
      </c>
      <c r="J638" s="38" t="str">
        <f>IF(Data!I628="","",IF(ISNUMBER(MATCH(Data!J628,Data_Val!$A$2:$A$3,0)),0,1))</f>
        <v/>
      </c>
      <c r="K638" s="38" t="str">
        <f ca="1">IF(Data!I628="","",IF(ISNUMBER(Data!K628),IF(AND(Data!K628&gt;(TODAY()-(Data_Val!$K$3*365.25)),Data!K628&lt;=(TODAY()-(Data_Val!$K$2*365.25))),0,1),1))</f>
        <v/>
      </c>
      <c r="L638" s="16" t="str">
        <f>IF(Data!G628="","",IF(Data!G628=Data_Val!$C$2,IF(Data!L628="",0,1),0))</f>
        <v/>
      </c>
      <c r="M638" s="16" t="str">
        <f>IF(Data!L628="","",IF(ISNUMBER(MATCH(Data!M628,Data_Val!$A$2:$A$3,0)),0,1))</f>
        <v/>
      </c>
      <c r="N638" s="43" t="str">
        <f ca="1">IF(Data!L628="","",IF(ISNUMBER(Data!N628),IF(AND(Data!N628&gt;(TODAY()-(Data_Val!$L$3*365.25)),Data!N628&lt;=(TODAY()-(Data_Val!$L$2*365.25))),0,1),1))</f>
        <v/>
      </c>
      <c r="O638" s="18" t="str">
        <f>IF(Data!$G628="","",IF(Data!$G628=Data_Val!$C$2,IF(Data!O628="",0,1),0))</f>
        <v/>
      </c>
      <c r="P638" s="18" t="str">
        <f>IF(Data!O628="","",IF(ISNUMBER(MATCH(Data!P628,Data_Val!$A$2:$A$3,0)),0,1))</f>
        <v/>
      </c>
      <c r="Q638" s="44" t="str">
        <f ca="1">IF(Data!O628="","",IF(ISNUMBER(Data!Q628),IF(AND(Data!Q628&gt;(TODAY()-(Data_Val!$L$3*365.25)),Data!Q628&lt;=(TODAY()-(Data_Val!$L$2*365.25))),0,1),1))</f>
        <v/>
      </c>
    </row>
    <row r="639" spans="1:17" ht="12" customHeight="1" x14ac:dyDescent="0.25">
      <c r="A639" s="36" t="str">
        <f>IF(Data!B629="","",IF(COUNTIFS(Data!A$1:'Data'!A629,Data!A629)&lt;=1,0,1))</f>
        <v/>
      </c>
      <c r="B639" s="36"/>
      <c r="C639" s="36" t="str">
        <f>IF(Data!C629="","",(IF(ISNUMBER(MATCH("*@*.?*",Data!C629,0)),0,1)+IF(COUNTIFS(Data!C$1:'Data'!C629,Data!C629)&gt;1,1,0)))</f>
        <v/>
      </c>
      <c r="D639" s="36" t="str">
        <f>IF(Data!B629="","",IF(ISNUMBER(Data!D629),IF(AND(Data!D629&gt;999999999,Data!D629&lt;=9999999999),IF(COUNTIFS(Data!D$1:'Data'!D629,Data!D629)&lt;=1,0,1),1),1))</f>
        <v/>
      </c>
      <c r="E639" s="36" t="str">
        <f>IF(Data!B629="","",IF(ISNUMBER(MATCH(Data!E629,Data_Val!$A$2:$A$3,0)),0,1))</f>
        <v/>
      </c>
      <c r="F639" s="36" t="str">
        <f ca="1">IF(Data!B629="","",IF(ISNUMBER(Data!F629),IF(AND(Data!F629&gt;(TODAY()-(Data_Val!$H$3*365.25)),Data!F629&lt;=(TODAY()-(Data_Val!$H$2*365.25))),0,1),1))</f>
        <v/>
      </c>
      <c r="G639" s="12" t="str">
        <f>IF(Data!B629="","",IF(AND(Data!G629="",Data!H629&lt;&gt;""),1,IF(ISNUMBER(MATCH(Data!G629,Data_Val!$C$2:$C$5,0)),0,1)))</f>
        <v/>
      </c>
      <c r="H639" s="12" t="str">
        <f>IF(Data!B629="","",IF(AND(Data!G629&lt;&gt;"",Data!H629=""),1,IF(Data!G629="",1,IF(ISNUMBER(MATCH(Data!H629,Data_Val!$D$2:$D$35,0)),0,1))))</f>
        <v/>
      </c>
      <c r="I639" s="38" t="str">
        <f>IF(Data!G629="","",IF(Data!G629=Data_Val!$C$2,IF(Data!I629="",0,1),0))</f>
        <v/>
      </c>
      <c r="J639" s="38" t="str">
        <f>IF(Data!I629="","",IF(ISNUMBER(MATCH(Data!J629,Data_Val!$A$2:$A$3,0)),0,1))</f>
        <v/>
      </c>
      <c r="K639" s="38" t="str">
        <f ca="1">IF(Data!I629="","",IF(ISNUMBER(Data!K629),IF(AND(Data!K629&gt;(TODAY()-(Data_Val!$K$3*365.25)),Data!K629&lt;=(TODAY()-(Data_Val!$K$2*365.25))),0,1),1))</f>
        <v/>
      </c>
      <c r="L639" s="16" t="str">
        <f>IF(Data!G629="","",IF(Data!G629=Data_Val!$C$2,IF(Data!L629="",0,1),0))</f>
        <v/>
      </c>
      <c r="M639" s="16" t="str">
        <f>IF(Data!L629="","",IF(ISNUMBER(MATCH(Data!M629,Data_Val!$A$2:$A$3,0)),0,1))</f>
        <v/>
      </c>
      <c r="N639" s="43" t="str">
        <f ca="1">IF(Data!L629="","",IF(ISNUMBER(Data!N629),IF(AND(Data!N629&gt;(TODAY()-(Data_Val!$L$3*365.25)),Data!N629&lt;=(TODAY()-(Data_Val!$L$2*365.25))),0,1),1))</f>
        <v/>
      </c>
      <c r="O639" s="18" t="str">
        <f>IF(Data!$G629="","",IF(Data!$G629=Data_Val!$C$2,IF(Data!O629="",0,1),0))</f>
        <v/>
      </c>
      <c r="P639" s="18" t="str">
        <f>IF(Data!O629="","",IF(ISNUMBER(MATCH(Data!P629,Data_Val!$A$2:$A$3,0)),0,1))</f>
        <v/>
      </c>
      <c r="Q639" s="44" t="str">
        <f ca="1">IF(Data!O629="","",IF(ISNUMBER(Data!Q629),IF(AND(Data!Q629&gt;(TODAY()-(Data_Val!$L$3*365.25)),Data!Q629&lt;=(TODAY()-(Data_Val!$L$2*365.25))),0,1),1))</f>
        <v/>
      </c>
    </row>
    <row r="640" spans="1:17" ht="12" customHeight="1" x14ac:dyDescent="0.25">
      <c r="A640" s="36" t="str">
        <f>IF(Data!B630="","",IF(COUNTIFS(Data!A$1:'Data'!A630,Data!A630)&lt;=1,0,1))</f>
        <v/>
      </c>
      <c r="B640" s="36"/>
      <c r="C640" s="36" t="str">
        <f>IF(Data!C630="","",(IF(ISNUMBER(MATCH("*@*.?*",Data!C630,0)),0,1)+IF(COUNTIFS(Data!C$1:'Data'!C630,Data!C630)&gt;1,1,0)))</f>
        <v/>
      </c>
      <c r="D640" s="36" t="str">
        <f>IF(Data!B630="","",IF(ISNUMBER(Data!D630),IF(AND(Data!D630&gt;999999999,Data!D630&lt;=9999999999),IF(COUNTIFS(Data!D$1:'Data'!D630,Data!D630)&lt;=1,0,1),1),1))</f>
        <v/>
      </c>
      <c r="E640" s="36" t="str">
        <f>IF(Data!B630="","",IF(ISNUMBER(MATCH(Data!E630,Data_Val!$A$2:$A$3,0)),0,1))</f>
        <v/>
      </c>
      <c r="F640" s="36" t="str">
        <f ca="1">IF(Data!B630="","",IF(ISNUMBER(Data!F630),IF(AND(Data!F630&gt;(TODAY()-(Data_Val!$H$3*365.25)),Data!F630&lt;=(TODAY()-(Data_Val!$H$2*365.25))),0,1),1))</f>
        <v/>
      </c>
      <c r="G640" s="12" t="str">
        <f>IF(Data!B630="","",IF(AND(Data!G630="",Data!H630&lt;&gt;""),1,IF(ISNUMBER(MATCH(Data!G630,Data_Val!$C$2:$C$5,0)),0,1)))</f>
        <v/>
      </c>
      <c r="H640" s="12" t="str">
        <f>IF(Data!B630="","",IF(AND(Data!G630&lt;&gt;"",Data!H630=""),1,IF(Data!G630="",1,IF(ISNUMBER(MATCH(Data!H630,Data_Val!$D$2:$D$35,0)),0,1))))</f>
        <v/>
      </c>
      <c r="I640" s="38" t="str">
        <f>IF(Data!G630="","",IF(Data!G630=Data_Val!$C$2,IF(Data!I630="",0,1),0))</f>
        <v/>
      </c>
      <c r="J640" s="38" t="str">
        <f>IF(Data!I630="","",IF(ISNUMBER(MATCH(Data!J630,Data_Val!$A$2:$A$3,0)),0,1))</f>
        <v/>
      </c>
      <c r="K640" s="38" t="str">
        <f ca="1">IF(Data!I630="","",IF(ISNUMBER(Data!K630),IF(AND(Data!K630&gt;(TODAY()-(Data_Val!$K$3*365.25)),Data!K630&lt;=(TODAY()-(Data_Val!$K$2*365.25))),0,1),1))</f>
        <v/>
      </c>
      <c r="L640" s="16" t="str">
        <f>IF(Data!G630="","",IF(Data!G630=Data_Val!$C$2,IF(Data!L630="",0,1),0))</f>
        <v/>
      </c>
      <c r="M640" s="16" t="str">
        <f>IF(Data!L630="","",IF(ISNUMBER(MATCH(Data!M630,Data_Val!$A$2:$A$3,0)),0,1))</f>
        <v/>
      </c>
      <c r="N640" s="43" t="str">
        <f ca="1">IF(Data!L630="","",IF(ISNUMBER(Data!N630),IF(AND(Data!N630&gt;(TODAY()-(Data_Val!$L$3*365.25)),Data!N630&lt;=(TODAY()-(Data_Val!$L$2*365.25))),0,1),1))</f>
        <v/>
      </c>
      <c r="O640" s="18" t="str">
        <f>IF(Data!$G630="","",IF(Data!$G630=Data_Val!$C$2,IF(Data!O630="",0,1),0))</f>
        <v/>
      </c>
      <c r="P640" s="18" t="str">
        <f>IF(Data!O630="","",IF(ISNUMBER(MATCH(Data!P630,Data_Val!$A$2:$A$3,0)),0,1))</f>
        <v/>
      </c>
      <c r="Q640" s="44" t="str">
        <f ca="1">IF(Data!O630="","",IF(ISNUMBER(Data!Q630),IF(AND(Data!Q630&gt;(TODAY()-(Data_Val!$L$3*365.25)),Data!Q630&lt;=(TODAY()-(Data_Val!$L$2*365.25))),0,1),1))</f>
        <v/>
      </c>
    </row>
    <row r="641" spans="1:17" ht="12" customHeight="1" x14ac:dyDescent="0.25">
      <c r="A641" s="36" t="str">
        <f>IF(Data!B631="","",IF(COUNTIFS(Data!A$1:'Data'!A631,Data!A631)&lt;=1,0,1))</f>
        <v/>
      </c>
      <c r="B641" s="36"/>
      <c r="C641" s="36" t="str">
        <f>IF(Data!C631="","",(IF(ISNUMBER(MATCH("*@*.?*",Data!C631,0)),0,1)+IF(COUNTIFS(Data!C$1:'Data'!C631,Data!C631)&gt;1,1,0)))</f>
        <v/>
      </c>
      <c r="D641" s="36" t="str">
        <f>IF(Data!B631="","",IF(ISNUMBER(Data!D631),IF(AND(Data!D631&gt;999999999,Data!D631&lt;=9999999999),IF(COUNTIFS(Data!D$1:'Data'!D631,Data!D631)&lt;=1,0,1),1),1))</f>
        <v/>
      </c>
      <c r="E641" s="36" t="str">
        <f>IF(Data!B631="","",IF(ISNUMBER(MATCH(Data!E631,Data_Val!$A$2:$A$3,0)),0,1))</f>
        <v/>
      </c>
      <c r="F641" s="36" t="str">
        <f ca="1">IF(Data!B631="","",IF(ISNUMBER(Data!F631),IF(AND(Data!F631&gt;(TODAY()-(Data_Val!$H$3*365.25)),Data!F631&lt;=(TODAY()-(Data_Val!$H$2*365.25))),0,1),1))</f>
        <v/>
      </c>
      <c r="G641" s="12" t="str">
        <f>IF(Data!B631="","",IF(AND(Data!G631="",Data!H631&lt;&gt;""),1,IF(ISNUMBER(MATCH(Data!G631,Data_Val!$C$2:$C$5,0)),0,1)))</f>
        <v/>
      </c>
      <c r="H641" s="12" t="str">
        <f>IF(Data!B631="","",IF(AND(Data!G631&lt;&gt;"",Data!H631=""),1,IF(Data!G631="",1,IF(ISNUMBER(MATCH(Data!H631,Data_Val!$D$2:$D$35,0)),0,1))))</f>
        <v/>
      </c>
      <c r="I641" s="38" t="str">
        <f>IF(Data!G631="","",IF(Data!G631=Data_Val!$C$2,IF(Data!I631="",0,1),0))</f>
        <v/>
      </c>
      <c r="J641" s="38" t="str">
        <f>IF(Data!I631="","",IF(ISNUMBER(MATCH(Data!J631,Data_Val!$A$2:$A$3,0)),0,1))</f>
        <v/>
      </c>
      <c r="K641" s="38" t="str">
        <f ca="1">IF(Data!I631="","",IF(ISNUMBER(Data!K631),IF(AND(Data!K631&gt;(TODAY()-(Data_Val!$K$3*365.25)),Data!K631&lt;=(TODAY()-(Data_Val!$K$2*365.25))),0,1),1))</f>
        <v/>
      </c>
      <c r="L641" s="16" t="str">
        <f>IF(Data!G631="","",IF(Data!G631=Data_Val!$C$2,IF(Data!L631="",0,1),0))</f>
        <v/>
      </c>
      <c r="M641" s="16" t="str">
        <f>IF(Data!L631="","",IF(ISNUMBER(MATCH(Data!M631,Data_Val!$A$2:$A$3,0)),0,1))</f>
        <v/>
      </c>
      <c r="N641" s="43" t="str">
        <f ca="1">IF(Data!L631="","",IF(ISNUMBER(Data!N631),IF(AND(Data!N631&gt;(TODAY()-(Data_Val!$L$3*365.25)),Data!N631&lt;=(TODAY()-(Data_Val!$L$2*365.25))),0,1),1))</f>
        <v/>
      </c>
      <c r="O641" s="18" t="str">
        <f>IF(Data!$G631="","",IF(Data!$G631=Data_Val!$C$2,IF(Data!O631="",0,1),0))</f>
        <v/>
      </c>
      <c r="P641" s="18" t="str">
        <f>IF(Data!O631="","",IF(ISNUMBER(MATCH(Data!P631,Data_Val!$A$2:$A$3,0)),0,1))</f>
        <v/>
      </c>
      <c r="Q641" s="44" t="str">
        <f ca="1">IF(Data!O631="","",IF(ISNUMBER(Data!Q631),IF(AND(Data!Q631&gt;(TODAY()-(Data_Val!$L$3*365.25)),Data!Q631&lt;=(TODAY()-(Data_Val!$L$2*365.25))),0,1),1))</f>
        <v/>
      </c>
    </row>
    <row r="642" spans="1:17" ht="12" customHeight="1" x14ac:dyDescent="0.25">
      <c r="A642" s="36" t="str">
        <f>IF(Data!B632="","",IF(COUNTIFS(Data!A$1:'Data'!A632,Data!A632)&lt;=1,0,1))</f>
        <v/>
      </c>
      <c r="B642" s="36"/>
      <c r="C642" s="36" t="str">
        <f>IF(Data!C632="","",(IF(ISNUMBER(MATCH("*@*.?*",Data!C632,0)),0,1)+IF(COUNTIFS(Data!C$1:'Data'!C632,Data!C632)&gt;1,1,0)))</f>
        <v/>
      </c>
      <c r="D642" s="36" t="str">
        <f>IF(Data!B632="","",IF(ISNUMBER(Data!D632),IF(AND(Data!D632&gt;999999999,Data!D632&lt;=9999999999),IF(COUNTIFS(Data!D$1:'Data'!D632,Data!D632)&lt;=1,0,1),1),1))</f>
        <v/>
      </c>
      <c r="E642" s="36" t="str">
        <f>IF(Data!B632="","",IF(ISNUMBER(MATCH(Data!E632,Data_Val!$A$2:$A$3,0)),0,1))</f>
        <v/>
      </c>
      <c r="F642" s="36" t="str">
        <f ca="1">IF(Data!B632="","",IF(ISNUMBER(Data!F632),IF(AND(Data!F632&gt;(TODAY()-(Data_Val!$H$3*365.25)),Data!F632&lt;=(TODAY()-(Data_Val!$H$2*365.25))),0,1),1))</f>
        <v/>
      </c>
      <c r="G642" s="12" t="str">
        <f>IF(Data!B632="","",IF(AND(Data!G632="",Data!H632&lt;&gt;""),1,IF(ISNUMBER(MATCH(Data!G632,Data_Val!$C$2:$C$5,0)),0,1)))</f>
        <v/>
      </c>
      <c r="H642" s="12" t="str">
        <f>IF(Data!B632="","",IF(AND(Data!G632&lt;&gt;"",Data!H632=""),1,IF(Data!G632="",1,IF(ISNUMBER(MATCH(Data!H632,Data_Val!$D$2:$D$35,0)),0,1))))</f>
        <v/>
      </c>
      <c r="I642" s="38" t="str">
        <f>IF(Data!G632="","",IF(Data!G632=Data_Val!$C$2,IF(Data!I632="",0,1),0))</f>
        <v/>
      </c>
      <c r="J642" s="38" t="str">
        <f>IF(Data!I632="","",IF(ISNUMBER(MATCH(Data!J632,Data_Val!$A$2:$A$3,0)),0,1))</f>
        <v/>
      </c>
      <c r="K642" s="38" t="str">
        <f ca="1">IF(Data!I632="","",IF(ISNUMBER(Data!K632),IF(AND(Data!K632&gt;(TODAY()-(Data_Val!$K$3*365.25)),Data!K632&lt;=(TODAY()-(Data_Val!$K$2*365.25))),0,1),1))</f>
        <v/>
      </c>
      <c r="L642" s="16" t="str">
        <f>IF(Data!G632="","",IF(Data!G632=Data_Val!$C$2,IF(Data!L632="",0,1),0))</f>
        <v/>
      </c>
      <c r="M642" s="16" t="str">
        <f>IF(Data!L632="","",IF(ISNUMBER(MATCH(Data!M632,Data_Val!$A$2:$A$3,0)),0,1))</f>
        <v/>
      </c>
      <c r="N642" s="43" t="str">
        <f ca="1">IF(Data!L632="","",IF(ISNUMBER(Data!N632),IF(AND(Data!N632&gt;(TODAY()-(Data_Val!$L$3*365.25)),Data!N632&lt;=(TODAY()-(Data_Val!$L$2*365.25))),0,1),1))</f>
        <v/>
      </c>
      <c r="O642" s="18" t="str">
        <f>IF(Data!$G632="","",IF(Data!$G632=Data_Val!$C$2,IF(Data!O632="",0,1),0))</f>
        <v/>
      </c>
      <c r="P642" s="18" t="str">
        <f>IF(Data!O632="","",IF(ISNUMBER(MATCH(Data!P632,Data_Val!$A$2:$A$3,0)),0,1))</f>
        <v/>
      </c>
      <c r="Q642" s="44" t="str">
        <f ca="1">IF(Data!O632="","",IF(ISNUMBER(Data!Q632),IF(AND(Data!Q632&gt;(TODAY()-(Data_Val!$L$3*365.25)),Data!Q632&lt;=(TODAY()-(Data_Val!$L$2*365.25))),0,1),1))</f>
        <v/>
      </c>
    </row>
    <row r="643" spans="1:17" ht="12" customHeight="1" x14ac:dyDescent="0.25">
      <c r="A643" s="36" t="str">
        <f>IF(Data!B633="","",IF(COUNTIFS(Data!A$1:'Data'!A633,Data!A633)&lt;=1,0,1))</f>
        <v/>
      </c>
      <c r="B643" s="36"/>
      <c r="C643" s="36" t="str">
        <f>IF(Data!C633="","",(IF(ISNUMBER(MATCH("*@*.?*",Data!C633,0)),0,1)+IF(COUNTIFS(Data!C$1:'Data'!C633,Data!C633)&gt;1,1,0)))</f>
        <v/>
      </c>
      <c r="D643" s="36" t="str">
        <f>IF(Data!B633="","",IF(ISNUMBER(Data!D633),IF(AND(Data!D633&gt;999999999,Data!D633&lt;=9999999999),IF(COUNTIFS(Data!D$1:'Data'!D633,Data!D633)&lt;=1,0,1),1),1))</f>
        <v/>
      </c>
      <c r="E643" s="36" t="str">
        <f>IF(Data!B633="","",IF(ISNUMBER(MATCH(Data!E633,Data_Val!$A$2:$A$3,0)),0,1))</f>
        <v/>
      </c>
      <c r="F643" s="36" t="str">
        <f ca="1">IF(Data!B633="","",IF(ISNUMBER(Data!F633),IF(AND(Data!F633&gt;(TODAY()-(Data_Val!$H$3*365.25)),Data!F633&lt;=(TODAY()-(Data_Val!$H$2*365.25))),0,1),1))</f>
        <v/>
      </c>
      <c r="G643" s="12" t="str">
        <f>IF(Data!B633="","",IF(AND(Data!G633="",Data!H633&lt;&gt;""),1,IF(ISNUMBER(MATCH(Data!G633,Data_Val!$C$2:$C$5,0)),0,1)))</f>
        <v/>
      </c>
      <c r="H643" s="12" t="str">
        <f>IF(Data!B633="","",IF(AND(Data!G633&lt;&gt;"",Data!H633=""),1,IF(Data!G633="",1,IF(ISNUMBER(MATCH(Data!H633,Data_Val!$D$2:$D$35,0)),0,1))))</f>
        <v/>
      </c>
      <c r="I643" s="38" t="str">
        <f>IF(Data!G633="","",IF(Data!G633=Data_Val!$C$2,IF(Data!I633="",0,1),0))</f>
        <v/>
      </c>
      <c r="J643" s="38" t="str">
        <f>IF(Data!I633="","",IF(ISNUMBER(MATCH(Data!J633,Data_Val!$A$2:$A$3,0)),0,1))</f>
        <v/>
      </c>
      <c r="K643" s="38" t="str">
        <f ca="1">IF(Data!I633="","",IF(ISNUMBER(Data!K633),IF(AND(Data!K633&gt;(TODAY()-(Data_Val!$K$3*365.25)),Data!K633&lt;=(TODAY()-(Data_Val!$K$2*365.25))),0,1),1))</f>
        <v/>
      </c>
      <c r="L643" s="16" t="str">
        <f>IF(Data!G633="","",IF(Data!G633=Data_Val!$C$2,IF(Data!L633="",0,1),0))</f>
        <v/>
      </c>
      <c r="M643" s="16" t="str">
        <f>IF(Data!L633="","",IF(ISNUMBER(MATCH(Data!M633,Data_Val!$A$2:$A$3,0)),0,1))</f>
        <v/>
      </c>
      <c r="N643" s="43" t="str">
        <f ca="1">IF(Data!L633="","",IF(ISNUMBER(Data!N633),IF(AND(Data!N633&gt;(TODAY()-(Data_Val!$L$3*365.25)),Data!N633&lt;=(TODAY()-(Data_Val!$L$2*365.25))),0,1),1))</f>
        <v/>
      </c>
      <c r="O643" s="18" t="str">
        <f>IF(Data!$G633="","",IF(Data!$G633=Data_Val!$C$2,IF(Data!O633="",0,1),0))</f>
        <v/>
      </c>
      <c r="P643" s="18" t="str">
        <f>IF(Data!O633="","",IF(ISNUMBER(MATCH(Data!P633,Data_Val!$A$2:$A$3,0)),0,1))</f>
        <v/>
      </c>
      <c r="Q643" s="44" t="str">
        <f ca="1">IF(Data!O633="","",IF(ISNUMBER(Data!Q633),IF(AND(Data!Q633&gt;(TODAY()-(Data_Val!$L$3*365.25)),Data!Q633&lt;=(TODAY()-(Data_Val!$L$2*365.25))),0,1),1))</f>
        <v/>
      </c>
    </row>
    <row r="644" spans="1:17" ht="12" customHeight="1" x14ac:dyDescent="0.25">
      <c r="A644" s="36" t="str">
        <f>IF(Data!B634="","",IF(COUNTIFS(Data!A$1:'Data'!A634,Data!A634)&lt;=1,0,1))</f>
        <v/>
      </c>
      <c r="B644" s="36"/>
      <c r="C644" s="36" t="str">
        <f>IF(Data!C634="","",(IF(ISNUMBER(MATCH("*@*.?*",Data!C634,0)),0,1)+IF(COUNTIFS(Data!C$1:'Data'!C634,Data!C634)&gt;1,1,0)))</f>
        <v/>
      </c>
      <c r="D644" s="36" t="str">
        <f>IF(Data!B634="","",IF(ISNUMBER(Data!D634),IF(AND(Data!D634&gt;999999999,Data!D634&lt;=9999999999),IF(COUNTIFS(Data!D$1:'Data'!D634,Data!D634)&lt;=1,0,1),1),1))</f>
        <v/>
      </c>
      <c r="E644" s="36" t="str">
        <f>IF(Data!B634="","",IF(ISNUMBER(MATCH(Data!E634,Data_Val!$A$2:$A$3,0)),0,1))</f>
        <v/>
      </c>
      <c r="F644" s="36" t="str">
        <f ca="1">IF(Data!B634="","",IF(ISNUMBER(Data!F634),IF(AND(Data!F634&gt;(TODAY()-(Data_Val!$H$3*365.25)),Data!F634&lt;=(TODAY()-(Data_Val!$H$2*365.25))),0,1),1))</f>
        <v/>
      </c>
      <c r="G644" s="12" t="str">
        <f>IF(Data!B634="","",IF(AND(Data!G634="",Data!H634&lt;&gt;""),1,IF(ISNUMBER(MATCH(Data!G634,Data_Val!$C$2:$C$5,0)),0,1)))</f>
        <v/>
      </c>
      <c r="H644" s="12" t="str">
        <f>IF(Data!B634="","",IF(AND(Data!G634&lt;&gt;"",Data!H634=""),1,IF(Data!G634="",1,IF(ISNUMBER(MATCH(Data!H634,Data_Val!$D$2:$D$35,0)),0,1))))</f>
        <v/>
      </c>
      <c r="I644" s="38" t="str">
        <f>IF(Data!G634="","",IF(Data!G634=Data_Val!$C$2,IF(Data!I634="",0,1),0))</f>
        <v/>
      </c>
      <c r="J644" s="38" t="str">
        <f>IF(Data!I634="","",IF(ISNUMBER(MATCH(Data!J634,Data_Val!$A$2:$A$3,0)),0,1))</f>
        <v/>
      </c>
      <c r="K644" s="38" t="str">
        <f ca="1">IF(Data!I634="","",IF(ISNUMBER(Data!K634),IF(AND(Data!K634&gt;(TODAY()-(Data_Val!$K$3*365.25)),Data!K634&lt;=(TODAY()-(Data_Val!$K$2*365.25))),0,1),1))</f>
        <v/>
      </c>
      <c r="L644" s="16" t="str">
        <f>IF(Data!G634="","",IF(Data!G634=Data_Val!$C$2,IF(Data!L634="",0,1),0))</f>
        <v/>
      </c>
      <c r="M644" s="16" t="str">
        <f>IF(Data!L634="","",IF(ISNUMBER(MATCH(Data!M634,Data_Val!$A$2:$A$3,0)),0,1))</f>
        <v/>
      </c>
      <c r="N644" s="43" t="str">
        <f ca="1">IF(Data!L634="","",IF(ISNUMBER(Data!N634),IF(AND(Data!N634&gt;(TODAY()-(Data_Val!$L$3*365.25)),Data!N634&lt;=(TODAY()-(Data_Val!$L$2*365.25))),0,1),1))</f>
        <v/>
      </c>
      <c r="O644" s="18" t="str">
        <f>IF(Data!$G634="","",IF(Data!$G634=Data_Val!$C$2,IF(Data!O634="",0,1),0))</f>
        <v/>
      </c>
      <c r="P644" s="18" t="str">
        <f>IF(Data!O634="","",IF(ISNUMBER(MATCH(Data!P634,Data_Val!$A$2:$A$3,0)),0,1))</f>
        <v/>
      </c>
      <c r="Q644" s="44" t="str">
        <f ca="1">IF(Data!O634="","",IF(ISNUMBER(Data!Q634),IF(AND(Data!Q634&gt;(TODAY()-(Data_Val!$L$3*365.25)),Data!Q634&lt;=(TODAY()-(Data_Val!$L$2*365.25))),0,1),1))</f>
        <v/>
      </c>
    </row>
    <row r="645" spans="1:17" ht="12" customHeight="1" x14ac:dyDescent="0.25">
      <c r="A645" s="36" t="str">
        <f>IF(Data!B635="","",IF(COUNTIFS(Data!A$1:'Data'!A635,Data!A635)&lt;=1,0,1))</f>
        <v/>
      </c>
      <c r="B645" s="36"/>
      <c r="C645" s="36" t="str">
        <f>IF(Data!C635="","",(IF(ISNUMBER(MATCH("*@*.?*",Data!C635,0)),0,1)+IF(COUNTIFS(Data!C$1:'Data'!C635,Data!C635)&gt;1,1,0)))</f>
        <v/>
      </c>
      <c r="D645" s="36" t="str">
        <f>IF(Data!B635="","",IF(ISNUMBER(Data!D635),IF(AND(Data!D635&gt;999999999,Data!D635&lt;=9999999999),IF(COUNTIFS(Data!D$1:'Data'!D635,Data!D635)&lt;=1,0,1),1),1))</f>
        <v/>
      </c>
      <c r="E645" s="36" t="str">
        <f>IF(Data!B635="","",IF(ISNUMBER(MATCH(Data!E635,Data_Val!$A$2:$A$3,0)),0,1))</f>
        <v/>
      </c>
      <c r="F645" s="36" t="str">
        <f ca="1">IF(Data!B635="","",IF(ISNUMBER(Data!F635),IF(AND(Data!F635&gt;(TODAY()-(Data_Val!$H$3*365.25)),Data!F635&lt;=(TODAY()-(Data_Val!$H$2*365.25))),0,1),1))</f>
        <v/>
      </c>
      <c r="G645" s="12" t="str">
        <f>IF(Data!B635="","",IF(AND(Data!G635="",Data!H635&lt;&gt;""),1,IF(ISNUMBER(MATCH(Data!G635,Data_Val!$C$2:$C$5,0)),0,1)))</f>
        <v/>
      </c>
      <c r="H645" s="12" t="str">
        <f>IF(Data!B635="","",IF(AND(Data!G635&lt;&gt;"",Data!H635=""),1,IF(Data!G635="",1,IF(ISNUMBER(MATCH(Data!H635,Data_Val!$D$2:$D$35,0)),0,1))))</f>
        <v/>
      </c>
      <c r="I645" s="38" t="str">
        <f>IF(Data!G635="","",IF(Data!G635=Data_Val!$C$2,IF(Data!I635="",0,1),0))</f>
        <v/>
      </c>
      <c r="J645" s="38" t="str">
        <f>IF(Data!I635="","",IF(ISNUMBER(MATCH(Data!J635,Data_Val!$A$2:$A$3,0)),0,1))</f>
        <v/>
      </c>
      <c r="K645" s="38" t="str">
        <f ca="1">IF(Data!I635="","",IF(ISNUMBER(Data!K635),IF(AND(Data!K635&gt;(TODAY()-(Data_Val!$K$3*365.25)),Data!K635&lt;=(TODAY()-(Data_Val!$K$2*365.25))),0,1),1))</f>
        <v/>
      </c>
      <c r="L645" s="16" t="str">
        <f>IF(Data!G635="","",IF(Data!G635=Data_Val!$C$2,IF(Data!L635="",0,1),0))</f>
        <v/>
      </c>
      <c r="M645" s="16" t="str">
        <f>IF(Data!L635="","",IF(ISNUMBER(MATCH(Data!M635,Data_Val!$A$2:$A$3,0)),0,1))</f>
        <v/>
      </c>
      <c r="N645" s="43" t="str">
        <f ca="1">IF(Data!L635="","",IF(ISNUMBER(Data!N635),IF(AND(Data!N635&gt;(TODAY()-(Data_Val!$L$3*365.25)),Data!N635&lt;=(TODAY()-(Data_Val!$L$2*365.25))),0,1),1))</f>
        <v/>
      </c>
      <c r="O645" s="18" t="str">
        <f>IF(Data!$G635="","",IF(Data!$G635=Data_Val!$C$2,IF(Data!O635="",0,1),0))</f>
        <v/>
      </c>
      <c r="P645" s="18" t="str">
        <f>IF(Data!O635="","",IF(ISNUMBER(MATCH(Data!P635,Data_Val!$A$2:$A$3,0)),0,1))</f>
        <v/>
      </c>
      <c r="Q645" s="44" t="str">
        <f ca="1">IF(Data!O635="","",IF(ISNUMBER(Data!Q635),IF(AND(Data!Q635&gt;(TODAY()-(Data_Val!$L$3*365.25)),Data!Q635&lt;=(TODAY()-(Data_Val!$L$2*365.25))),0,1),1))</f>
        <v/>
      </c>
    </row>
    <row r="646" spans="1:17" ht="12" customHeight="1" x14ac:dyDescent="0.25">
      <c r="A646" s="36" t="str">
        <f>IF(Data!B636="","",IF(COUNTIFS(Data!A$1:'Data'!A636,Data!A636)&lt;=1,0,1))</f>
        <v/>
      </c>
      <c r="B646" s="36"/>
      <c r="C646" s="36" t="str">
        <f>IF(Data!C636="","",(IF(ISNUMBER(MATCH("*@*.?*",Data!C636,0)),0,1)+IF(COUNTIFS(Data!C$1:'Data'!C636,Data!C636)&gt;1,1,0)))</f>
        <v/>
      </c>
      <c r="D646" s="36" t="str">
        <f>IF(Data!B636="","",IF(ISNUMBER(Data!D636),IF(AND(Data!D636&gt;999999999,Data!D636&lt;=9999999999),IF(COUNTIFS(Data!D$1:'Data'!D636,Data!D636)&lt;=1,0,1),1),1))</f>
        <v/>
      </c>
      <c r="E646" s="36" t="str">
        <f>IF(Data!B636="","",IF(ISNUMBER(MATCH(Data!E636,Data_Val!$A$2:$A$3,0)),0,1))</f>
        <v/>
      </c>
      <c r="F646" s="36" t="str">
        <f ca="1">IF(Data!B636="","",IF(ISNUMBER(Data!F636),IF(AND(Data!F636&gt;(TODAY()-(Data_Val!$H$3*365.25)),Data!F636&lt;=(TODAY()-(Data_Val!$H$2*365.25))),0,1),1))</f>
        <v/>
      </c>
      <c r="G646" s="12" t="str">
        <f>IF(Data!B636="","",IF(AND(Data!G636="",Data!H636&lt;&gt;""),1,IF(ISNUMBER(MATCH(Data!G636,Data_Val!$C$2:$C$5,0)),0,1)))</f>
        <v/>
      </c>
      <c r="H646" s="12" t="str">
        <f>IF(Data!B636="","",IF(AND(Data!G636&lt;&gt;"",Data!H636=""),1,IF(Data!G636="",1,IF(ISNUMBER(MATCH(Data!H636,Data_Val!$D$2:$D$35,0)),0,1))))</f>
        <v/>
      </c>
      <c r="I646" s="38" t="str">
        <f>IF(Data!G636="","",IF(Data!G636=Data_Val!$C$2,IF(Data!I636="",0,1),0))</f>
        <v/>
      </c>
      <c r="J646" s="38" t="str">
        <f>IF(Data!I636="","",IF(ISNUMBER(MATCH(Data!J636,Data_Val!$A$2:$A$3,0)),0,1))</f>
        <v/>
      </c>
      <c r="K646" s="38" t="str">
        <f ca="1">IF(Data!I636="","",IF(ISNUMBER(Data!K636),IF(AND(Data!K636&gt;(TODAY()-(Data_Val!$K$3*365.25)),Data!K636&lt;=(TODAY()-(Data_Val!$K$2*365.25))),0,1),1))</f>
        <v/>
      </c>
      <c r="L646" s="16" t="str">
        <f>IF(Data!G636="","",IF(Data!G636=Data_Val!$C$2,IF(Data!L636="",0,1),0))</f>
        <v/>
      </c>
      <c r="M646" s="16" t="str">
        <f>IF(Data!L636="","",IF(ISNUMBER(MATCH(Data!M636,Data_Val!$A$2:$A$3,0)),0,1))</f>
        <v/>
      </c>
      <c r="N646" s="43" t="str">
        <f ca="1">IF(Data!L636="","",IF(ISNUMBER(Data!N636),IF(AND(Data!N636&gt;(TODAY()-(Data_Val!$L$3*365.25)),Data!N636&lt;=(TODAY()-(Data_Val!$L$2*365.25))),0,1),1))</f>
        <v/>
      </c>
      <c r="O646" s="18" t="str">
        <f>IF(Data!$G636="","",IF(Data!$G636=Data_Val!$C$2,IF(Data!O636="",0,1),0))</f>
        <v/>
      </c>
      <c r="P646" s="18" t="str">
        <f>IF(Data!O636="","",IF(ISNUMBER(MATCH(Data!P636,Data_Val!$A$2:$A$3,0)),0,1))</f>
        <v/>
      </c>
      <c r="Q646" s="44" t="str">
        <f ca="1">IF(Data!O636="","",IF(ISNUMBER(Data!Q636),IF(AND(Data!Q636&gt;(TODAY()-(Data_Val!$L$3*365.25)),Data!Q636&lt;=(TODAY()-(Data_Val!$L$2*365.25))),0,1),1))</f>
        <v/>
      </c>
    </row>
    <row r="647" spans="1:17" ht="12" customHeight="1" x14ac:dyDescent="0.25">
      <c r="A647" s="36" t="str">
        <f>IF(Data!B637="","",IF(COUNTIFS(Data!A$1:'Data'!A637,Data!A637)&lt;=1,0,1))</f>
        <v/>
      </c>
      <c r="B647" s="36"/>
      <c r="C647" s="36" t="str">
        <f>IF(Data!C637="","",(IF(ISNUMBER(MATCH("*@*.?*",Data!C637,0)),0,1)+IF(COUNTIFS(Data!C$1:'Data'!C637,Data!C637)&gt;1,1,0)))</f>
        <v/>
      </c>
      <c r="D647" s="36" t="str">
        <f>IF(Data!B637="","",IF(ISNUMBER(Data!D637),IF(AND(Data!D637&gt;999999999,Data!D637&lt;=9999999999),IF(COUNTIFS(Data!D$1:'Data'!D637,Data!D637)&lt;=1,0,1),1),1))</f>
        <v/>
      </c>
      <c r="E647" s="36" t="str">
        <f>IF(Data!B637="","",IF(ISNUMBER(MATCH(Data!E637,Data_Val!$A$2:$A$3,0)),0,1))</f>
        <v/>
      </c>
      <c r="F647" s="36" t="str">
        <f ca="1">IF(Data!B637="","",IF(ISNUMBER(Data!F637),IF(AND(Data!F637&gt;(TODAY()-(Data_Val!$H$3*365.25)),Data!F637&lt;=(TODAY()-(Data_Val!$H$2*365.25))),0,1),1))</f>
        <v/>
      </c>
      <c r="G647" s="12" t="str">
        <f>IF(Data!B637="","",IF(AND(Data!G637="",Data!H637&lt;&gt;""),1,IF(ISNUMBER(MATCH(Data!G637,Data_Val!$C$2:$C$5,0)),0,1)))</f>
        <v/>
      </c>
      <c r="H647" s="12" t="str">
        <f>IF(Data!B637="","",IF(AND(Data!G637&lt;&gt;"",Data!H637=""),1,IF(Data!G637="",1,IF(ISNUMBER(MATCH(Data!H637,Data_Val!$D$2:$D$35,0)),0,1))))</f>
        <v/>
      </c>
      <c r="I647" s="38" t="str">
        <f>IF(Data!G637="","",IF(Data!G637=Data_Val!$C$2,IF(Data!I637="",0,1),0))</f>
        <v/>
      </c>
      <c r="J647" s="38" t="str">
        <f>IF(Data!I637="","",IF(ISNUMBER(MATCH(Data!J637,Data_Val!$A$2:$A$3,0)),0,1))</f>
        <v/>
      </c>
      <c r="K647" s="38" t="str">
        <f ca="1">IF(Data!I637="","",IF(ISNUMBER(Data!K637),IF(AND(Data!K637&gt;(TODAY()-(Data_Val!$K$3*365.25)),Data!K637&lt;=(TODAY()-(Data_Val!$K$2*365.25))),0,1),1))</f>
        <v/>
      </c>
      <c r="L647" s="16" t="str">
        <f>IF(Data!G637="","",IF(Data!G637=Data_Val!$C$2,IF(Data!L637="",0,1),0))</f>
        <v/>
      </c>
      <c r="M647" s="16" t="str">
        <f>IF(Data!L637="","",IF(ISNUMBER(MATCH(Data!M637,Data_Val!$A$2:$A$3,0)),0,1))</f>
        <v/>
      </c>
      <c r="N647" s="43" t="str">
        <f ca="1">IF(Data!L637="","",IF(ISNUMBER(Data!N637),IF(AND(Data!N637&gt;(TODAY()-(Data_Val!$L$3*365.25)),Data!N637&lt;=(TODAY()-(Data_Val!$L$2*365.25))),0,1),1))</f>
        <v/>
      </c>
      <c r="O647" s="18" t="str">
        <f>IF(Data!$G637="","",IF(Data!$G637=Data_Val!$C$2,IF(Data!O637="",0,1),0))</f>
        <v/>
      </c>
      <c r="P647" s="18" t="str">
        <f>IF(Data!O637="","",IF(ISNUMBER(MATCH(Data!P637,Data_Val!$A$2:$A$3,0)),0,1))</f>
        <v/>
      </c>
      <c r="Q647" s="44" t="str">
        <f ca="1">IF(Data!O637="","",IF(ISNUMBER(Data!Q637),IF(AND(Data!Q637&gt;(TODAY()-(Data_Val!$L$3*365.25)),Data!Q637&lt;=(TODAY()-(Data_Val!$L$2*365.25))),0,1),1))</f>
        <v/>
      </c>
    </row>
    <row r="648" spans="1:17" ht="12" customHeight="1" x14ac:dyDescent="0.25">
      <c r="A648" s="36" t="str">
        <f>IF(Data!B638="","",IF(COUNTIFS(Data!A$1:'Data'!A638,Data!A638)&lt;=1,0,1))</f>
        <v/>
      </c>
      <c r="B648" s="36"/>
      <c r="C648" s="36" t="str">
        <f>IF(Data!C638="","",(IF(ISNUMBER(MATCH("*@*.?*",Data!C638,0)),0,1)+IF(COUNTIFS(Data!C$1:'Data'!C638,Data!C638)&gt;1,1,0)))</f>
        <v/>
      </c>
      <c r="D648" s="36" t="str">
        <f>IF(Data!B638="","",IF(ISNUMBER(Data!D638),IF(AND(Data!D638&gt;999999999,Data!D638&lt;=9999999999),IF(COUNTIFS(Data!D$1:'Data'!D638,Data!D638)&lt;=1,0,1),1),1))</f>
        <v/>
      </c>
      <c r="E648" s="36" t="str">
        <f>IF(Data!B638="","",IF(ISNUMBER(MATCH(Data!E638,Data_Val!$A$2:$A$3,0)),0,1))</f>
        <v/>
      </c>
      <c r="F648" s="36" t="str">
        <f ca="1">IF(Data!B638="","",IF(ISNUMBER(Data!F638),IF(AND(Data!F638&gt;(TODAY()-(Data_Val!$H$3*365.25)),Data!F638&lt;=(TODAY()-(Data_Val!$H$2*365.25))),0,1),1))</f>
        <v/>
      </c>
      <c r="G648" s="12" t="str">
        <f>IF(Data!B638="","",IF(AND(Data!G638="",Data!H638&lt;&gt;""),1,IF(ISNUMBER(MATCH(Data!G638,Data_Val!$C$2:$C$5,0)),0,1)))</f>
        <v/>
      </c>
      <c r="H648" s="12" t="str">
        <f>IF(Data!B638="","",IF(AND(Data!G638&lt;&gt;"",Data!H638=""),1,IF(Data!G638="",1,IF(ISNUMBER(MATCH(Data!H638,Data_Val!$D$2:$D$35,0)),0,1))))</f>
        <v/>
      </c>
      <c r="I648" s="38" t="str">
        <f>IF(Data!G638="","",IF(Data!G638=Data_Val!$C$2,IF(Data!I638="",0,1),0))</f>
        <v/>
      </c>
      <c r="J648" s="38" t="str">
        <f>IF(Data!I638="","",IF(ISNUMBER(MATCH(Data!J638,Data_Val!$A$2:$A$3,0)),0,1))</f>
        <v/>
      </c>
      <c r="K648" s="38" t="str">
        <f ca="1">IF(Data!I638="","",IF(ISNUMBER(Data!K638),IF(AND(Data!K638&gt;(TODAY()-(Data_Val!$K$3*365.25)),Data!K638&lt;=(TODAY()-(Data_Val!$K$2*365.25))),0,1),1))</f>
        <v/>
      </c>
      <c r="L648" s="16" t="str">
        <f>IF(Data!G638="","",IF(Data!G638=Data_Val!$C$2,IF(Data!L638="",0,1),0))</f>
        <v/>
      </c>
      <c r="M648" s="16" t="str">
        <f>IF(Data!L638="","",IF(ISNUMBER(MATCH(Data!M638,Data_Val!$A$2:$A$3,0)),0,1))</f>
        <v/>
      </c>
      <c r="N648" s="43" t="str">
        <f ca="1">IF(Data!L638="","",IF(ISNUMBER(Data!N638),IF(AND(Data!N638&gt;(TODAY()-(Data_Val!$L$3*365.25)),Data!N638&lt;=(TODAY()-(Data_Val!$L$2*365.25))),0,1),1))</f>
        <v/>
      </c>
      <c r="O648" s="18" t="str">
        <f>IF(Data!$G638="","",IF(Data!$G638=Data_Val!$C$2,IF(Data!O638="",0,1),0))</f>
        <v/>
      </c>
      <c r="P648" s="18" t="str">
        <f>IF(Data!O638="","",IF(ISNUMBER(MATCH(Data!P638,Data_Val!$A$2:$A$3,0)),0,1))</f>
        <v/>
      </c>
      <c r="Q648" s="44" t="str">
        <f ca="1">IF(Data!O638="","",IF(ISNUMBER(Data!Q638),IF(AND(Data!Q638&gt;(TODAY()-(Data_Val!$L$3*365.25)),Data!Q638&lt;=(TODAY()-(Data_Val!$L$2*365.25))),0,1),1))</f>
        <v/>
      </c>
    </row>
    <row r="649" spans="1:17" ht="12" customHeight="1" x14ac:dyDescent="0.25">
      <c r="A649" s="36" t="str">
        <f>IF(Data!B639="","",IF(COUNTIFS(Data!A$1:'Data'!A639,Data!A639)&lt;=1,0,1))</f>
        <v/>
      </c>
      <c r="B649" s="36"/>
      <c r="C649" s="36" t="str">
        <f>IF(Data!C639="","",(IF(ISNUMBER(MATCH("*@*.?*",Data!C639,0)),0,1)+IF(COUNTIFS(Data!C$1:'Data'!C639,Data!C639)&gt;1,1,0)))</f>
        <v/>
      </c>
      <c r="D649" s="36" t="str">
        <f>IF(Data!B639="","",IF(ISNUMBER(Data!D639),IF(AND(Data!D639&gt;999999999,Data!D639&lt;=9999999999),IF(COUNTIFS(Data!D$1:'Data'!D639,Data!D639)&lt;=1,0,1),1),1))</f>
        <v/>
      </c>
      <c r="E649" s="36" t="str">
        <f>IF(Data!B639="","",IF(ISNUMBER(MATCH(Data!E639,Data_Val!$A$2:$A$3,0)),0,1))</f>
        <v/>
      </c>
      <c r="F649" s="36" t="str">
        <f ca="1">IF(Data!B639="","",IF(ISNUMBER(Data!F639),IF(AND(Data!F639&gt;(TODAY()-(Data_Val!$H$3*365.25)),Data!F639&lt;=(TODAY()-(Data_Val!$H$2*365.25))),0,1),1))</f>
        <v/>
      </c>
      <c r="G649" s="12" t="str">
        <f>IF(Data!B639="","",IF(AND(Data!G639="",Data!H639&lt;&gt;""),1,IF(ISNUMBER(MATCH(Data!G639,Data_Val!$C$2:$C$5,0)),0,1)))</f>
        <v/>
      </c>
      <c r="H649" s="12" t="str">
        <f>IF(Data!B639="","",IF(AND(Data!G639&lt;&gt;"",Data!H639=""),1,IF(Data!G639="",1,IF(ISNUMBER(MATCH(Data!H639,Data_Val!$D$2:$D$35,0)),0,1))))</f>
        <v/>
      </c>
      <c r="I649" s="38" t="str">
        <f>IF(Data!G639="","",IF(Data!G639=Data_Val!$C$2,IF(Data!I639="",0,1),0))</f>
        <v/>
      </c>
      <c r="J649" s="38" t="str">
        <f>IF(Data!I639="","",IF(ISNUMBER(MATCH(Data!J639,Data_Val!$A$2:$A$3,0)),0,1))</f>
        <v/>
      </c>
      <c r="K649" s="38" t="str">
        <f ca="1">IF(Data!I639="","",IF(ISNUMBER(Data!K639),IF(AND(Data!K639&gt;(TODAY()-(Data_Val!$K$3*365.25)),Data!K639&lt;=(TODAY()-(Data_Val!$K$2*365.25))),0,1),1))</f>
        <v/>
      </c>
      <c r="L649" s="16" t="str">
        <f>IF(Data!G639="","",IF(Data!G639=Data_Val!$C$2,IF(Data!L639="",0,1),0))</f>
        <v/>
      </c>
      <c r="M649" s="16" t="str">
        <f>IF(Data!L639="","",IF(ISNUMBER(MATCH(Data!M639,Data_Val!$A$2:$A$3,0)),0,1))</f>
        <v/>
      </c>
      <c r="N649" s="43" t="str">
        <f ca="1">IF(Data!L639="","",IF(ISNUMBER(Data!N639),IF(AND(Data!N639&gt;(TODAY()-(Data_Val!$L$3*365.25)),Data!N639&lt;=(TODAY()-(Data_Val!$L$2*365.25))),0,1),1))</f>
        <v/>
      </c>
      <c r="O649" s="18" t="str">
        <f>IF(Data!$G639="","",IF(Data!$G639=Data_Val!$C$2,IF(Data!O639="",0,1),0))</f>
        <v/>
      </c>
      <c r="P649" s="18" t="str">
        <f>IF(Data!O639="","",IF(ISNUMBER(MATCH(Data!P639,Data_Val!$A$2:$A$3,0)),0,1))</f>
        <v/>
      </c>
      <c r="Q649" s="44" t="str">
        <f ca="1">IF(Data!O639="","",IF(ISNUMBER(Data!Q639),IF(AND(Data!Q639&gt;(TODAY()-(Data_Val!$L$3*365.25)),Data!Q639&lt;=(TODAY()-(Data_Val!$L$2*365.25))),0,1),1))</f>
        <v/>
      </c>
    </row>
    <row r="650" spans="1:17" ht="12" customHeight="1" x14ac:dyDescent="0.25">
      <c r="A650" s="36" t="str">
        <f>IF(Data!B640="","",IF(COUNTIFS(Data!A$1:'Data'!A640,Data!A640)&lt;=1,0,1))</f>
        <v/>
      </c>
      <c r="B650" s="36"/>
      <c r="C650" s="36" t="str">
        <f>IF(Data!C640="","",(IF(ISNUMBER(MATCH("*@*.?*",Data!C640,0)),0,1)+IF(COUNTIFS(Data!C$1:'Data'!C640,Data!C640)&gt;1,1,0)))</f>
        <v/>
      </c>
      <c r="D650" s="36" t="str">
        <f>IF(Data!B640="","",IF(ISNUMBER(Data!D640),IF(AND(Data!D640&gt;999999999,Data!D640&lt;=9999999999),IF(COUNTIFS(Data!D$1:'Data'!D640,Data!D640)&lt;=1,0,1),1),1))</f>
        <v/>
      </c>
      <c r="E650" s="36" t="str">
        <f>IF(Data!B640="","",IF(ISNUMBER(MATCH(Data!E640,Data_Val!$A$2:$A$3,0)),0,1))</f>
        <v/>
      </c>
      <c r="F650" s="36" t="str">
        <f ca="1">IF(Data!B640="","",IF(ISNUMBER(Data!F640),IF(AND(Data!F640&gt;(TODAY()-(Data_Val!$H$3*365.25)),Data!F640&lt;=(TODAY()-(Data_Val!$H$2*365.25))),0,1),1))</f>
        <v/>
      </c>
      <c r="G650" s="12" t="str">
        <f>IF(Data!B640="","",IF(AND(Data!G640="",Data!H640&lt;&gt;""),1,IF(ISNUMBER(MATCH(Data!G640,Data_Val!$C$2:$C$5,0)),0,1)))</f>
        <v/>
      </c>
      <c r="H650" s="12" t="str">
        <f>IF(Data!B640="","",IF(AND(Data!G640&lt;&gt;"",Data!H640=""),1,IF(Data!G640="",1,IF(ISNUMBER(MATCH(Data!H640,Data_Val!$D$2:$D$35,0)),0,1))))</f>
        <v/>
      </c>
      <c r="I650" s="38" t="str">
        <f>IF(Data!G640="","",IF(Data!G640=Data_Val!$C$2,IF(Data!I640="",0,1),0))</f>
        <v/>
      </c>
      <c r="J650" s="38" t="str">
        <f>IF(Data!I640="","",IF(ISNUMBER(MATCH(Data!J640,Data_Val!$A$2:$A$3,0)),0,1))</f>
        <v/>
      </c>
      <c r="K650" s="38" t="str">
        <f ca="1">IF(Data!I640="","",IF(ISNUMBER(Data!K640),IF(AND(Data!K640&gt;(TODAY()-(Data_Val!$K$3*365.25)),Data!K640&lt;=(TODAY()-(Data_Val!$K$2*365.25))),0,1),1))</f>
        <v/>
      </c>
      <c r="L650" s="16" t="str">
        <f>IF(Data!G640="","",IF(Data!G640=Data_Val!$C$2,IF(Data!L640="",0,1),0))</f>
        <v/>
      </c>
      <c r="M650" s="16" t="str">
        <f>IF(Data!L640="","",IF(ISNUMBER(MATCH(Data!M640,Data_Val!$A$2:$A$3,0)),0,1))</f>
        <v/>
      </c>
      <c r="N650" s="43" t="str">
        <f ca="1">IF(Data!L640="","",IF(ISNUMBER(Data!N640),IF(AND(Data!N640&gt;(TODAY()-(Data_Val!$L$3*365.25)),Data!N640&lt;=(TODAY()-(Data_Val!$L$2*365.25))),0,1),1))</f>
        <v/>
      </c>
      <c r="O650" s="18" t="str">
        <f>IF(Data!$G640="","",IF(Data!$G640=Data_Val!$C$2,IF(Data!O640="",0,1),0))</f>
        <v/>
      </c>
      <c r="P650" s="18" t="str">
        <f>IF(Data!O640="","",IF(ISNUMBER(MATCH(Data!P640,Data_Val!$A$2:$A$3,0)),0,1))</f>
        <v/>
      </c>
      <c r="Q650" s="44" t="str">
        <f ca="1">IF(Data!O640="","",IF(ISNUMBER(Data!Q640),IF(AND(Data!Q640&gt;(TODAY()-(Data_Val!$L$3*365.25)),Data!Q640&lt;=(TODAY()-(Data_Val!$L$2*365.25))),0,1),1))</f>
        <v/>
      </c>
    </row>
    <row r="651" spans="1:17" ht="12" customHeight="1" x14ac:dyDescent="0.25">
      <c r="A651" s="36" t="str">
        <f>IF(Data!B641="","",IF(COUNTIFS(Data!A$1:'Data'!A641,Data!A641)&lt;=1,0,1))</f>
        <v/>
      </c>
      <c r="B651" s="36"/>
      <c r="C651" s="36" t="str">
        <f>IF(Data!C641="","",(IF(ISNUMBER(MATCH("*@*.?*",Data!C641,0)),0,1)+IF(COUNTIFS(Data!C$1:'Data'!C641,Data!C641)&gt;1,1,0)))</f>
        <v/>
      </c>
      <c r="D651" s="36" t="str">
        <f>IF(Data!B641="","",IF(ISNUMBER(Data!D641),IF(AND(Data!D641&gt;999999999,Data!D641&lt;=9999999999),IF(COUNTIFS(Data!D$1:'Data'!D641,Data!D641)&lt;=1,0,1),1),1))</f>
        <v/>
      </c>
      <c r="E651" s="36" t="str">
        <f>IF(Data!B641="","",IF(ISNUMBER(MATCH(Data!E641,Data_Val!$A$2:$A$3,0)),0,1))</f>
        <v/>
      </c>
      <c r="F651" s="36" t="str">
        <f ca="1">IF(Data!B641="","",IF(ISNUMBER(Data!F641),IF(AND(Data!F641&gt;(TODAY()-(Data_Val!$H$3*365.25)),Data!F641&lt;=(TODAY()-(Data_Val!$H$2*365.25))),0,1),1))</f>
        <v/>
      </c>
      <c r="G651" s="12" t="str">
        <f>IF(Data!B641="","",IF(AND(Data!G641="",Data!H641&lt;&gt;""),1,IF(ISNUMBER(MATCH(Data!G641,Data_Val!$C$2:$C$5,0)),0,1)))</f>
        <v/>
      </c>
      <c r="H651" s="12" t="str">
        <f>IF(Data!B641="","",IF(AND(Data!G641&lt;&gt;"",Data!H641=""),1,IF(Data!G641="",1,IF(ISNUMBER(MATCH(Data!H641,Data_Val!$D$2:$D$35,0)),0,1))))</f>
        <v/>
      </c>
      <c r="I651" s="38" t="str">
        <f>IF(Data!G641="","",IF(Data!G641=Data_Val!$C$2,IF(Data!I641="",0,1),0))</f>
        <v/>
      </c>
      <c r="J651" s="38" t="str">
        <f>IF(Data!I641="","",IF(ISNUMBER(MATCH(Data!J641,Data_Val!$A$2:$A$3,0)),0,1))</f>
        <v/>
      </c>
      <c r="K651" s="38" t="str">
        <f ca="1">IF(Data!I641="","",IF(ISNUMBER(Data!K641),IF(AND(Data!K641&gt;(TODAY()-(Data_Val!$K$3*365.25)),Data!K641&lt;=(TODAY()-(Data_Val!$K$2*365.25))),0,1),1))</f>
        <v/>
      </c>
      <c r="L651" s="16" t="str">
        <f>IF(Data!G641="","",IF(Data!G641=Data_Val!$C$2,IF(Data!L641="",0,1),0))</f>
        <v/>
      </c>
      <c r="M651" s="16" t="str">
        <f>IF(Data!L641="","",IF(ISNUMBER(MATCH(Data!M641,Data_Val!$A$2:$A$3,0)),0,1))</f>
        <v/>
      </c>
      <c r="N651" s="43" t="str">
        <f ca="1">IF(Data!L641="","",IF(ISNUMBER(Data!N641),IF(AND(Data!N641&gt;(TODAY()-(Data_Val!$L$3*365.25)),Data!N641&lt;=(TODAY()-(Data_Val!$L$2*365.25))),0,1),1))</f>
        <v/>
      </c>
      <c r="O651" s="18" t="str">
        <f>IF(Data!$G641="","",IF(Data!$G641=Data_Val!$C$2,IF(Data!O641="",0,1),0))</f>
        <v/>
      </c>
      <c r="P651" s="18" t="str">
        <f>IF(Data!O641="","",IF(ISNUMBER(MATCH(Data!P641,Data_Val!$A$2:$A$3,0)),0,1))</f>
        <v/>
      </c>
      <c r="Q651" s="44" t="str">
        <f ca="1">IF(Data!O641="","",IF(ISNUMBER(Data!Q641),IF(AND(Data!Q641&gt;(TODAY()-(Data_Val!$L$3*365.25)),Data!Q641&lt;=(TODAY()-(Data_Val!$L$2*365.25))),0,1),1))</f>
        <v/>
      </c>
    </row>
    <row r="652" spans="1:17" ht="12" customHeight="1" x14ac:dyDescent="0.25">
      <c r="A652" s="36" t="str">
        <f>IF(Data!B642="","",IF(COUNTIFS(Data!A$1:'Data'!A642,Data!A642)&lt;=1,0,1))</f>
        <v/>
      </c>
      <c r="B652" s="36"/>
      <c r="C652" s="36" t="str">
        <f>IF(Data!C642="","",(IF(ISNUMBER(MATCH("*@*.?*",Data!C642,0)),0,1)+IF(COUNTIFS(Data!C$1:'Data'!C642,Data!C642)&gt;1,1,0)))</f>
        <v/>
      </c>
      <c r="D652" s="36" t="str">
        <f>IF(Data!B642="","",IF(ISNUMBER(Data!D642),IF(AND(Data!D642&gt;999999999,Data!D642&lt;=9999999999),IF(COUNTIFS(Data!D$1:'Data'!D642,Data!D642)&lt;=1,0,1),1),1))</f>
        <v/>
      </c>
      <c r="E652" s="36" t="str">
        <f>IF(Data!B642="","",IF(ISNUMBER(MATCH(Data!E642,Data_Val!$A$2:$A$3,0)),0,1))</f>
        <v/>
      </c>
      <c r="F652" s="36" t="str">
        <f ca="1">IF(Data!B642="","",IF(ISNUMBER(Data!F642),IF(AND(Data!F642&gt;(TODAY()-(Data_Val!$H$3*365.25)),Data!F642&lt;=(TODAY()-(Data_Val!$H$2*365.25))),0,1),1))</f>
        <v/>
      </c>
      <c r="G652" s="12" t="str">
        <f>IF(Data!B642="","",IF(AND(Data!G642="",Data!H642&lt;&gt;""),1,IF(ISNUMBER(MATCH(Data!G642,Data_Val!$C$2:$C$5,0)),0,1)))</f>
        <v/>
      </c>
      <c r="H652" s="12" t="str">
        <f>IF(Data!B642="","",IF(AND(Data!G642&lt;&gt;"",Data!H642=""),1,IF(Data!G642="",1,IF(ISNUMBER(MATCH(Data!H642,Data_Val!$D$2:$D$35,0)),0,1))))</f>
        <v/>
      </c>
      <c r="I652" s="38" t="str">
        <f>IF(Data!G642="","",IF(Data!G642=Data_Val!$C$2,IF(Data!I642="",0,1),0))</f>
        <v/>
      </c>
      <c r="J652" s="38" t="str">
        <f>IF(Data!I642="","",IF(ISNUMBER(MATCH(Data!J642,Data_Val!$A$2:$A$3,0)),0,1))</f>
        <v/>
      </c>
      <c r="K652" s="38" t="str">
        <f ca="1">IF(Data!I642="","",IF(ISNUMBER(Data!K642),IF(AND(Data!K642&gt;(TODAY()-(Data_Val!$K$3*365.25)),Data!K642&lt;=(TODAY()-(Data_Val!$K$2*365.25))),0,1),1))</f>
        <v/>
      </c>
      <c r="L652" s="16" t="str">
        <f>IF(Data!G642="","",IF(Data!G642=Data_Val!$C$2,IF(Data!L642="",0,1),0))</f>
        <v/>
      </c>
      <c r="M652" s="16" t="str">
        <f>IF(Data!L642="","",IF(ISNUMBER(MATCH(Data!M642,Data_Val!$A$2:$A$3,0)),0,1))</f>
        <v/>
      </c>
      <c r="N652" s="43" t="str">
        <f ca="1">IF(Data!L642="","",IF(ISNUMBER(Data!N642),IF(AND(Data!N642&gt;(TODAY()-(Data_Val!$L$3*365.25)),Data!N642&lt;=(TODAY()-(Data_Val!$L$2*365.25))),0,1),1))</f>
        <v/>
      </c>
      <c r="O652" s="18" t="str">
        <f>IF(Data!$G642="","",IF(Data!$G642=Data_Val!$C$2,IF(Data!O642="",0,1),0))</f>
        <v/>
      </c>
      <c r="P652" s="18" t="str">
        <f>IF(Data!O642="","",IF(ISNUMBER(MATCH(Data!P642,Data_Val!$A$2:$A$3,0)),0,1))</f>
        <v/>
      </c>
      <c r="Q652" s="44" t="str">
        <f ca="1">IF(Data!O642="","",IF(ISNUMBER(Data!Q642),IF(AND(Data!Q642&gt;(TODAY()-(Data_Val!$L$3*365.25)),Data!Q642&lt;=(TODAY()-(Data_Val!$L$2*365.25))),0,1),1))</f>
        <v/>
      </c>
    </row>
    <row r="653" spans="1:17" ht="12" customHeight="1" x14ac:dyDescent="0.25">
      <c r="A653" s="36" t="str">
        <f>IF(Data!B643="","",IF(COUNTIFS(Data!A$1:'Data'!A643,Data!A643)&lt;=1,0,1))</f>
        <v/>
      </c>
      <c r="B653" s="36"/>
      <c r="C653" s="36" t="str">
        <f>IF(Data!C643="","",(IF(ISNUMBER(MATCH("*@*.?*",Data!C643,0)),0,1)+IF(COUNTIFS(Data!C$1:'Data'!C643,Data!C643)&gt;1,1,0)))</f>
        <v/>
      </c>
      <c r="D653" s="36" t="str">
        <f>IF(Data!B643="","",IF(ISNUMBER(Data!D643),IF(AND(Data!D643&gt;999999999,Data!D643&lt;=9999999999),IF(COUNTIFS(Data!D$1:'Data'!D643,Data!D643)&lt;=1,0,1),1),1))</f>
        <v/>
      </c>
      <c r="E653" s="36" t="str">
        <f>IF(Data!B643="","",IF(ISNUMBER(MATCH(Data!E643,Data_Val!$A$2:$A$3,0)),0,1))</f>
        <v/>
      </c>
      <c r="F653" s="36" t="str">
        <f ca="1">IF(Data!B643="","",IF(ISNUMBER(Data!F643),IF(AND(Data!F643&gt;(TODAY()-(Data_Val!$H$3*365.25)),Data!F643&lt;=(TODAY()-(Data_Val!$H$2*365.25))),0,1),1))</f>
        <v/>
      </c>
      <c r="G653" s="12" t="str">
        <f>IF(Data!B643="","",IF(AND(Data!G643="",Data!H643&lt;&gt;""),1,IF(ISNUMBER(MATCH(Data!G643,Data_Val!$C$2:$C$5,0)),0,1)))</f>
        <v/>
      </c>
      <c r="H653" s="12" t="str">
        <f>IF(Data!B643="","",IF(AND(Data!G643&lt;&gt;"",Data!H643=""),1,IF(Data!G643="",1,IF(ISNUMBER(MATCH(Data!H643,Data_Val!$D$2:$D$35,0)),0,1))))</f>
        <v/>
      </c>
      <c r="I653" s="38" t="str">
        <f>IF(Data!G643="","",IF(Data!G643=Data_Val!$C$2,IF(Data!I643="",0,1),0))</f>
        <v/>
      </c>
      <c r="J653" s="38" t="str">
        <f>IF(Data!I643="","",IF(ISNUMBER(MATCH(Data!J643,Data_Val!$A$2:$A$3,0)),0,1))</f>
        <v/>
      </c>
      <c r="K653" s="38" t="str">
        <f ca="1">IF(Data!I643="","",IF(ISNUMBER(Data!K643),IF(AND(Data!K643&gt;(TODAY()-(Data_Val!$K$3*365.25)),Data!K643&lt;=(TODAY()-(Data_Val!$K$2*365.25))),0,1),1))</f>
        <v/>
      </c>
      <c r="L653" s="16" t="str">
        <f>IF(Data!G643="","",IF(Data!G643=Data_Val!$C$2,IF(Data!L643="",0,1),0))</f>
        <v/>
      </c>
      <c r="M653" s="16" t="str">
        <f>IF(Data!L643="","",IF(ISNUMBER(MATCH(Data!M643,Data_Val!$A$2:$A$3,0)),0,1))</f>
        <v/>
      </c>
      <c r="N653" s="43" t="str">
        <f ca="1">IF(Data!L643="","",IF(ISNUMBER(Data!N643),IF(AND(Data!N643&gt;(TODAY()-(Data_Val!$L$3*365.25)),Data!N643&lt;=(TODAY()-(Data_Val!$L$2*365.25))),0,1),1))</f>
        <v/>
      </c>
      <c r="O653" s="18" t="str">
        <f>IF(Data!$G643="","",IF(Data!$G643=Data_Val!$C$2,IF(Data!O643="",0,1),0))</f>
        <v/>
      </c>
      <c r="P653" s="18" t="str">
        <f>IF(Data!O643="","",IF(ISNUMBER(MATCH(Data!P643,Data_Val!$A$2:$A$3,0)),0,1))</f>
        <v/>
      </c>
      <c r="Q653" s="44" t="str">
        <f ca="1">IF(Data!O643="","",IF(ISNUMBER(Data!Q643),IF(AND(Data!Q643&gt;(TODAY()-(Data_Val!$L$3*365.25)),Data!Q643&lt;=(TODAY()-(Data_Val!$L$2*365.25))),0,1),1))</f>
        <v/>
      </c>
    </row>
    <row r="654" spans="1:17" ht="12" customHeight="1" x14ac:dyDescent="0.25">
      <c r="A654" s="36" t="str">
        <f>IF(Data!B644="","",IF(COUNTIFS(Data!A$1:'Data'!A644,Data!A644)&lt;=1,0,1))</f>
        <v/>
      </c>
      <c r="B654" s="36"/>
      <c r="C654" s="36" t="str">
        <f>IF(Data!C644="","",(IF(ISNUMBER(MATCH("*@*.?*",Data!C644,0)),0,1)+IF(COUNTIFS(Data!C$1:'Data'!C644,Data!C644)&gt;1,1,0)))</f>
        <v/>
      </c>
      <c r="D654" s="36" t="str">
        <f>IF(Data!B644="","",IF(ISNUMBER(Data!D644),IF(AND(Data!D644&gt;999999999,Data!D644&lt;=9999999999),IF(COUNTIFS(Data!D$1:'Data'!D644,Data!D644)&lt;=1,0,1),1),1))</f>
        <v/>
      </c>
      <c r="E654" s="36" t="str">
        <f>IF(Data!B644="","",IF(ISNUMBER(MATCH(Data!E644,Data_Val!$A$2:$A$3,0)),0,1))</f>
        <v/>
      </c>
      <c r="F654" s="36" t="str">
        <f ca="1">IF(Data!B644="","",IF(ISNUMBER(Data!F644),IF(AND(Data!F644&gt;(TODAY()-(Data_Val!$H$3*365.25)),Data!F644&lt;=(TODAY()-(Data_Val!$H$2*365.25))),0,1),1))</f>
        <v/>
      </c>
      <c r="G654" s="12" t="str">
        <f>IF(Data!B644="","",IF(AND(Data!G644="",Data!H644&lt;&gt;""),1,IF(ISNUMBER(MATCH(Data!G644,Data_Val!$C$2:$C$5,0)),0,1)))</f>
        <v/>
      </c>
      <c r="H654" s="12" t="str">
        <f>IF(Data!B644="","",IF(AND(Data!G644&lt;&gt;"",Data!H644=""),1,IF(Data!G644="",1,IF(ISNUMBER(MATCH(Data!H644,Data_Val!$D$2:$D$35,0)),0,1))))</f>
        <v/>
      </c>
      <c r="I654" s="38" t="str">
        <f>IF(Data!G644="","",IF(Data!G644=Data_Val!$C$2,IF(Data!I644="",0,1),0))</f>
        <v/>
      </c>
      <c r="J654" s="38" t="str">
        <f>IF(Data!I644="","",IF(ISNUMBER(MATCH(Data!J644,Data_Val!$A$2:$A$3,0)),0,1))</f>
        <v/>
      </c>
      <c r="K654" s="38" t="str">
        <f ca="1">IF(Data!I644="","",IF(ISNUMBER(Data!K644),IF(AND(Data!K644&gt;(TODAY()-(Data_Val!$K$3*365.25)),Data!K644&lt;=(TODAY()-(Data_Val!$K$2*365.25))),0,1),1))</f>
        <v/>
      </c>
      <c r="L654" s="16" t="str">
        <f>IF(Data!G644="","",IF(Data!G644=Data_Val!$C$2,IF(Data!L644="",0,1),0))</f>
        <v/>
      </c>
      <c r="M654" s="16" t="str">
        <f>IF(Data!L644="","",IF(ISNUMBER(MATCH(Data!M644,Data_Val!$A$2:$A$3,0)),0,1))</f>
        <v/>
      </c>
      <c r="N654" s="43" t="str">
        <f ca="1">IF(Data!L644="","",IF(ISNUMBER(Data!N644),IF(AND(Data!N644&gt;(TODAY()-(Data_Val!$L$3*365.25)),Data!N644&lt;=(TODAY()-(Data_Val!$L$2*365.25))),0,1),1))</f>
        <v/>
      </c>
      <c r="O654" s="18" t="str">
        <f>IF(Data!$G644="","",IF(Data!$G644=Data_Val!$C$2,IF(Data!O644="",0,1),0))</f>
        <v/>
      </c>
      <c r="P654" s="18" t="str">
        <f>IF(Data!O644="","",IF(ISNUMBER(MATCH(Data!P644,Data_Val!$A$2:$A$3,0)),0,1))</f>
        <v/>
      </c>
      <c r="Q654" s="44" t="str">
        <f ca="1">IF(Data!O644="","",IF(ISNUMBER(Data!Q644),IF(AND(Data!Q644&gt;(TODAY()-(Data_Val!$L$3*365.25)),Data!Q644&lt;=(TODAY()-(Data_Val!$L$2*365.25))),0,1),1))</f>
        <v/>
      </c>
    </row>
    <row r="655" spans="1:17" ht="12" customHeight="1" x14ac:dyDescent="0.25">
      <c r="A655" s="36" t="str">
        <f>IF(Data!B645="","",IF(COUNTIFS(Data!A$1:'Data'!A645,Data!A645)&lt;=1,0,1))</f>
        <v/>
      </c>
      <c r="B655" s="36"/>
      <c r="C655" s="36" t="str">
        <f>IF(Data!C645="","",(IF(ISNUMBER(MATCH("*@*.?*",Data!C645,0)),0,1)+IF(COUNTIFS(Data!C$1:'Data'!C645,Data!C645)&gt;1,1,0)))</f>
        <v/>
      </c>
      <c r="D655" s="36" t="str">
        <f>IF(Data!B645="","",IF(ISNUMBER(Data!D645),IF(AND(Data!D645&gt;999999999,Data!D645&lt;=9999999999),IF(COUNTIFS(Data!D$1:'Data'!D645,Data!D645)&lt;=1,0,1),1),1))</f>
        <v/>
      </c>
      <c r="E655" s="36" t="str">
        <f>IF(Data!B645="","",IF(ISNUMBER(MATCH(Data!E645,Data_Val!$A$2:$A$3,0)),0,1))</f>
        <v/>
      </c>
      <c r="F655" s="36" t="str">
        <f ca="1">IF(Data!B645="","",IF(ISNUMBER(Data!F645),IF(AND(Data!F645&gt;(TODAY()-(Data_Val!$H$3*365.25)),Data!F645&lt;=(TODAY()-(Data_Val!$H$2*365.25))),0,1),1))</f>
        <v/>
      </c>
      <c r="G655" s="12" t="str">
        <f>IF(Data!B645="","",IF(AND(Data!G645="",Data!H645&lt;&gt;""),1,IF(ISNUMBER(MATCH(Data!G645,Data_Val!$C$2:$C$5,0)),0,1)))</f>
        <v/>
      </c>
      <c r="H655" s="12" t="str">
        <f>IF(Data!B645="","",IF(AND(Data!G645&lt;&gt;"",Data!H645=""),1,IF(Data!G645="",1,IF(ISNUMBER(MATCH(Data!H645,Data_Val!$D$2:$D$35,0)),0,1))))</f>
        <v/>
      </c>
      <c r="I655" s="38" t="str">
        <f>IF(Data!G645="","",IF(Data!G645=Data_Val!$C$2,IF(Data!I645="",0,1),0))</f>
        <v/>
      </c>
      <c r="J655" s="38" t="str">
        <f>IF(Data!I645="","",IF(ISNUMBER(MATCH(Data!J645,Data_Val!$A$2:$A$3,0)),0,1))</f>
        <v/>
      </c>
      <c r="K655" s="38" t="str">
        <f ca="1">IF(Data!I645="","",IF(ISNUMBER(Data!K645),IF(AND(Data!K645&gt;(TODAY()-(Data_Val!$K$3*365.25)),Data!K645&lt;=(TODAY()-(Data_Val!$K$2*365.25))),0,1),1))</f>
        <v/>
      </c>
      <c r="L655" s="16" t="str">
        <f>IF(Data!G645="","",IF(Data!G645=Data_Val!$C$2,IF(Data!L645="",0,1),0))</f>
        <v/>
      </c>
      <c r="M655" s="16" t="str">
        <f>IF(Data!L645="","",IF(ISNUMBER(MATCH(Data!M645,Data_Val!$A$2:$A$3,0)),0,1))</f>
        <v/>
      </c>
      <c r="N655" s="43" t="str">
        <f ca="1">IF(Data!L645="","",IF(ISNUMBER(Data!N645),IF(AND(Data!N645&gt;(TODAY()-(Data_Val!$L$3*365.25)),Data!N645&lt;=(TODAY()-(Data_Val!$L$2*365.25))),0,1),1))</f>
        <v/>
      </c>
      <c r="O655" s="18" t="str">
        <f>IF(Data!$G645="","",IF(Data!$G645=Data_Val!$C$2,IF(Data!O645="",0,1),0))</f>
        <v/>
      </c>
      <c r="P655" s="18" t="str">
        <f>IF(Data!O645="","",IF(ISNUMBER(MATCH(Data!P645,Data_Val!$A$2:$A$3,0)),0,1))</f>
        <v/>
      </c>
      <c r="Q655" s="44" t="str">
        <f ca="1">IF(Data!O645="","",IF(ISNUMBER(Data!Q645),IF(AND(Data!Q645&gt;(TODAY()-(Data_Val!$L$3*365.25)),Data!Q645&lt;=(TODAY()-(Data_Val!$L$2*365.25))),0,1),1))</f>
        <v/>
      </c>
    </row>
    <row r="656" spans="1:17" ht="12" customHeight="1" x14ac:dyDescent="0.25">
      <c r="A656" s="36" t="str">
        <f>IF(Data!B646="","",IF(COUNTIFS(Data!A$1:'Data'!A646,Data!A646)&lt;=1,0,1))</f>
        <v/>
      </c>
      <c r="B656" s="36"/>
      <c r="C656" s="36" t="str">
        <f>IF(Data!C646="","",(IF(ISNUMBER(MATCH("*@*.?*",Data!C646,0)),0,1)+IF(COUNTIFS(Data!C$1:'Data'!C646,Data!C646)&gt;1,1,0)))</f>
        <v/>
      </c>
      <c r="D656" s="36" t="str">
        <f>IF(Data!B646="","",IF(ISNUMBER(Data!D646),IF(AND(Data!D646&gt;999999999,Data!D646&lt;=9999999999),IF(COUNTIFS(Data!D$1:'Data'!D646,Data!D646)&lt;=1,0,1),1),1))</f>
        <v/>
      </c>
      <c r="E656" s="36" t="str">
        <f>IF(Data!B646="","",IF(ISNUMBER(MATCH(Data!E646,Data_Val!$A$2:$A$3,0)),0,1))</f>
        <v/>
      </c>
      <c r="F656" s="36" t="str">
        <f ca="1">IF(Data!B646="","",IF(ISNUMBER(Data!F646),IF(AND(Data!F646&gt;(TODAY()-(Data_Val!$H$3*365.25)),Data!F646&lt;=(TODAY()-(Data_Val!$H$2*365.25))),0,1),1))</f>
        <v/>
      </c>
      <c r="G656" s="12" t="str">
        <f>IF(Data!B646="","",IF(AND(Data!G646="",Data!H646&lt;&gt;""),1,IF(ISNUMBER(MATCH(Data!G646,Data_Val!$C$2:$C$5,0)),0,1)))</f>
        <v/>
      </c>
      <c r="H656" s="12" t="str">
        <f>IF(Data!B646="","",IF(AND(Data!G646&lt;&gt;"",Data!H646=""),1,IF(Data!G646="",1,IF(ISNUMBER(MATCH(Data!H646,Data_Val!$D$2:$D$35,0)),0,1))))</f>
        <v/>
      </c>
      <c r="I656" s="38" t="str">
        <f>IF(Data!G646="","",IF(Data!G646=Data_Val!$C$2,IF(Data!I646="",0,1),0))</f>
        <v/>
      </c>
      <c r="J656" s="38" t="str">
        <f>IF(Data!I646="","",IF(ISNUMBER(MATCH(Data!J646,Data_Val!$A$2:$A$3,0)),0,1))</f>
        <v/>
      </c>
      <c r="K656" s="38" t="str">
        <f ca="1">IF(Data!I646="","",IF(ISNUMBER(Data!K646),IF(AND(Data!K646&gt;(TODAY()-(Data_Val!$K$3*365.25)),Data!K646&lt;=(TODAY()-(Data_Val!$K$2*365.25))),0,1),1))</f>
        <v/>
      </c>
      <c r="L656" s="16" t="str">
        <f>IF(Data!G646="","",IF(Data!G646=Data_Val!$C$2,IF(Data!L646="",0,1),0))</f>
        <v/>
      </c>
      <c r="M656" s="16" t="str">
        <f>IF(Data!L646="","",IF(ISNUMBER(MATCH(Data!M646,Data_Val!$A$2:$A$3,0)),0,1))</f>
        <v/>
      </c>
      <c r="N656" s="43" t="str">
        <f ca="1">IF(Data!L646="","",IF(ISNUMBER(Data!N646),IF(AND(Data!N646&gt;(TODAY()-(Data_Val!$L$3*365.25)),Data!N646&lt;=(TODAY()-(Data_Val!$L$2*365.25))),0,1),1))</f>
        <v/>
      </c>
      <c r="O656" s="18" t="str">
        <f>IF(Data!$G646="","",IF(Data!$G646=Data_Val!$C$2,IF(Data!O646="",0,1),0))</f>
        <v/>
      </c>
      <c r="P656" s="18" t="str">
        <f>IF(Data!O646="","",IF(ISNUMBER(MATCH(Data!P646,Data_Val!$A$2:$A$3,0)),0,1))</f>
        <v/>
      </c>
      <c r="Q656" s="44" t="str">
        <f ca="1">IF(Data!O646="","",IF(ISNUMBER(Data!Q646),IF(AND(Data!Q646&gt;(TODAY()-(Data_Val!$L$3*365.25)),Data!Q646&lt;=(TODAY()-(Data_Val!$L$2*365.25))),0,1),1))</f>
        <v/>
      </c>
    </row>
    <row r="657" spans="1:17" ht="12" customHeight="1" x14ac:dyDescent="0.25">
      <c r="A657" s="36" t="str">
        <f>IF(Data!B647="","",IF(COUNTIFS(Data!A$1:'Data'!A647,Data!A647)&lt;=1,0,1))</f>
        <v/>
      </c>
      <c r="B657" s="36"/>
      <c r="C657" s="36" t="str">
        <f>IF(Data!C647="","",(IF(ISNUMBER(MATCH("*@*.?*",Data!C647,0)),0,1)+IF(COUNTIFS(Data!C$1:'Data'!C647,Data!C647)&gt;1,1,0)))</f>
        <v/>
      </c>
      <c r="D657" s="36" t="str">
        <f>IF(Data!B647="","",IF(ISNUMBER(Data!D647),IF(AND(Data!D647&gt;999999999,Data!D647&lt;=9999999999),IF(COUNTIFS(Data!D$1:'Data'!D647,Data!D647)&lt;=1,0,1),1),1))</f>
        <v/>
      </c>
      <c r="E657" s="36" t="str">
        <f>IF(Data!B647="","",IF(ISNUMBER(MATCH(Data!E647,Data_Val!$A$2:$A$3,0)),0,1))</f>
        <v/>
      </c>
      <c r="F657" s="36" t="str">
        <f ca="1">IF(Data!B647="","",IF(ISNUMBER(Data!F647),IF(AND(Data!F647&gt;(TODAY()-(Data_Val!$H$3*365.25)),Data!F647&lt;=(TODAY()-(Data_Val!$H$2*365.25))),0,1),1))</f>
        <v/>
      </c>
      <c r="G657" s="12" t="str">
        <f>IF(Data!B647="","",IF(AND(Data!G647="",Data!H647&lt;&gt;""),1,IF(ISNUMBER(MATCH(Data!G647,Data_Val!$C$2:$C$5,0)),0,1)))</f>
        <v/>
      </c>
      <c r="H657" s="12" t="str">
        <f>IF(Data!B647="","",IF(AND(Data!G647&lt;&gt;"",Data!H647=""),1,IF(Data!G647="",1,IF(ISNUMBER(MATCH(Data!H647,Data_Val!$D$2:$D$35,0)),0,1))))</f>
        <v/>
      </c>
      <c r="I657" s="38" t="str">
        <f>IF(Data!G647="","",IF(Data!G647=Data_Val!$C$2,IF(Data!I647="",0,1),0))</f>
        <v/>
      </c>
      <c r="J657" s="38" t="str">
        <f>IF(Data!I647="","",IF(ISNUMBER(MATCH(Data!J647,Data_Val!$A$2:$A$3,0)),0,1))</f>
        <v/>
      </c>
      <c r="K657" s="38" t="str">
        <f ca="1">IF(Data!I647="","",IF(ISNUMBER(Data!K647),IF(AND(Data!K647&gt;(TODAY()-(Data_Val!$K$3*365.25)),Data!K647&lt;=(TODAY()-(Data_Val!$K$2*365.25))),0,1),1))</f>
        <v/>
      </c>
      <c r="L657" s="16" t="str">
        <f>IF(Data!G647="","",IF(Data!G647=Data_Val!$C$2,IF(Data!L647="",0,1),0))</f>
        <v/>
      </c>
      <c r="M657" s="16" t="str">
        <f>IF(Data!L647="","",IF(ISNUMBER(MATCH(Data!M647,Data_Val!$A$2:$A$3,0)),0,1))</f>
        <v/>
      </c>
      <c r="N657" s="43" t="str">
        <f ca="1">IF(Data!L647="","",IF(ISNUMBER(Data!N647),IF(AND(Data!N647&gt;(TODAY()-(Data_Val!$L$3*365.25)),Data!N647&lt;=(TODAY()-(Data_Val!$L$2*365.25))),0,1),1))</f>
        <v/>
      </c>
      <c r="O657" s="18" t="str">
        <f>IF(Data!$G647="","",IF(Data!$G647=Data_Val!$C$2,IF(Data!O647="",0,1),0))</f>
        <v/>
      </c>
      <c r="P657" s="18" t="str">
        <f>IF(Data!O647="","",IF(ISNUMBER(MATCH(Data!P647,Data_Val!$A$2:$A$3,0)),0,1))</f>
        <v/>
      </c>
      <c r="Q657" s="44" t="str">
        <f ca="1">IF(Data!O647="","",IF(ISNUMBER(Data!Q647),IF(AND(Data!Q647&gt;(TODAY()-(Data_Val!$L$3*365.25)),Data!Q647&lt;=(TODAY()-(Data_Val!$L$2*365.25))),0,1),1))</f>
        <v/>
      </c>
    </row>
    <row r="658" spans="1:17" ht="12" customHeight="1" x14ac:dyDescent="0.25">
      <c r="A658" s="36" t="str">
        <f>IF(Data!B648="","",IF(COUNTIFS(Data!A$1:'Data'!A648,Data!A648)&lt;=1,0,1))</f>
        <v/>
      </c>
      <c r="B658" s="36"/>
      <c r="C658" s="36" t="str">
        <f>IF(Data!C648="","",(IF(ISNUMBER(MATCH("*@*.?*",Data!C648,0)),0,1)+IF(COUNTIFS(Data!C$1:'Data'!C648,Data!C648)&gt;1,1,0)))</f>
        <v/>
      </c>
      <c r="D658" s="36" t="str">
        <f>IF(Data!B648="","",IF(ISNUMBER(Data!D648),IF(AND(Data!D648&gt;999999999,Data!D648&lt;=9999999999),IF(COUNTIFS(Data!D$1:'Data'!D648,Data!D648)&lt;=1,0,1),1),1))</f>
        <v/>
      </c>
      <c r="E658" s="36" t="str">
        <f>IF(Data!B648="","",IF(ISNUMBER(MATCH(Data!E648,Data_Val!$A$2:$A$3,0)),0,1))</f>
        <v/>
      </c>
      <c r="F658" s="36" t="str">
        <f ca="1">IF(Data!B648="","",IF(ISNUMBER(Data!F648),IF(AND(Data!F648&gt;(TODAY()-(Data_Val!$H$3*365.25)),Data!F648&lt;=(TODAY()-(Data_Val!$H$2*365.25))),0,1),1))</f>
        <v/>
      </c>
      <c r="G658" s="12" t="str">
        <f>IF(Data!B648="","",IF(AND(Data!G648="",Data!H648&lt;&gt;""),1,IF(ISNUMBER(MATCH(Data!G648,Data_Val!$C$2:$C$5,0)),0,1)))</f>
        <v/>
      </c>
      <c r="H658" s="12" t="str">
        <f>IF(Data!B648="","",IF(AND(Data!G648&lt;&gt;"",Data!H648=""),1,IF(Data!G648="",1,IF(ISNUMBER(MATCH(Data!H648,Data_Val!$D$2:$D$35,0)),0,1))))</f>
        <v/>
      </c>
      <c r="I658" s="38" t="str">
        <f>IF(Data!G648="","",IF(Data!G648=Data_Val!$C$2,IF(Data!I648="",0,1),0))</f>
        <v/>
      </c>
      <c r="J658" s="38" t="str">
        <f>IF(Data!I648="","",IF(ISNUMBER(MATCH(Data!J648,Data_Val!$A$2:$A$3,0)),0,1))</f>
        <v/>
      </c>
      <c r="K658" s="38" t="str">
        <f ca="1">IF(Data!I648="","",IF(ISNUMBER(Data!K648),IF(AND(Data!K648&gt;(TODAY()-(Data_Val!$K$3*365.25)),Data!K648&lt;=(TODAY()-(Data_Val!$K$2*365.25))),0,1),1))</f>
        <v/>
      </c>
      <c r="L658" s="16" t="str">
        <f>IF(Data!G648="","",IF(Data!G648=Data_Val!$C$2,IF(Data!L648="",0,1),0))</f>
        <v/>
      </c>
      <c r="M658" s="16" t="str">
        <f>IF(Data!L648="","",IF(ISNUMBER(MATCH(Data!M648,Data_Val!$A$2:$A$3,0)),0,1))</f>
        <v/>
      </c>
      <c r="N658" s="43" t="str">
        <f ca="1">IF(Data!L648="","",IF(ISNUMBER(Data!N648),IF(AND(Data!N648&gt;(TODAY()-(Data_Val!$L$3*365.25)),Data!N648&lt;=(TODAY()-(Data_Val!$L$2*365.25))),0,1),1))</f>
        <v/>
      </c>
      <c r="O658" s="18" t="str">
        <f>IF(Data!$G648="","",IF(Data!$G648=Data_Val!$C$2,IF(Data!O648="",0,1),0))</f>
        <v/>
      </c>
      <c r="P658" s="18" t="str">
        <f>IF(Data!O648="","",IF(ISNUMBER(MATCH(Data!P648,Data_Val!$A$2:$A$3,0)),0,1))</f>
        <v/>
      </c>
      <c r="Q658" s="44" t="str">
        <f ca="1">IF(Data!O648="","",IF(ISNUMBER(Data!Q648),IF(AND(Data!Q648&gt;(TODAY()-(Data_Val!$L$3*365.25)),Data!Q648&lt;=(TODAY()-(Data_Val!$L$2*365.25))),0,1),1))</f>
        <v/>
      </c>
    </row>
    <row r="659" spans="1:17" ht="12" customHeight="1" x14ac:dyDescent="0.25">
      <c r="A659" s="36" t="str">
        <f>IF(Data!B649="","",IF(COUNTIFS(Data!A$1:'Data'!A649,Data!A649)&lt;=1,0,1))</f>
        <v/>
      </c>
      <c r="B659" s="36"/>
      <c r="C659" s="36" t="str">
        <f>IF(Data!C649="","",(IF(ISNUMBER(MATCH("*@*.?*",Data!C649,0)),0,1)+IF(COUNTIFS(Data!C$1:'Data'!C649,Data!C649)&gt;1,1,0)))</f>
        <v/>
      </c>
      <c r="D659" s="36" t="str">
        <f>IF(Data!B649="","",IF(ISNUMBER(Data!D649),IF(AND(Data!D649&gt;999999999,Data!D649&lt;=9999999999),IF(COUNTIFS(Data!D$1:'Data'!D649,Data!D649)&lt;=1,0,1),1),1))</f>
        <v/>
      </c>
      <c r="E659" s="36" t="str">
        <f>IF(Data!B649="","",IF(ISNUMBER(MATCH(Data!E649,Data_Val!$A$2:$A$3,0)),0,1))</f>
        <v/>
      </c>
      <c r="F659" s="36" t="str">
        <f ca="1">IF(Data!B649="","",IF(ISNUMBER(Data!F649),IF(AND(Data!F649&gt;(TODAY()-(Data_Val!$H$3*365.25)),Data!F649&lt;=(TODAY()-(Data_Val!$H$2*365.25))),0,1),1))</f>
        <v/>
      </c>
      <c r="G659" s="12" t="str">
        <f>IF(Data!B649="","",IF(AND(Data!G649="",Data!H649&lt;&gt;""),1,IF(ISNUMBER(MATCH(Data!G649,Data_Val!$C$2:$C$5,0)),0,1)))</f>
        <v/>
      </c>
      <c r="H659" s="12" t="str">
        <f>IF(Data!B649="","",IF(AND(Data!G649&lt;&gt;"",Data!H649=""),1,IF(Data!G649="",1,IF(ISNUMBER(MATCH(Data!H649,Data_Val!$D$2:$D$35,0)),0,1))))</f>
        <v/>
      </c>
      <c r="I659" s="38" t="str">
        <f>IF(Data!G649="","",IF(Data!G649=Data_Val!$C$2,IF(Data!I649="",0,1),0))</f>
        <v/>
      </c>
      <c r="J659" s="38" t="str">
        <f>IF(Data!I649="","",IF(ISNUMBER(MATCH(Data!J649,Data_Val!$A$2:$A$3,0)),0,1))</f>
        <v/>
      </c>
      <c r="K659" s="38" t="str">
        <f ca="1">IF(Data!I649="","",IF(ISNUMBER(Data!K649),IF(AND(Data!K649&gt;(TODAY()-(Data_Val!$K$3*365.25)),Data!K649&lt;=(TODAY()-(Data_Val!$K$2*365.25))),0,1),1))</f>
        <v/>
      </c>
      <c r="L659" s="16" t="str">
        <f>IF(Data!G649="","",IF(Data!G649=Data_Val!$C$2,IF(Data!L649="",0,1),0))</f>
        <v/>
      </c>
      <c r="M659" s="16" t="str">
        <f>IF(Data!L649="","",IF(ISNUMBER(MATCH(Data!M649,Data_Val!$A$2:$A$3,0)),0,1))</f>
        <v/>
      </c>
      <c r="N659" s="43" t="str">
        <f ca="1">IF(Data!L649="","",IF(ISNUMBER(Data!N649),IF(AND(Data!N649&gt;(TODAY()-(Data_Val!$L$3*365.25)),Data!N649&lt;=(TODAY()-(Data_Val!$L$2*365.25))),0,1),1))</f>
        <v/>
      </c>
      <c r="O659" s="18" t="str">
        <f>IF(Data!$G649="","",IF(Data!$G649=Data_Val!$C$2,IF(Data!O649="",0,1),0))</f>
        <v/>
      </c>
      <c r="P659" s="18" t="str">
        <f>IF(Data!O649="","",IF(ISNUMBER(MATCH(Data!P649,Data_Val!$A$2:$A$3,0)),0,1))</f>
        <v/>
      </c>
      <c r="Q659" s="44" t="str">
        <f ca="1">IF(Data!O649="","",IF(ISNUMBER(Data!Q649),IF(AND(Data!Q649&gt;(TODAY()-(Data_Val!$L$3*365.25)),Data!Q649&lt;=(TODAY()-(Data_Val!$L$2*365.25))),0,1),1))</f>
        <v/>
      </c>
    </row>
    <row r="660" spans="1:17" ht="12" customHeight="1" x14ac:dyDescent="0.25">
      <c r="A660" s="36" t="str">
        <f>IF(Data!B650="","",IF(COUNTIFS(Data!A$1:'Data'!A650,Data!A650)&lt;=1,0,1))</f>
        <v/>
      </c>
      <c r="B660" s="36"/>
      <c r="C660" s="36" t="str">
        <f>IF(Data!C650="","",(IF(ISNUMBER(MATCH("*@*.?*",Data!C650,0)),0,1)+IF(COUNTIFS(Data!C$1:'Data'!C650,Data!C650)&gt;1,1,0)))</f>
        <v/>
      </c>
      <c r="D660" s="36" t="str">
        <f>IF(Data!B650="","",IF(ISNUMBER(Data!D650),IF(AND(Data!D650&gt;999999999,Data!D650&lt;=9999999999),IF(COUNTIFS(Data!D$1:'Data'!D650,Data!D650)&lt;=1,0,1),1),1))</f>
        <v/>
      </c>
      <c r="E660" s="36" t="str">
        <f>IF(Data!B650="","",IF(ISNUMBER(MATCH(Data!E650,Data_Val!$A$2:$A$3,0)),0,1))</f>
        <v/>
      </c>
      <c r="F660" s="36" t="str">
        <f ca="1">IF(Data!B650="","",IF(ISNUMBER(Data!F650),IF(AND(Data!F650&gt;(TODAY()-(Data_Val!$H$3*365.25)),Data!F650&lt;=(TODAY()-(Data_Val!$H$2*365.25))),0,1),1))</f>
        <v/>
      </c>
      <c r="G660" s="12" t="str">
        <f>IF(Data!B650="","",IF(AND(Data!G650="",Data!H650&lt;&gt;""),1,IF(ISNUMBER(MATCH(Data!G650,Data_Val!$C$2:$C$5,0)),0,1)))</f>
        <v/>
      </c>
      <c r="H660" s="12" t="str">
        <f>IF(Data!B650="","",IF(AND(Data!G650&lt;&gt;"",Data!H650=""),1,IF(Data!G650="",1,IF(ISNUMBER(MATCH(Data!H650,Data_Val!$D$2:$D$35,0)),0,1))))</f>
        <v/>
      </c>
      <c r="I660" s="38" t="str">
        <f>IF(Data!G650="","",IF(Data!G650=Data_Val!$C$2,IF(Data!I650="",0,1),0))</f>
        <v/>
      </c>
      <c r="J660" s="38" t="str">
        <f>IF(Data!I650="","",IF(ISNUMBER(MATCH(Data!J650,Data_Val!$A$2:$A$3,0)),0,1))</f>
        <v/>
      </c>
      <c r="K660" s="38" t="str">
        <f ca="1">IF(Data!I650="","",IF(ISNUMBER(Data!K650),IF(AND(Data!K650&gt;(TODAY()-(Data_Val!$K$3*365.25)),Data!K650&lt;=(TODAY()-(Data_Val!$K$2*365.25))),0,1),1))</f>
        <v/>
      </c>
      <c r="L660" s="16" t="str">
        <f>IF(Data!G650="","",IF(Data!G650=Data_Val!$C$2,IF(Data!L650="",0,1),0))</f>
        <v/>
      </c>
      <c r="M660" s="16" t="str">
        <f>IF(Data!L650="","",IF(ISNUMBER(MATCH(Data!M650,Data_Val!$A$2:$A$3,0)),0,1))</f>
        <v/>
      </c>
      <c r="N660" s="43" t="str">
        <f ca="1">IF(Data!L650="","",IF(ISNUMBER(Data!N650),IF(AND(Data!N650&gt;(TODAY()-(Data_Val!$L$3*365.25)),Data!N650&lt;=(TODAY()-(Data_Val!$L$2*365.25))),0,1),1))</f>
        <v/>
      </c>
      <c r="O660" s="18" t="str">
        <f>IF(Data!$G650="","",IF(Data!$G650=Data_Val!$C$2,IF(Data!O650="",0,1),0))</f>
        <v/>
      </c>
      <c r="P660" s="18" t="str">
        <f>IF(Data!O650="","",IF(ISNUMBER(MATCH(Data!P650,Data_Val!$A$2:$A$3,0)),0,1))</f>
        <v/>
      </c>
      <c r="Q660" s="44" t="str">
        <f ca="1">IF(Data!O650="","",IF(ISNUMBER(Data!Q650),IF(AND(Data!Q650&gt;(TODAY()-(Data_Val!$L$3*365.25)),Data!Q650&lt;=(TODAY()-(Data_Val!$L$2*365.25))),0,1),1))</f>
        <v/>
      </c>
    </row>
    <row r="661" spans="1:17" ht="12" customHeight="1" x14ac:dyDescent="0.25">
      <c r="A661" s="36" t="str">
        <f>IF(Data!B651="","",IF(COUNTIFS(Data!A$1:'Data'!A651,Data!A651)&lt;=1,0,1))</f>
        <v/>
      </c>
      <c r="B661" s="36"/>
      <c r="C661" s="36" t="str">
        <f>IF(Data!C651="","",(IF(ISNUMBER(MATCH("*@*.?*",Data!C651,0)),0,1)+IF(COUNTIFS(Data!C$1:'Data'!C651,Data!C651)&gt;1,1,0)))</f>
        <v/>
      </c>
      <c r="D661" s="36" t="str">
        <f>IF(Data!B651="","",IF(ISNUMBER(Data!D651),IF(AND(Data!D651&gt;999999999,Data!D651&lt;=9999999999),IF(COUNTIFS(Data!D$1:'Data'!D651,Data!D651)&lt;=1,0,1),1),1))</f>
        <v/>
      </c>
      <c r="E661" s="36" t="str">
        <f>IF(Data!B651="","",IF(ISNUMBER(MATCH(Data!E651,Data_Val!$A$2:$A$3,0)),0,1))</f>
        <v/>
      </c>
      <c r="F661" s="36" t="str">
        <f ca="1">IF(Data!B651="","",IF(ISNUMBER(Data!F651),IF(AND(Data!F651&gt;(TODAY()-(Data_Val!$H$3*365.25)),Data!F651&lt;=(TODAY()-(Data_Val!$H$2*365.25))),0,1),1))</f>
        <v/>
      </c>
      <c r="G661" s="12" t="str">
        <f>IF(Data!B651="","",IF(AND(Data!G651="",Data!H651&lt;&gt;""),1,IF(ISNUMBER(MATCH(Data!G651,Data_Val!$C$2:$C$5,0)),0,1)))</f>
        <v/>
      </c>
      <c r="H661" s="12" t="str">
        <f>IF(Data!B651="","",IF(AND(Data!G651&lt;&gt;"",Data!H651=""),1,IF(Data!G651="",1,IF(ISNUMBER(MATCH(Data!H651,Data_Val!$D$2:$D$35,0)),0,1))))</f>
        <v/>
      </c>
      <c r="I661" s="38" t="str">
        <f>IF(Data!G651="","",IF(Data!G651=Data_Val!$C$2,IF(Data!I651="",0,1),0))</f>
        <v/>
      </c>
      <c r="J661" s="38" t="str">
        <f>IF(Data!I651="","",IF(ISNUMBER(MATCH(Data!J651,Data_Val!$A$2:$A$3,0)),0,1))</f>
        <v/>
      </c>
      <c r="K661" s="38" t="str">
        <f ca="1">IF(Data!I651="","",IF(ISNUMBER(Data!K651),IF(AND(Data!K651&gt;(TODAY()-(Data_Val!$K$3*365.25)),Data!K651&lt;=(TODAY()-(Data_Val!$K$2*365.25))),0,1),1))</f>
        <v/>
      </c>
      <c r="L661" s="16" t="str">
        <f>IF(Data!G651="","",IF(Data!G651=Data_Val!$C$2,IF(Data!L651="",0,1),0))</f>
        <v/>
      </c>
      <c r="M661" s="16" t="str">
        <f>IF(Data!L651="","",IF(ISNUMBER(MATCH(Data!M651,Data_Val!$A$2:$A$3,0)),0,1))</f>
        <v/>
      </c>
      <c r="N661" s="43" t="str">
        <f ca="1">IF(Data!L651="","",IF(ISNUMBER(Data!N651),IF(AND(Data!N651&gt;(TODAY()-(Data_Val!$L$3*365.25)),Data!N651&lt;=(TODAY()-(Data_Val!$L$2*365.25))),0,1),1))</f>
        <v/>
      </c>
      <c r="O661" s="18" t="str">
        <f>IF(Data!$G651="","",IF(Data!$G651=Data_Val!$C$2,IF(Data!O651="",0,1),0))</f>
        <v/>
      </c>
      <c r="P661" s="18" t="str">
        <f>IF(Data!O651="","",IF(ISNUMBER(MATCH(Data!P651,Data_Val!$A$2:$A$3,0)),0,1))</f>
        <v/>
      </c>
      <c r="Q661" s="44" t="str">
        <f ca="1">IF(Data!O651="","",IF(ISNUMBER(Data!Q651),IF(AND(Data!Q651&gt;(TODAY()-(Data_Val!$L$3*365.25)),Data!Q651&lt;=(TODAY()-(Data_Val!$L$2*365.25))),0,1),1))</f>
        <v/>
      </c>
    </row>
    <row r="662" spans="1:17" ht="12" customHeight="1" x14ac:dyDescent="0.25">
      <c r="A662" s="36" t="str">
        <f>IF(Data!B652="","",IF(COUNTIFS(Data!A$1:'Data'!A652,Data!A652)&lt;=1,0,1))</f>
        <v/>
      </c>
      <c r="B662" s="36"/>
      <c r="C662" s="36" t="str">
        <f>IF(Data!C652="","",(IF(ISNUMBER(MATCH("*@*.?*",Data!C652,0)),0,1)+IF(COUNTIFS(Data!C$1:'Data'!C652,Data!C652)&gt;1,1,0)))</f>
        <v/>
      </c>
      <c r="D662" s="36" t="str">
        <f>IF(Data!B652="","",IF(ISNUMBER(Data!D652),IF(AND(Data!D652&gt;999999999,Data!D652&lt;=9999999999),IF(COUNTIFS(Data!D$1:'Data'!D652,Data!D652)&lt;=1,0,1),1),1))</f>
        <v/>
      </c>
      <c r="E662" s="36" t="str">
        <f>IF(Data!B652="","",IF(ISNUMBER(MATCH(Data!E652,Data_Val!$A$2:$A$3,0)),0,1))</f>
        <v/>
      </c>
      <c r="F662" s="36" t="str">
        <f ca="1">IF(Data!B652="","",IF(ISNUMBER(Data!F652),IF(AND(Data!F652&gt;(TODAY()-(Data_Val!$H$3*365.25)),Data!F652&lt;=(TODAY()-(Data_Val!$H$2*365.25))),0,1),1))</f>
        <v/>
      </c>
      <c r="G662" s="12" t="str">
        <f>IF(Data!B652="","",IF(AND(Data!G652="",Data!H652&lt;&gt;""),1,IF(ISNUMBER(MATCH(Data!G652,Data_Val!$C$2:$C$5,0)),0,1)))</f>
        <v/>
      </c>
      <c r="H662" s="12" t="str">
        <f>IF(Data!B652="","",IF(AND(Data!G652&lt;&gt;"",Data!H652=""),1,IF(Data!G652="",1,IF(ISNUMBER(MATCH(Data!H652,Data_Val!$D$2:$D$35,0)),0,1))))</f>
        <v/>
      </c>
      <c r="I662" s="38" t="str">
        <f>IF(Data!G652="","",IF(Data!G652=Data_Val!$C$2,IF(Data!I652="",0,1),0))</f>
        <v/>
      </c>
      <c r="J662" s="38" t="str">
        <f>IF(Data!I652="","",IF(ISNUMBER(MATCH(Data!J652,Data_Val!$A$2:$A$3,0)),0,1))</f>
        <v/>
      </c>
      <c r="K662" s="38" t="str">
        <f ca="1">IF(Data!I652="","",IF(ISNUMBER(Data!K652),IF(AND(Data!K652&gt;(TODAY()-(Data_Val!$K$3*365.25)),Data!K652&lt;=(TODAY()-(Data_Val!$K$2*365.25))),0,1),1))</f>
        <v/>
      </c>
      <c r="L662" s="16" t="str">
        <f>IF(Data!G652="","",IF(Data!G652=Data_Val!$C$2,IF(Data!L652="",0,1),0))</f>
        <v/>
      </c>
      <c r="M662" s="16" t="str">
        <f>IF(Data!L652="","",IF(ISNUMBER(MATCH(Data!M652,Data_Val!$A$2:$A$3,0)),0,1))</f>
        <v/>
      </c>
      <c r="N662" s="43" t="str">
        <f ca="1">IF(Data!L652="","",IF(ISNUMBER(Data!N652),IF(AND(Data!N652&gt;(TODAY()-(Data_Val!$L$3*365.25)),Data!N652&lt;=(TODAY()-(Data_Val!$L$2*365.25))),0,1),1))</f>
        <v/>
      </c>
      <c r="O662" s="18" t="str">
        <f>IF(Data!$G652="","",IF(Data!$G652=Data_Val!$C$2,IF(Data!O652="",0,1),0))</f>
        <v/>
      </c>
      <c r="P662" s="18" t="str">
        <f>IF(Data!O652="","",IF(ISNUMBER(MATCH(Data!P652,Data_Val!$A$2:$A$3,0)),0,1))</f>
        <v/>
      </c>
      <c r="Q662" s="44" t="str">
        <f ca="1">IF(Data!O652="","",IF(ISNUMBER(Data!Q652),IF(AND(Data!Q652&gt;(TODAY()-(Data_Val!$L$3*365.25)),Data!Q652&lt;=(TODAY()-(Data_Val!$L$2*365.25))),0,1),1))</f>
        <v/>
      </c>
    </row>
    <row r="663" spans="1:17" ht="12" customHeight="1" x14ac:dyDescent="0.25">
      <c r="A663" s="36" t="str">
        <f>IF(Data!B653="","",IF(COUNTIFS(Data!A$1:'Data'!A653,Data!A653)&lt;=1,0,1))</f>
        <v/>
      </c>
      <c r="B663" s="36"/>
      <c r="C663" s="36" t="str">
        <f>IF(Data!C653="","",(IF(ISNUMBER(MATCH("*@*.?*",Data!C653,0)),0,1)+IF(COUNTIFS(Data!C$1:'Data'!C653,Data!C653)&gt;1,1,0)))</f>
        <v/>
      </c>
      <c r="D663" s="36" t="str">
        <f>IF(Data!B653="","",IF(ISNUMBER(Data!D653),IF(AND(Data!D653&gt;999999999,Data!D653&lt;=9999999999),IF(COUNTIFS(Data!D$1:'Data'!D653,Data!D653)&lt;=1,0,1),1),1))</f>
        <v/>
      </c>
      <c r="E663" s="36" t="str">
        <f>IF(Data!B653="","",IF(ISNUMBER(MATCH(Data!E653,Data_Val!$A$2:$A$3,0)),0,1))</f>
        <v/>
      </c>
      <c r="F663" s="36" t="str">
        <f ca="1">IF(Data!B653="","",IF(ISNUMBER(Data!F653),IF(AND(Data!F653&gt;(TODAY()-(Data_Val!$H$3*365.25)),Data!F653&lt;=(TODAY()-(Data_Val!$H$2*365.25))),0,1),1))</f>
        <v/>
      </c>
      <c r="G663" s="12" t="str">
        <f>IF(Data!B653="","",IF(AND(Data!G653="",Data!H653&lt;&gt;""),1,IF(ISNUMBER(MATCH(Data!G653,Data_Val!$C$2:$C$5,0)),0,1)))</f>
        <v/>
      </c>
      <c r="H663" s="12" t="str">
        <f>IF(Data!B653="","",IF(AND(Data!G653&lt;&gt;"",Data!H653=""),1,IF(Data!G653="",1,IF(ISNUMBER(MATCH(Data!H653,Data_Val!$D$2:$D$35,0)),0,1))))</f>
        <v/>
      </c>
      <c r="I663" s="38" t="str">
        <f>IF(Data!G653="","",IF(Data!G653=Data_Val!$C$2,IF(Data!I653="",0,1),0))</f>
        <v/>
      </c>
      <c r="J663" s="38" t="str">
        <f>IF(Data!I653="","",IF(ISNUMBER(MATCH(Data!J653,Data_Val!$A$2:$A$3,0)),0,1))</f>
        <v/>
      </c>
      <c r="K663" s="38" t="str">
        <f ca="1">IF(Data!I653="","",IF(ISNUMBER(Data!K653),IF(AND(Data!K653&gt;(TODAY()-(Data_Val!$K$3*365.25)),Data!K653&lt;=(TODAY()-(Data_Val!$K$2*365.25))),0,1),1))</f>
        <v/>
      </c>
      <c r="L663" s="16" t="str">
        <f>IF(Data!G653="","",IF(Data!G653=Data_Val!$C$2,IF(Data!L653="",0,1),0))</f>
        <v/>
      </c>
      <c r="M663" s="16" t="str">
        <f>IF(Data!L653="","",IF(ISNUMBER(MATCH(Data!M653,Data_Val!$A$2:$A$3,0)),0,1))</f>
        <v/>
      </c>
      <c r="N663" s="43" t="str">
        <f ca="1">IF(Data!L653="","",IF(ISNUMBER(Data!N653),IF(AND(Data!N653&gt;(TODAY()-(Data_Val!$L$3*365.25)),Data!N653&lt;=(TODAY()-(Data_Val!$L$2*365.25))),0,1),1))</f>
        <v/>
      </c>
      <c r="O663" s="18" t="str">
        <f>IF(Data!$G653="","",IF(Data!$G653=Data_Val!$C$2,IF(Data!O653="",0,1),0))</f>
        <v/>
      </c>
      <c r="P663" s="18" t="str">
        <f>IF(Data!O653="","",IF(ISNUMBER(MATCH(Data!P653,Data_Val!$A$2:$A$3,0)),0,1))</f>
        <v/>
      </c>
      <c r="Q663" s="44" t="str">
        <f ca="1">IF(Data!O653="","",IF(ISNUMBER(Data!Q653),IF(AND(Data!Q653&gt;(TODAY()-(Data_Val!$L$3*365.25)),Data!Q653&lt;=(TODAY()-(Data_Val!$L$2*365.25))),0,1),1))</f>
        <v/>
      </c>
    </row>
    <row r="664" spans="1:17" ht="12" customHeight="1" x14ac:dyDescent="0.25">
      <c r="A664" s="36" t="str">
        <f>IF(Data!B654="","",IF(COUNTIFS(Data!A$1:'Data'!A654,Data!A654)&lt;=1,0,1))</f>
        <v/>
      </c>
      <c r="B664" s="36"/>
      <c r="C664" s="36" t="str">
        <f>IF(Data!C654="","",(IF(ISNUMBER(MATCH("*@*.?*",Data!C654,0)),0,1)+IF(COUNTIFS(Data!C$1:'Data'!C654,Data!C654)&gt;1,1,0)))</f>
        <v/>
      </c>
      <c r="D664" s="36" t="str">
        <f>IF(Data!B654="","",IF(ISNUMBER(Data!D654),IF(AND(Data!D654&gt;999999999,Data!D654&lt;=9999999999),IF(COUNTIFS(Data!D$1:'Data'!D654,Data!D654)&lt;=1,0,1),1),1))</f>
        <v/>
      </c>
      <c r="E664" s="36" t="str">
        <f>IF(Data!B654="","",IF(ISNUMBER(MATCH(Data!E654,Data_Val!$A$2:$A$3,0)),0,1))</f>
        <v/>
      </c>
      <c r="F664" s="36" t="str">
        <f ca="1">IF(Data!B654="","",IF(ISNUMBER(Data!F654),IF(AND(Data!F654&gt;(TODAY()-(Data_Val!$H$3*365.25)),Data!F654&lt;=(TODAY()-(Data_Val!$H$2*365.25))),0,1),1))</f>
        <v/>
      </c>
      <c r="G664" s="12" t="str">
        <f>IF(Data!B654="","",IF(AND(Data!G654="",Data!H654&lt;&gt;""),1,IF(ISNUMBER(MATCH(Data!G654,Data_Val!$C$2:$C$5,0)),0,1)))</f>
        <v/>
      </c>
      <c r="H664" s="12" t="str">
        <f>IF(Data!B654="","",IF(AND(Data!G654&lt;&gt;"",Data!H654=""),1,IF(Data!G654="",1,IF(ISNUMBER(MATCH(Data!H654,Data_Val!$D$2:$D$35,0)),0,1))))</f>
        <v/>
      </c>
      <c r="I664" s="38" t="str">
        <f>IF(Data!G654="","",IF(Data!G654=Data_Val!$C$2,IF(Data!I654="",0,1),0))</f>
        <v/>
      </c>
      <c r="J664" s="38" t="str">
        <f>IF(Data!I654="","",IF(ISNUMBER(MATCH(Data!J654,Data_Val!$A$2:$A$3,0)),0,1))</f>
        <v/>
      </c>
      <c r="K664" s="38" t="str">
        <f ca="1">IF(Data!I654="","",IF(ISNUMBER(Data!K654),IF(AND(Data!K654&gt;(TODAY()-(Data_Val!$K$3*365.25)),Data!K654&lt;=(TODAY()-(Data_Val!$K$2*365.25))),0,1),1))</f>
        <v/>
      </c>
      <c r="L664" s="16" t="str">
        <f>IF(Data!G654="","",IF(Data!G654=Data_Val!$C$2,IF(Data!L654="",0,1),0))</f>
        <v/>
      </c>
      <c r="M664" s="16" t="str">
        <f>IF(Data!L654="","",IF(ISNUMBER(MATCH(Data!M654,Data_Val!$A$2:$A$3,0)),0,1))</f>
        <v/>
      </c>
      <c r="N664" s="43" t="str">
        <f ca="1">IF(Data!L654="","",IF(ISNUMBER(Data!N654),IF(AND(Data!N654&gt;(TODAY()-(Data_Val!$L$3*365.25)),Data!N654&lt;=(TODAY()-(Data_Val!$L$2*365.25))),0,1),1))</f>
        <v/>
      </c>
      <c r="O664" s="18" t="str">
        <f>IF(Data!$G654="","",IF(Data!$G654=Data_Val!$C$2,IF(Data!O654="",0,1),0))</f>
        <v/>
      </c>
      <c r="P664" s="18" t="str">
        <f>IF(Data!O654="","",IF(ISNUMBER(MATCH(Data!P654,Data_Val!$A$2:$A$3,0)),0,1))</f>
        <v/>
      </c>
      <c r="Q664" s="44" t="str">
        <f ca="1">IF(Data!O654="","",IF(ISNUMBER(Data!Q654),IF(AND(Data!Q654&gt;(TODAY()-(Data_Val!$L$3*365.25)),Data!Q654&lt;=(TODAY()-(Data_Val!$L$2*365.25))),0,1),1))</f>
        <v/>
      </c>
    </row>
    <row r="665" spans="1:17" ht="12" customHeight="1" x14ac:dyDescent="0.25">
      <c r="A665" s="36" t="str">
        <f>IF(Data!B655="","",IF(COUNTIFS(Data!A$1:'Data'!A655,Data!A655)&lt;=1,0,1))</f>
        <v/>
      </c>
      <c r="B665" s="36"/>
      <c r="C665" s="36" t="str">
        <f>IF(Data!C655="","",(IF(ISNUMBER(MATCH("*@*.?*",Data!C655,0)),0,1)+IF(COUNTIFS(Data!C$1:'Data'!C655,Data!C655)&gt;1,1,0)))</f>
        <v/>
      </c>
      <c r="D665" s="36" t="str">
        <f>IF(Data!B655="","",IF(ISNUMBER(Data!D655),IF(AND(Data!D655&gt;999999999,Data!D655&lt;=9999999999),IF(COUNTIFS(Data!D$1:'Data'!D655,Data!D655)&lt;=1,0,1),1),1))</f>
        <v/>
      </c>
      <c r="E665" s="36" t="str">
        <f>IF(Data!B655="","",IF(ISNUMBER(MATCH(Data!E655,Data_Val!$A$2:$A$3,0)),0,1))</f>
        <v/>
      </c>
      <c r="F665" s="36" t="str">
        <f ca="1">IF(Data!B655="","",IF(ISNUMBER(Data!F655),IF(AND(Data!F655&gt;(TODAY()-(Data_Val!$H$3*365.25)),Data!F655&lt;=(TODAY()-(Data_Val!$H$2*365.25))),0,1),1))</f>
        <v/>
      </c>
      <c r="G665" s="12" t="str">
        <f>IF(Data!B655="","",IF(AND(Data!G655="",Data!H655&lt;&gt;""),1,IF(ISNUMBER(MATCH(Data!G655,Data_Val!$C$2:$C$5,0)),0,1)))</f>
        <v/>
      </c>
      <c r="H665" s="12" t="str">
        <f>IF(Data!B655="","",IF(AND(Data!G655&lt;&gt;"",Data!H655=""),1,IF(Data!G655="",1,IF(ISNUMBER(MATCH(Data!H655,Data_Val!$D$2:$D$35,0)),0,1))))</f>
        <v/>
      </c>
      <c r="I665" s="38" t="str">
        <f>IF(Data!G655="","",IF(Data!G655=Data_Val!$C$2,IF(Data!I655="",0,1),0))</f>
        <v/>
      </c>
      <c r="J665" s="38" t="str">
        <f>IF(Data!I655="","",IF(ISNUMBER(MATCH(Data!J655,Data_Val!$A$2:$A$3,0)),0,1))</f>
        <v/>
      </c>
      <c r="K665" s="38" t="str">
        <f ca="1">IF(Data!I655="","",IF(ISNUMBER(Data!K655),IF(AND(Data!K655&gt;(TODAY()-(Data_Val!$K$3*365.25)),Data!K655&lt;=(TODAY()-(Data_Val!$K$2*365.25))),0,1),1))</f>
        <v/>
      </c>
      <c r="L665" s="16" t="str">
        <f>IF(Data!G655="","",IF(Data!G655=Data_Val!$C$2,IF(Data!L655="",0,1),0))</f>
        <v/>
      </c>
      <c r="M665" s="16" t="str">
        <f>IF(Data!L655="","",IF(ISNUMBER(MATCH(Data!M655,Data_Val!$A$2:$A$3,0)),0,1))</f>
        <v/>
      </c>
      <c r="N665" s="43" t="str">
        <f ca="1">IF(Data!L655="","",IF(ISNUMBER(Data!N655),IF(AND(Data!N655&gt;(TODAY()-(Data_Val!$L$3*365.25)),Data!N655&lt;=(TODAY()-(Data_Val!$L$2*365.25))),0,1),1))</f>
        <v/>
      </c>
      <c r="O665" s="18" t="str">
        <f>IF(Data!$G655="","",IF(Data!$G655=Data_Val!$C$2,IF(Data!O655="",0,1),0))</f>
        <v/>
      </c>
      <c r="P665" s="18" t="str">
        <f>IF(Data!O655="","",IF(ISNUMBER(MATCH(Data!P655,Data_Val!$A$2:$A$3,0)),0,1))</f>
        <v/>
      </c>
      <c r="Q665" s="44" t="str">
        <f ca="1">IF(Data!O655="","",IF(ISNUMBER(Data!Q655),IF(AND(Data!Q655&gt;(TODAY()-(Data_Val!$L$3*365.25)),Data!Q655&lt;=(TODAY()-(Data_Val!$L$2*365.25))),0,1),1))</f>
        <v/>
      </c>
    </row>
    <row r="666" spans="1:17" ht="12" customHeight="1" x14ac:dyDescent="0.25">
      <c r="A666" s="36" t="str">
        <f>IF(Data!B656="","",IF(COUNTIFS(Data!A$1:'Data'!A656,Data!A656)&lt;=1,0,1))</f>
        <v/>
      </c>
      <c r="B666" s="36"/>
      <c r="C666" s="36" t="str">
        <f>IF(Data!C656="","",(IF(ISNUMBER(MATCH("*@*.?*",Data!C656,0)),0,1)+IF(COUNTIFS(Data!C$1:'Data'!C656,Data!C656)&gt;1,1,0)))</f>
        <v/>
      </c>
      <c r="D666" s="36" t="str">
        <f>IF(Data!B656="","",IF(ISNUMBER(Data!D656),IF(AND(Data!D656&gt;999999999,Data!D656&lt;=9999999999),IF(COUNTIFS(Data!D$1:'Data'!D656,Data!D656)&lt;=1,0,1),1),1))</f>
        <v/>
      </c>
      <c r="E666" s="36" t="str">
        <f>IF(Data!B656="","",IF(ISNUMBER(MATCH(Data!E656,Data_Val!$A$2:$A$3,0)),0,1))</f>
        <v/>
      </c>
      <c r="F666" s="36" t="str">
        <f ca="1">IF(Data!B656="","",IF(ISNUMBER(Data!F656),IF(AND(Data!F656&gt;(TODAY()-(Data_Val!$H$3*365.25)),Data!F656&lt;=(TODAY()-(Data_Val!$H$2*365.25))),0,1),1))</f>
        <v/>
      </c>
      <c r="G666" s="12" t="str">
        <f>IF(Data!B656="","",IF(AND(Data!G656="",Data!H656&lt;&gt;""),1,IF(ISNUMBER(MATCH(Data!G656,Data_Val!$C$2:$C$5,0)),0,1)))</f>
        <v/>
      </c>
      <c r="H666" s="12" t="str">
        <f>IF(Data!B656="","",IF(AND(Data!G656&lt;&gt;"",Data!H656=""),1,IF(Data!G656="",1,IF(ISNUMBER(MATCH(Data!H656,Data_Val!$D$2:$D$35,0)),0,1))))</f>
        <v/>
      </c>
      <c r="I666" s="38" t="str">
        <f>IF(Data!G656="","",IF(Data!G656=Data_Val!$C$2,IF(Data!I656="",0,1),0))</f>
        <v/>
      </c>
      <c r="J666" s="38" t="str">
        <f>IF(Data!I656="","",IF(ISNUMBER(MATCH(Data!J656,Data_Val!$A$2:$A$3,0)),0,1))</f>
        <v/>
      </c>
      <c r="K666" s="38" t="str">
        <f ca="1">IF(Data!I656="","",IF(ISNUMBER(Data!K656),IF(AND(Data!K656&gt;(TODAY()-(Data_Val!$K$3*365.25)),Data!K656&lt;=(TODAY()-(Data_Val!$K$2*365.25))),0,1),1))</f>
        <v/>
      </c>
      <c r="L666" s="16" t="str">
        <f>IF(Data!G656="","",IF(Data!G656=Data_Val!$C$2,IF(Data!L656="",0,1),0))</f>
        <v/>
      </c>
      <c r="M666" s="16" t="str">
        <f>IF(Data!L656="","",IF(ISNUMBER(MATCH(Data!M656,Data_Val!$A$2:$A$3,0)),0,1))</f>
        <v/>
      </c>
      <c r="N666" s="43" t="str">
        <f ca="1">IF(Data!L656="","",IF(ISNUMBER(Data!N656),IF(AND(Data!N656&gt;(TODAY()-(Data_Val!$L$3*365.25)),Data!N656&lt;=(TODAY()-(Data_Val!$L$2*365.25))),0,1),1))</f>
        <v/>
      </c>
      <c r="O666" s="18" t="str">
        <f>IF(Data!$G656="","",IF(Data!$G656=Data_Val!$C$2,IF(Data!O656="",0,1),0))</f>
        <v/>
      </c>
      <c r="P666" s="18" t="str">
        <f>IF(Data!O656="","",IF(ISNUMBER(MATCH(Data!P656,Data_Val!$A$2:$A$3,0)),0,1))</f>
        <v/>
      </c>
      <c r="Q666" s="44" t="str">
        <f ca="1">IF(Data!O656="","",IF(ISNUMBER(Data!Q656),IF(AND(Data!Q656&gt;(TODAY()-(Data_Val!$L$3*365.25)),Data!Q656&lt;=(TODAY()-(Data_Val!$L$2*365.25))),0,1),1))</f>
        <v/>
      </c>
    </row>
    <row r="667" spans="1:17" ht="12" customHeight="1" x14ac:dyDescent="0.25">
      <c r="A667" s="36" t="str">
        <f>IF(Data!B657="","",IF(COUNTIFS(Data!A$1:'Data'!A657,Data!A657)&lt;=1,0,1))</f>
        <v/>
      </c>
      <c r="B667" s="36"/>
      <c r="C667" s="36" t="str">
        <f>IF(Data!C657="","",(IF(ISNUMBER(MATCH("*@*.?*",Data!C657,0)),0,1)+IF(COUNTIFS(Data!C$1:'Data'!C657,Data!C657)&gt;1,1,0)))</f>
        <v/>
      </c>
      <c r="D667" s="36" t="str">
        <f>IF(Data!B657="","",IF(ISNUMBER(Data!D657),IF(AND(Data!D657&gt;999999999,Data!D657&lt;=9999999999),IF(COUNTIFS(Data!D$1:'Data'!D657,Data!D657)&lt;=1,0,1),1),1))</f>
        <v/>
      </c>
      <c r="E667" s="36" t="str">
        <f>IF(Data!B657="","",IF(ISNUMBER(MATCH(Data!E657,Data_Val!$A$2:$A$3,0)),0,1))</f>
        <v/>
      </c>
      <c r="F667" s="36" t="str">
        <f ca="1">IF(Data!B657="","",IF(ISNUMBER(Data!F657),IF(AND(Data!F657&gt;(TODAY()-(Data_Val!$H$3*365.25)),Data!F657&lt;=(TODAY()-(Data_Val!$H$2*365.25))),0,1),1))</f>
        <v/>
      </c>
      <c r="G667" s="12" t="str">
        <f>IF(Data!B657="","",IF(AND(Data!G657="",Data!H657&lt;&gt;""),1,IF(ISNUMBER(MATCH(Data!G657,Data_Val!$C$2:$C$5,0)),0,1)))</f>
        <v/>
      </c>
      <c r="H667" s="12" t="str">
        <f>IF(Data!B657="","",IF(AND(Data!G657&lt;&gt;"",Data!H657=""),1,IF(Data!G657="",1,IF(ISNUMBER(MATCH(Data!H657,Data_Val!$D$2:$D$35,0)),0,1))))</f>
        <v/>
      </c>
      <c r="I667" s="38" t="str">
        <f>IF(Data!G657="","",IF(Data!G657=Data_Val!$C$2,IF(Data!I657="",0,1),0))</f>
        <v/>
      </c>
      <c r="J667" s="38" t="str">
        <f>IF(Data!I657="","",IF(ISNUMBER(MATCH(Data!J657,Data_Val!$A$2:$A$3,0)),0,1))</f>
        <v/>
      </c>
      <c r="K667" s="38" t="str">
        <f ca="1">IF(Data!I657="","",IF(ISNUMBER(Data!K657),IF(AND(Data!K657&gt;(TODAY()-(Data_Val!$K$3*365.25)),Data!K657&lt;=(TODAY()-(Data_Val!$K$2*365.25))),0,1),1))</f>
        <v/>
      </c>
      <c r="L667" s="16" t="str">
        <f>IF(Data!G657="","",IF(Data!G657=Data_Val!$C$2,IF(Data!L657="",0,1),0))</f>
        <v/>
      </c>
      <c r="M667" s="16" t="str">
        <f>IF(Data!L657="","",IF(ISNUMBER(MATCH(Data!M657,Data_Val!$A$2:$A$3,0)),0,1))</f>
        <v/>
      </c>
      <c r="N667" s="43" t="str">
        <f ca="1">IF(Data!L657="","",IF(ISNUMBER(Data!N657),IF(AND(Data!N657&gt;(TODAY()-(Data_Val!$L$3*365.25)),Data!N657&lt;=(TODAY()-(Data_Val!$L$2*365.25))),0,1),1))</f>
        <v/>
      </c>
      <c r="O667" s="18" t="str">
        <f>IF(Data!$G657="","",IF(Data!$G657=Data_Val!$C$2,IF(Data!O657="",0,1),0))</f>
        <v/>
      </c>
      <c r="P667" s="18" t="str">
        <f>IF(Data!O657="","",IF(ISNUMBER(MATCH(Data!P657,Data_Val!$A$2:$A$3,0)),0,1))</f>
        <v/>
      </c>
      <c r="Q667" s="44" t="str">
        <f ca="1">IF(Data!O657="","",IF(ISNUMBER(Data!Q657),IF(AND(Data!Q657&gt;(TODAY()-(Data_Val!$L$3*365.25)),Data!Q657&lt;=(TODAY()-(Data_Val!$L$2*365.25))),0,1),1))</f>
        <v/>
      </c>
    </row>
    <row r="668" spans="1:17" ht="12" customHeight="1" x14ac:dyDescent="0.25">
      <c r="A668" s="36" t="str">
        <f>IF(Data!B658="","",IF(COUNTIFS(Data!A$1:'Data'!A658,Data!A658)&lt;=1,0,1))</f>
        <v/>
      </c>
      <c r="B668" s="36"/>
      <c r="C668" s="36" t="str">
        <f>IF(Data!C658="","",(IF(ISNUMBER(MATCH("*@*.?*",Data!C658,0)),0,1)+IF(COUNTIFS(Data!C$1:'Data'!C658,Data!C658)&gt;1,1,0)))</f>
        <v/>
      </c>
      <c r="D668" s="36" t="str">
        <f>IF(Data!B658="","",IF(ISNUMBER(Data!D658),IF(AND(Data!D658&gt;999999999,Data!D658&lt;=9999999999),IF(COUNTIFS(Data!D$1:'Data'!D658,Data!D658)&lt;=1,0,1),1),1))</f>
        <v/>
      </c>
      <c r="E668" s="36" t="str">
        <f>IF(Data!B658="","",IF(ISNUMBER(MATCH(Data!E658,Data_Val!$A$2:$A$3,0)),0,1))</f>
        <v/>
      </c>
      <c r="F668" s="36" t="str">
        <f ca="1">IF(Data!B658="","",IF(ISNUMBER(Data!F658),IF(AND(Data!F658&gt;(TODAY()-(Data_Val!$H$3*365.25)),Data!F658&lt;=(TODAY()-(Data_Val!$H$2*365.25))),0,1),1))</f>
        <v/>
      </c>
      <c r="G668" s="12" t="str">
        <f>IF(Data!B658="","",IF(AND(Data!G658="",Data!H658&lt;&gt;""),1,IF(ISNUMBER(MATCH(Data!G658,Data_Val!$C$2:$C$5,0)),0,1)))</f>
        <v/>
      </c>
      <c r="H668" s="12" t="str">
        <f>IF(Data!B658="","",IF(AND(Data!G658&lt;&gt;"",Data!H658=""),1,IF(Data!G658="",1,IF(ISNUMBER(MATCH(Data!H658,Data_Val!$D$2:$D$35,0)),0,1))))</f>
        <v/>
      </c>
      <c r="I668" s="38" t="str">
        <f>IF(Data!G658="","",IF(Data!G658=Data_Val!$C$2,IF(Data!I658="",0,1),0))</f>
        <v/>
      </c>
      <c r="J668" s="38" t="str">
        <f>IF(Data!I658="","",IF(ISNUMBER(MATCH(Data!J658,Data_Val!$A$2:$A$3,0)),0,1))</f>
        <v/>
      </c>
      <c r="K668" s="38" t="str">
        <f ca="1">IF(Data!I658="","",IF(ISNUMBER(Data!K658),IF(AND(Data!K658&gt;(TODAY()-(Data_Val!$K$3*365.25)),Data!K658&lt;=(TODAY()-(Data_Val!$K$2*365.25))),0,1),1))</f>
        <v/>
      </c>
      <c r="L668" s="16" t="str">
        <f>IF(Data!G658="","",IF(Data!G658=Data_Val!$C$2,IF(Data!L658="",0,1),0))</f>
        <v/>
      </c>
      <c r="M668" s="16" t="str">
        <f>IF(Data!L658="","",IF(ISNUMBER(MATCH(Data!M658,Data_Val!$A$2:$A$3,0)),0,1))</f>
        <v/>
      </c>
      <c r="N668" s="43" t="str">
        <f ca="1">IF(Data!L658="","",IF(ISNUMBER(Data!N658),IF(AND(Data!N658&gt;(TODAY()-(Data_Val!$L$3*365.25)),Data!N658&lt;=(TODAY()-(Data_Val!$L$2*365.25))),0,1),1))</f>
        <v/>
      </c>
      <c r="O668" s="18" t="str">
        <f>IF(Data!$G658="","",IF(Data!$G658=Data_Val!$C$2,IF(Data!O658="",0,1),0))</f>
        <v/>
      </c>
      <c r="P668" s="18" t="str">
        <f>IF(Data!O658="","",IF(ISNUMBER(MATCH(Data!P658,Data_Val!$A$2:$A$3,0)),0,1))</f>
        <v/>
      </c>
      <c r="Q668" s="44" t="str">
        <f ca="1">IF(Data!O658="","",IF(ISNUMBER(Data!Q658),IF(AND(Data!Q658&gt;(TODAY()-(Data_Val!$L$3*365.25)),Data!Q658&lt;=(TODAY()-(Data_Val!$L$2*365.25))),0,1),1))</f>
        <v/>
      </c>
    </row>
    <row r="669" spans="1:17" ht="12" customHeight="1" x14ac:dyDescent="0.25">
      <c r="A669" s="36" t="str">
        <f>IF(Data!B659="","",IF(COUNTIFS(Data!A$1:'Data'!A659,Data!A659)&lt;=1,0,1))</f>
        <v/>
      </c>
      <c r="B669" s="36"/>
      <c r="C669" s="36" t="str">
        <f>IF(Data!C659="","",(IF(ISNUMBER(MATCH("*@*.?*",Data!C659,0)),0,1)+IF(COUNTIFS(Data!C$1:'Data'!C659,Data!C659)&gt;1,1,0)))</f>
        <v/>
      </c>
      <c r="D669" s="36" t="str">
        <f>IF(Data!B659="","",IF(ISNUMBER(Data!D659),IF(AND(Data!D659&gt;999999999,Data!D659&lt;=9999999999),IF(COUNTIFS(Data!D$1:'Data'!D659,Data!D659)&lt;=1,0,1),1),1))</f>
        <v/>
      </c>
      <c r="E669" s="36" t="str">
        <f>IF(Data!B659="","",IF(ISNUMBER(MATCH(Data!E659,Data_Val!$A$2:$A$3,0)),0,1))</f>
        <v/>
      </c>
      <c r="F669" s="36" t="str">
        <f ca="1">IF(Data!B659="","",IF(ISNUMBER(Data!F659),IF(AND(Data!F659&gt;(TODAY()-(Data_Val!$H$3*365.25)),Data!F659&lt;=(TODAY()-(Data_Val!$H$2*365.25))),0,1),1))</f>
        <v/>
      </c>
      <c r="G669" s="12" t="str">
        <f>IF(Data!B659="","",IF(AND(Data!G659="",Data!H659&lt;&gt;""),1,IF(ISNUMBER(MATCH(Data!G659,Data_Val!$C$2:$C$5,0)),0,1)))</f>
        <v/>
      </c>
      <c r="H669" s="12" t="str">
        <f>IF(Data!B659="","",IF(AND(Data!G659&lt;&gt;"",Data!H659=""),1,IF(Data!G659="",1,IF(ISNUMBER(MATCH(Data!H659,Data_Val!$D$2:$D$35,0)),0,1))))</f>
        <v/>
      </c>
      <c r="I669" s="38" t="str">
        <f>IF(Data!G659="","",IF(Data!G659=Data_Val!$C$2,IF(Data!I659="",0,1),0))</f>
        <v/>
      </c>
      <c r="J669" s="38" t="str">
        <f>IF(Data!I659="","",IF(ISNUMBER(MATCH(Data!J659,Data_Val!$A$2:$A$3,0)),0,1))</f>
        <v/>
      </c>
      <c r="K669" s="38" t="str">
        <f ca="1">IF(Data!I659="","",IF(ISNUMBER(Data!K659),IF(AND(Data!K659&gt;(TODAY()-(Data_Val!$K$3*365.25)),Data!K659&lt;=(TODAY()-(Data_Val!$K$2*365.25))),0,1),1))</f>
        <v/>
      </c>
      <c r="L669" s="16" t="str">
        <f>IF(Data!G659="","",IF(Data!G659=Data_Val!$C$2,IF(Data!L659="",0,1),0))</f>
        <v/>
      </c>
      <c r="M669" s="16" t="str">
        <f>IF(Data!L659="","",IF(ISNUMBER(MATCH(Data!M659,Data_Val!$A$2:$A$3,0)),0,1))</f>
        <v/>
      </c>
      <c r="N669" s="43" t="str">
        <f ca="1">IF(Data!L659="","",IF(ISNUMBER(Data!N659),IF(AND(Data!N659&gt;(TODAY()-(Data_Val!$L$3*365.25)),Data!N659&lt;=(TODAY()-(Data_Val!$L$2*365.25))),0,1),1))</f>
        <v/>
      </c>
      <c r="O669" s="18" t="str">
        <f>IF(Data!$G659="","",IF(Data!$G659=Data_Val!$C$2,IF(Data!O659="",0,1),0))</f>
        <v/>
      </c>
      <c r="P669" s="18" t="str">
        <f>IF(Data!O659="","",IF(ISNUMBER(MATCH(Data!P659,Data_Val!$A$2:$A$3,0)),0,1))</f>
        <v/>
      </c>
      <c r="Q669" s="44" t="str">
        <f ca="1">IF(Data!O659="","",IF(ISNUMBER(Data!Q659),IF(AND(Data!Q659&gt;(TODAY()-(Data_Val!$L$3*365.25)),Data!Q659&lt;=(TODAY()-(Data_Val!$L$2*365.25))),0,1),1))</f>
        <v/>
      </c>
    </row>
    <row r="670" spans="1:17" ht="12" customHeight="1" x14ac:dyDescent="0.25">
      <c r="A670" s="36" t="str">
        <f>IF(Data!B660="","",IF(COUNTIFS(Data!A$1:'Data'!A660,Data!A660)&lt;=1,0,1))</f>
        <v/>
      </c>
      <c r="B670" s="36"/>
      <c r="C670" s="36" t="str">
        <f>IF(Data!C660="","",(IF(ISNUMBER(MATCH("*@*.?*",Data!C660,0)),0,1)+IF(COUNTIFS(Data!C$1:'Data'!C660,Data!C660)&gt;1,1,0)))</f>
        <v/>
      </c>
      <c r="D670" s="36" t="str">
        <f>IF(Data!B660="","",IF(ISNUMBER(Data!D660),IF(AND(Data!D660&gt;999999999,Data!D660&lt;=9999999999),IF(COUNTIFS(Data!D$1:'Data'!D660,Data!D660)&lt;=1,0,1),1),1))</f>
        <v/>
      </c>
      <c r="E670" s="36" t="str">
        <f>IF(Data!B660="","",IF(ISNUMBER(MATCH(Data!E660,Data_Val!$A$2:$A$3,0)),0,1))</f>
        <v/>
      </c>
      <c r="F670" s="36" t="str">
        <f ca="1">IF(Data!B660="","",IF(ISNUMBER(Data!F660),IF(AND(Data!F660&gt;(TODAY()-(Data_Val!$H$3*365.25)),Data!F660&lt;=(TODAY()-(Data_Val!$H$2*365.25))),0,1),1))</f>
        <v/>
      </c>
      <c r="G670" s="12" t="str">
        <f>IF(Data!B660="","",IF(AND(Data!G660="",Data!H660&lt;&gt;""),1,IF(ISNUMBER(MATCH(Data!G660,Data_Val!$C$2:$C$5,0)),0,1)))</f>
        <v/>
      </c>
      <c r="H670" s="12" t="str">
        <f>IF(Data!B660="","",IF(AND(Data!G660&lt;&gt;"",Data!H660=""),1,IF(Data!G660="",1,IF(ISNUMBER(MATCH(Data!H660,Data_Val!$D$2:$D$35,0)),0,1))))</f>
        <v/>
      </c>
      <c r="I670" s="38" t="str">
        <f>IF(Data!G660="","",IF(Data!G660=Data_Val!$C$2,IF(Data!I660="",0,1),0))</f>
        <v/>
      </c>
      <c r="J670" s="38" t="str">
        <f>IF(Data!I660="","",IF(ISNUMBER(MATCH(Data!J660,Data_Val!$A$2:$A$3,0)),0,1))</f>
        <v/>
      </c>
      <c r="K670" s="38" t="str">
        <f ca="1">IF(Data!I660="","",IF(ISNUMBER(Data!K660),IF(AND(Data!K660&gt;(TODAY()-(Data_Val!$K$3*365.25)),Data!K660&lt;=(TODAY()-(Data_Val!$K$2*365.25))),0,1),1))</f>
        <v/>
      </c>
      <c r="L670" s="16" t="str">
        <f>IF(Data!G660="","",IF(Data!G660=Data_Val!$C$2,IF(Data!L660="",0,1),0))</f>
        <v/>
      </c>
      <c r="M670" s="16" t="str">
        <f>IF(Data!L660="","",IF(ISNUMBER(MATCH(Data!M660,Data_Val!$A$2:$A$3,0)),0,1))</f>
        <v/>
      </c>
      <c r="N670" s="43" t="str">
        <f ca="1">IF(Data!L660="","",IF(ISNUMBER(Data!N660),IF(AND(Data!N660&gt;(TODAY()-(Data_Val!$L$3*365.25)),Data!N660&lt;=(TODAY()-(Data_Val!$L$2*365.25))),0,1),1))</f>
        <v/>
      </c>
      <c r="O670" s="18" t="str">
        <f>IF(Data!$G660="","",IF(Data!$G660=Data_Val!$C$2,IF(Data!O660="",0,1),0))</f>
        <v/>
      </c>
      <c r="P670" s="18" t="str">
        <f>IF(Data!O660="","",IF(ISNUMBER(MATCH(Data!P660,Data_Val!$A$2:$A$3,0)),0,1))</f>
        <v/>
      </c>
      <c r="Q670" s="44" t="str">
        <f ca="1">IF(Data!O660="","",IF(ISNUMBER(Data!Q660),IF(AND(Data!Q660&gt;(TODAY()-(Data_Val!$L$3*365.25)),Data!Q660&lt;=(TODAY()-(Data_Val!$L$2*365.25))),0,1),1))</f>
        <v/>
      </c>
    </row>
    <row r="671" spans="1:17" ht="12" customHeight="1" x14ac:dyDescent="0.25">
      <c r="A671" s="36" t="str">
        <f>IF(Data!B661="","",IF(COUNTIFS(Data!A$1:'Data'!A661,Data!A661)&lt;=1,0,1))</f>
        <v/>
      </c>
      <c r="B671" s="36"/>
      <c r="C671" s="36" t="str">
        <f>IF(Data!C661="","",(IF(ISNUMBER(MATCH("*@*.?*",Data!C661,0)),0,1)+IF(COUNTIFS(Data!C$1:'Data'!C661,Data!C661)&gt;1,1,0)))</f>
        <v/>
      </c>
      <c r="D671" s="36" t="str">
        <f>IF(Data!B661="","",IF(ISNUMBER(Data!D661),IF(AND(Data!D661&gt;999999999,Data!D661&lt;=9999999999),IF(COUNTIFS(Data!D$1:'Data'!D661,Data!D661)&lt;=1,0,1),1),1))</f>
        <v/>
      </c>
      <c r="E671" s="36" t="str">
        <f>IF(Data!B661="","",IF(ISNUMBER(MATCH(Data!E661,Data_Val!$A$2:$A$3,0)),0,1))</f>
        <v/>
      </c>
      <c r="F671" s="36" t="str">
        <f ca="1">IF(Data!B661="","",IF(ISNUMBER(Data!F661),IF(AND(Data!F661&gt;(TODAY()-(Data_Val!$H$3*365.25)),Data!F661&lt;=(TODAY()-(Data_Val!$H$2*365.25))),0,1),1))</f>
        <v/>
      </c>
      <c r="G671" s="12" t="str">
        <f>IF(Data!B661="","",IF(AND(Data!G661="",Data!H661&lt;&gt;""),1,IF(ISNUMBER(MATCH(Data!G661,Data_Val!$C$2:$C$5,0)),0,1)))</f>
        <v/>
      </c>
      <c r="H671" s="12" t="str">
        <f>IF(Data!B661="","",IF(AND(Data!G661&lt;&gt;"",Data!H661=""),1,IF(Data!G661="",1,IF(ISNUMBER(MATCH(Data!H661,Data_Val!$D$2:$D$35,0)),0,1))))</f>
        <v/>
      </c>
      <c r="I671" s="38" t="str">
        <f>IF(Data!G661="","",IF(Data!G661=Data_Val!$C$2,IF(Data!I661="",0,1),0))</f>
        <v/>
      </c>
      <c r="J671" s="38" t="str">
        <f>IF(Data!I661="","",IF(ISNUMBER(MATCH(Data!J661,Data_Val!$A$2:$A$3,0)),0,1))</f>
        <v/>
      </c>
      <c r="K671" s="38" t="str">
        <f ca="1">IF(Data!I661="","",IF(ISNUMBER(Data!K661),IF(AND(Data!K661&gt;(TODAY()-(Data_Val!$K$3*365.25)),Data!K661&lt;=(TODAY()-(Data_Val!$K$2*365.25))),0,1),1))</f>
        <v/>
      </c>
      <c r="L671" s="16" t="str">
        <f>IF(Data!G661="","",IF(Data!G661=Data_Val!$C$2,IF(Data!L661="",0,1),0))</f>
        <v/>
      </c>
      <c r="M671" s="16" t="str">
        <f>IF(Data!L661="","",IF(ISNUMBER(MATCH(Data!M661,Data_Val!$A$2:$A$3,0)),0,1))</f>
        <v/>
      </c>
      <c r="N671" s="43" t="str">
        <f ca="1">IF(Data!L661="","",IF(ISNUMBER(Data!N661),IF(AND(Data!N661&gt;(TODAY()-(Data_Val!$L$3*365.25)),Data!N661&lt;=(TODAY()-(Data_Val!$L$2*365.25))),0,1),1))</f>
        <v/>
      </c>
      <c r="O671" s="18" t="str">
        <f>IF(Data!$G661="","",IF(Data!$G661=Data_Val!$C$2,IF(Data!O661="",0,1),0))</f>
        <v/>
      </c>
      <c r="P671" s="18" t="str">
        <f>IF(Data!O661="","",IF(ISNUMBER(MATCH(Data!P661,Data_Val!$A$2:$A$3,0)),0,1))</f>
        <v/>
      </c>
      <c r="Q671" s="44" t="str">
        <f ca="1">IF(Data!O661="","",IF(ISNUMBER(Data!Q661),IF(AND(Data!Q661&gt;(TODAY()-(Data_Val!$L$3*365.25)),Data!Q661&lt;=(TODAY()-(Data_Val!$L$2*365.25))),0,1),1))</f>
        <v/>
      </c>
    </row>
    <row r="672" spans="1:17" ht="12" customHeight="1" x14ac:dyDescent="0.25">
      <c r="A672" s="36" t="str">
        <f>IF(Data!B662="","",IF(COUNTIFS(Data!A$1:'Data'!A662,Data!A662)&lt;=1,0,1))</f>
        <v/>
      </c>
      <c r="B672" s="36"/>
      <c r="C672" s="36" t="str">
        <f>IF(Data!C662="","",(IF(ISNUMBER(MATCH("*@*.?*",Data!C662,0)),0,1)+IF(COUNTIFS(Data!C$1:'Data'!C662,Data!C662)&gt;1,1,0)))</f>
        <v/>
      </c>
      <c r="D672" s="36" t="str">
        <f>IF(Data!B662="","",IF(ISNUMBER(Data!D662),IF(AND(Data!D662&gt;999999999,Data!D662&lt;=9999999999),IF(COUNTIFS(Data!D$1:'Data'!D662,Data!D662)&lt;=1,0,1),1),1))</f>
        <v/>
      </c>
      <c r="E672" s="36" t="str">
        <f>IF(Data!B662="","",IF(ISNUMBER(MATCH(Data!E662,Data_Val!$A$2:$A$3,0)),0,1))</f>
        <v/>
      </c>
      <c r="F672" s="36" t="str">
        <f ca="1">IF(Data!B662="","",IF(ISNUMBER(Data!F662),IF(AND(Data!F662&gt;(TODAY()-(Data_Val!$H$3*365.25)),Data!F662&lt;=(TODAY()-(Data_Val!$H$2*365.25))),0,1),1))</f>
        <v/>
      </c>
      <c r="G672" s="12" t="str">
        <f>IF(Data!B662="","",IF(AND(Data!G662="",Data!H662&lt;&gt;""),1,IF(ISNUMBER(MATCH(Data!G662,Data_Val!$C$2:$C$5,0)),0,1)))</f>
        <v/>
      </c>
      <c r="H672" s="12" t="str">
        <f>IF(Data!B662="","",IF(AND(Data!G662&lt;&gt;"",Data!H662=""),1,IF(Data!G662="",1,IF(ISNUMBER(MATCH(Data!H662,Data_Val!$D$2:$D$35,0)),0,1))))</f>
        <v/>
      </c>
      <c r="I672" s="38" t="str">
        <f>IF(Data!G662="","",IF(Data!G662=Data_Val!$C$2,IF(Data!I662="",0,1),0))</f>
        <v/>
      </c>
      <c r="J672" s="38" t="str">
        <f>IF(Data!I662="","",IF(ISNUMBER(MATCH(Data!J662,Data_Val!$A$2:$A$3,0)),0,1))</f>
        <v/>
      </c>
      <c r="K672" s="38" t="str">
        <f ca="1">IF(Data!I662="","",IF(ISNUMBER(Data!K662),IF(AND(Data!K662&gt;(TODAY()-(Data_Val!$K$3*365.25)),Data!K662&lt;=(TODAY()-(Data_Val!$K$2*365.25))),0,1),1))</f>
        <v/>
      </c>
      <c r="L672" s="16" t="str">
        <f>IF(Data!G662="","",IF(Data!G662=Data_Val!$C$2,IF(Data!L662="",0,1),0))</f>
        <v/>
      </c>
      <c r="M672" s="16" t="str">
        <f>IF(Data!L662="","",IF(ISNUMBER(MATCH(Data!M662,Data_Val!$A$2:$A$3,0)),0,1))</f>
        <v/>
      </c>
      <c r="N672" s="43" t="str">
        <f ca="1">IF(Data!L662="","",IF(ISNUMBER(Data!N662),IF(AND(Data!N662&gt;(TODAY()-(Data_Val!$L$3*365.25)),Data!N662&lt;=(TODAY()-(Data_Val!$L$2*365.25))),0,1),1))</f>
        <v/>
      </c>
      <c r="O672" s="18" t="str">
        <f>IF(Data!$G662="","",IF(Data!$G662=Data_Val!$C$2,IF(Data!O662="",0,1),0))</f>
        <v/>
      </c>
      <c r="P672" s="18" t="str">
        <f>IF(Data!O662="","",IF(ISNUMBER(MATCH(Data!P662,Data_Val!$A$2:$A$3,0)),0,1))</f>
        <v/>
      </c>
      <c r="Q672" s="44" t="str">
        <f ca="1">IF(Data!O662="","",IF(ISNUMBER(Data!Q662),IF(AND(Data!Q662&gt;(TODAY()-(Data_Val!$L$3*365.25)),Data!Q662&lt;=(TODAY()-(Data_Val!$L$2*365.25))),0,1),1))</f>
        <v/>
      </c>
    </row>
    <row r="673" spans="1:17" ht="12" customHeight="1" x14ac:dyDescent="0.25">
      <c r="A673" s="36" t="str">
        <f>IF(Data!B663="","",IF(COUNTIFS(Data!A$1:'Data'!A663,Data!A663)&lt;=1,0,1))</f>
        <v/>
      </c>
      <c r="B673" s="36"/>
      <c r="C673" s="36" t="str">
        <f>IF(Data!C663="","",(IF(ISNUMBER(MATCH("*@*.?*",Data!C663,0)),0,1)+IF(COUNTIFS(Data!C$1:'Data'!C663,Data!C663)&gt;1,1,0)))</f>
        <v/>
      </c>
      <c r="D673" s="36" t="str">
        <f>IF(Data!B663="","",IF(ISNUMBER(Data!D663),IF(AND(Data!D663&gt;999999999,Data!D663&lt;=9999999999),IF(COUNTIFS(Data!D$1:'Data'!D663,Data!D663)&lt;=1,0,1),1),1))</f>
        <v/>
      </c>
      <c r="E673" s="36" t="str">
        <f>IF(Data!B663="","",IF(ISNUMBER(MATCH(Data!E663,Data_Val!$A$2:$A$3,0)),0,1))</f>
        <v/>
      </c>
      <c r="F673" s="36" t="str">
        <f ca="1">IF(Data!B663="","",IF(ISNUMBER(Data!F663),IF(AND(Data!F663&gt;(TODAY()-(Data_Val!$H$3*365.25)),Data!F663&lt;=(TODAY()-(Data_Val!$H$2*365.25))),0,1),1))</f>
        <v/>
      </c>
      <c r="G673" s="12" t="str">
        <f>IF(Data!B663="","",IF(AND(Data!G663="",Data!H663&lt;&gt;""),1,IF(ISNUMBER(MATCH(Data!G663,Data_Val!$C$2:$C$5,0)),0,1)))</f>
        <v/>
      </c>
      <c r="H673" s="12" t="str">
        <f>IF(Data!B663="","",IF(AND(Data!G663&lt;&gt;"",Data!H663=""),1,IF(Data!G663="",1,IF(ISNUMBER(MATCH(Data!H663,Data_Val!$D$2:$D$35,0)),0,1))))</f>
        <v/>
      </c>
      <c r="I673" s="38" t="str">
        <f>IF(Data!G663="","",IF(Data!G663=Data_Val!$C$2,IF(Data!I663="",0,1),0))</f>
        <v/>
      </c>
      <c r="J673" s="38" t="str">
        <f>IF(Data!I663="","",IF(ISNUMBER(MATCH(Data!J663,Data_Val!$A$2:$A$3,0)),0,1))</f>
        <v/>
      </c>
      <c r="K673" s="38" t="str">
        <f ca="1">IF(Data!I663="","",IF(ISNUMBER(Data!K663),IF(AND(Data!K663&gt;(TODAY()-(Data_Val!$K$3*365.25)),Data!K663&lt;=(TODAY()-(Data_Val!$K$2*365.25))),0,1),1))</f>
        <v/>
      </c>
      <c r="L673" s="16" t="str">
        <f>IF(Data!G663="","",IF(Data!G663=Data_Val!$C$2,IF(Data!L663="",0,1),0))</f>
        <v/>
      </c>
      <c r="M673" s="16" t="str">
        <f>IF(Data!L663="","",IF(ISNUMBER(MATCH(Data!M663,Data_Val!$A$2:$A$3,0)),0,1))</f>
        <v/>
      </c>
      <c r="N673" s="43" t="str">
        <f ca="1">IF(Data!L663="","",IF(ISNUMBER(Data!N663),IF(AND(Data!N663&gt;(TODAY()-(Data_Val!$L$3*365.25)),Data!N663&lt;=(TODAY()-(Data_Val!$L$2*365.25))),0,1),1))</f>
        <v/>
      </c>
      <c r="O673" s="18" t="str">
        <f>IF(Data!$G663="","",IF(Data!$G663=Data_Val!$C$2,IF(Data!O663="",0,1),0))</f>
        <v/>
      </c>
      <c r="P673" s="18" t="str">
        <f>IF(Data!O663="","",IF(ISNUMBER(MATCH(Data!P663,Data_Val!$A$2:$A$3,0)),0,1))</f>
        <v/>
      </c>
      <c r="Q673" s="44" t="str">
        <f ca="1">IF(Data!O663="","",IF(ISNUMBER(Data!Q663),IF(AND(Data!Q663&gt;(TODAY()-(Data_Val!$L$3*365.25)),Data!Q663&lt;=(TODAY()-(Data_Val!$L$2*365.25))),0,1),1))</f>
        <v/>
      </c>
    </row>
    <row r="674" spans="1:17" ht="12" customHeight="1" x14ac:dyDescent="0.25">
      <c r="A674" s="36" t="str">
        <f>IF(Data!B664="","",IF(COUNTIFS(Data!A$1:'Data'!A664,Data!A664)&lt;=1,0,1))</f>
        <v/>
      </c>
      <c r="B674" s="36"/>
      <c r="C674" s="36" t="str">
        <f>IF(Data!C664="","",(IF(ISNUMBER(MATCH("*@*.?*",Data!C664,0)),0,1)+IF(COUNTIFS(Data!C$1:'Data'!C664,Data!C664)&gt;1,1,0)))</f>
        <v/>
      </c>
      <c r="D674" s="36" t="str">
        <f>IF(Data!B664="","",IF(ISNUMBER(Data!D664),IF(AND(Data!D664&gt;999999999,Data!D664&lt;=9999999999),IF(COUNTIFS(Data!D$1:'Data'!D664,Data!D664)&lt;=1,0,1),1),1))</f>
        <v/>
      </c>
      <c r="E674" s="36" t="str">
        <f>IF(Data!B664="","",IF(ISNUMBER(MATCH(Data!E664,Data_Val!$A$2:$A$3,0)),0,1))</f>
        <v/>
      </c>
      <c r="F674" s="36" t="str">
        <f ca="1">IF(Data!B664="","",IF(ISNUMBER(Data!F664),IF(AND(Data!F664&gt;(TODAY()-(Data_Val!$H$3*365.25)),Data!F664&lt;=(TODAY()-(Data_Val!$H$2*365.25))),0,1),1))</f>
        <v/>
      </c>
      <c r="G674" s="12" t="str">
        <f>IF(Data!B664="","",IF(AND(Data!G664="",Data!H664&lt;&gt;""),1,IF(ISNUMBER(MATCH(Data!G664,Data_Val!$C$2:$C$5,0)),0,1)))</f>
        <v/>
      </c>
      <c r="H674" s="12" t="str">
        <f>IF(Data!B664="","",IF(AND(Data!G664&lt;&gt;"",Data!H664=""),1,IF(Data!G664="",1,IF(ISNUMBER(MATCH(Data!H664,Data_Val!$D$2:$D$35,0)),0,1))))</f>
        <v/>
      </c>
      <c r="I674" s="38" t="str">
        <f>IF(Data!G664="","",IF(Data!G664=Data_Val!$C$2,IF(Data!I664="",0,1),0))</f>
        <v/>
      </c>
      <c r="J674" s="38" t="str">
        <f>IF(Data!I664="","",IF(ISNUMBER(MATCH(Data!J664,Data_Val!$A$2:$A$3,0)),0,1))</f>
        <v/>
      </c>
      <c r="K674" s="38" t="str">
        <f ca="1">IF(Data!I664="","",IF(ISNUMBER(Data!K664),IF(AND(Data!K664&gt;(TODAY()-(Data_Val!$K$3*365.25)),Data!K664&lt;=(TODAY()-(Data_Val!$K$2*365.25))),0,1),1))</f>
        <v/>
      </c>
      <c r="L674" s="16" t="str">
        <f>IF(Data!G664="","",IF(Data!G664=Data_Val!$C$2,IF(Data!L664="",0,1),0))</f>
        <v/>
      </c>
      <c r="M674" s="16" t="str">
        <f>IF(Data!L664="","",IF(ISNUMBER(MATCH(Data!M664,Data_Val!$A$2:$A$3,0)),0,1))</f>
        <v/>
      </c>
      <c r="N674" s="43" t="str">
        <f ca="1">IF(Data!L664="","",IF(ISNUMBER(Data!N664),IF(AND(Data!N664&gt;(TODAY()-(Data_Val!$L$3*365.25)),Data!N664&lt;=(TODAY()-(Data_Val!$L$2*365.25))),0,1),1))</f>
        <v/>
      </c>
      <c r="O674" s="18" t="str">
        <f>IF(Data!$G664="","",IF(Data!$G664=Data_Val!$C$2,IF(Data!O664="",0,1),0))</f>
        <v/>
      </c>
      <c r="P674" s="18" t="str">
        <f>IF(Data!O664="","",IF(ISNUMBER(MATCH(Data!P664,Data_Val!$A$2:$A$3,0)),0,1))</f>
        <v/>
      </c>
      <c r="Q674" s="44" t="str">
        <f ca="1">IF(Data!O664="","",IF(ISNUMBER(Data!Q664),IF(AND(Data!Q664&gt;(TODAY()-(Data_Val!$L$3*365.25)),Data!Q664&lt;=(TODAY()-(Data_Val!$L$2*365.25))),0,1),1))</f>
        <v/>
      </c>
    </row>
    <row r="675" spans="1:17" ht="12" customHeight="1" x14ac:dyDescent="0.25">
      <c r="A675" s="36" t="str">
        <f>IF(Data!B665="","",IF(COUNTIFS(Data!A$1:'Data'!A665,Data!A665)&lt;=1,0,1))</f>
        <v/>
      </c>
      <c r="B675" s="36"/>
      <c r="C675" s="36" t="str">
        <f>IF(Data!C665="","",(IF(ISNUMBER(MATCH("*@*.?*",Data!C665,0)),0,1)+IF(COUNTIFS(Data!C$1:'Data'!C665,Data!C665)&gt;1,1,0)))</f>
        <v/>
      </c>
      <c r="D675" s="36" t="str">
        <f>IF(Data!B665="","",IF(ISNUMBER(Data!D665),IF(AND(Data!D665&gt;999999999,Data!D665&lt;=9999999999),IF(COUNTIFS(Data!D$1:'Data'!D665,Data!D665)&lt;=1,0,1),1),1))</f>
        <v/>
      </c>
      <c r="E675" s="36" t="str">
        <f>IF(Data!B665="","",IF(ISNUMBER(MATCH(Data!E665,Data_Val!$A$2:$A$3,0)),0,1))</f>
        <v/>
      </c>
      <c r="F675" s="36" t="str">
        <f ca="1">IF(Data!B665="","",IF(ISNUMBER(Data!F665),IF(AND(Data!F665&gt;(TODAY()-(Data_Val!$H$3*365.25)),Data!F665&lt;=(TODAY()-(Data_Val!$H$2*365.25))),0,1),1))</f>
        <v/>
      </c>
      <c r="G675" s="12" t="str">
        <f>IF(Data!B665="","",IF(AND(Data!G665="",Data!H665&lt;&gt;""),1,IF(ISNUMBER(MATCH(Data!G665,Data_Val!$C$2:$C$5,0)),0,1)))</f>
        <v/>
      </c>
      <c r="H675" s="12" t="str">
        <f>IF(Data!B665="","",IF(AND(Data!G665&lt;&gt;"",Data!H665=""),1,IF(Data!G665="",1,IF(ISNUMBER(MATCH(Data!H665,Data_Val!$D$2:$D$35,0)),0,1))))</f>
        <v/>
      </c>
      <c r="I675" s="38" t="str">
        <f>IF(Data!G665="","",IF(Data!G665=Data_Val!$C$2,IF(Data!I665="",0,1),0))</f>
        <v/>
      </c>
      <c r="J675" s="38" t="str">
        <f>IF(Data!I665="","",IF(ISNUMBER(MATCH(Data!J665,Data_Val!$A$2:$A$3,0)),0,1))</f>
        <v/>
      </c>
      <c r="K675" s="38" t="str">
        <f ca="1">IF(Data!I665="","",IF(ISNUMBER(Data!K665),IF(AND(Data!K665&gt;(TODAY()-(Data_Val!$K$3*365.25)),Data!K665&lt;=(TODAY()-(Data_Val!$K$2*365.25))),0,1),1))</f>
        <v/>
      </c>
      <c r="L675" s="16" t="str">
        <f>IF(Data!G665="","",IF(Data!G665=Data_Val!$C$2,IF(Data!L665="",0,1),0))</f>
        <v/>
      </c>
      <c r="M675" s="16" t="str">
        <f>IF(Data!L665="","",IF(ISNUMBER(MATCH(Data!M665,Data_Val!$A$2:$A$3,0)),0,1))</f>
        <v/>
      </c>
      <c r="N675" s="43" t="str">
        <f ca="1">IF(Data!L665="","",IF(ISNUMBER(Data!N665),IF(AND(Data!N665&gt;(TODAY()-(Data_Val!$L$3*365.25)),Data!N665&lt;=(TODAY()-(Data_Val!$L$2*365.25))),0,1),1))</f>
        <v/>
      </c>
      <c r="O675" s="18" t="str">
        <f>IF(Data!$G665="","",IF(Data!$G665=Data_Val!$C$2,IF(Data!O665="",0,1),0))</f>
        <v/>
      </c>
      <c r="P675" s="18" t="str">
        <f>IF(Data!O665="","",IF(ISNUMBER(MATCH(Data!P665,Data_Val!$A$2:$A$3,0)),0,1))</f>
        <v/>
      </c>
      <c r="Q675" s="44" t="str">
        <f ca="1">IF(Data!O665="","",IF(ISNUMBER(Data!Q665),IF(AND(Data!Q665&gt;(TODAY()-(Data_Val!$L$3*365.25)),Data!Q665&lt;=(TODAY()-(Data_Val!$L$2*365.25))),0,1),1))</f>
        <v/>
      </c>
    </row>
    <row r="676" spans="1:17" ht="12" customHeight="1" x14ac:dyDescent="0.25">
      <c r="A676" s="36" t="str">
        <f>IF(Data!B666="","",IF(COUNTIFS(Data!A$1:'Data'!A666,Data!A666)&lt;=1,0,1))</f>
        <v/>
      </c>
      <c r="B676" s="36"/>
      <c r="C676" s="36" t="str">
        <f>IF(Data!C666="","",(IF(ISNUMBER(MATCH("*@*.?*",Data!C666,0)),0,1)+IF(COUNTIFS(Data!C$1:'Data'!C666,Data!C666)&gt;1,1,0)))</f>
        <v/>
      </c>
      <c r="D676" s="36" t="str">
        <f>IF(Data!B666="","",IF(ISNUMBER(Data!D666),IF(AND(Data!D666&gt;999999999,Data!D666&lt;=9999999999),IF(COUNTIFS(Data!D$1:'Data'!D666,Data!D666)&lt;=1,0,1),1),1))</f>
        <v/>
      </c>
      <c r="E676" s="36" t="str">
        <f>IF(Data!B666="","",IF(ISNUMBER(MATCH(Data!E666,Data_Val!$A$2:$A$3,0)),0,1))</f>
        <v/>
      </c>
      <c r="F676" s="36" t="str">
        <f ca="1">IF(Data!B666="","",IF(ISNUMBER(Data!F666),IF(AND(Data!F666&gt;(TODAY()-(Data_Val!$H$3*365.25)),Data!F666&lt;=(TODAY()-(Data_Val!$H$2*365.25))),0,1),1))</f>
        <v/>
      </c>
      <c r="G676" s="12" t="str">
        <f>IF(Data!B666="","",IF(AND(Data!G666="",Data!H666&lt;&gt;""),1,IF(ISNUMBER(MATCH(Data!G666,Data_Val!$C$2:$C$5,0)),0,1)))</f>
        <v/>
      </c>
      <c r="H676" s="12" t="str">
        <f>IF(Data!B666="","",IF(AND(Data!G666&lt;&gt;"",Data!H666=""),1,IF(Data!G666="",1,IF(ISNUMBER(MATCH(Data!H666,Data_Val!$D$2:$D$35,0)),0,1))))</f>
        <v/>
      </c>
      <c r="I676" s="38" t="str">
        <f>IF(Data!G666="","",IF(Data!G666=Data_Val!$C$2,IF(Data!I666="",0,1),0))</f>
        <v/>
      </c>
      <c r="J676" s="38" t="str">
        <f>IF(Data!I666="","",IF(ISNUMBER(MATCH(Data!J666,Data_Val!$A$2:$A$3,0)),0,1))</f>
        <v/>
      </c>
      <c r="K676" s="38" t="str">
        <f ca="1">IF(Data!I666="","",IF(ISNUMBER(Data!K666),IF(AND(Data!K666&gt;(TODAY()-(Data_Val!$K$3*365.25)),Data!K666&lt;=(TODAY()-(Data_Val!$K$2*365.25))),0,1),1))</f>
        <v/>
      </c>
      <c r="L676" s="16" t="str">
        <f>IF(Data!G666="","",IF(Data!G666=Data_Val!$C$2,IF(Data!L666="",0,1),0))</f>
        <v/>
      </c>
      <c r="M676" s="16" t="str">
        <f>IF(Data!L666="","",IF(ISNUMBER(MATCH(Data!M666,Data_Val!$A$2:$A$3,0)),0,1))</f>
        <v/>
      </c>
      <c r="N676" s="43" t="str">
        <f ca="1">IF(Data!L666="","",IF(ISNUMBER(Data!N666),IF(AND(Data!N666&gt;(TODAY()-(Data_Val!$L$3*365.25)),Data!N666&lt;=(TODAY()-(Data_Val!$L$2*365.25))),0,1),1))</f>
        <v/>
      </c>
      <c r="O676" s="18" t="str">
        <f>IF(Data!$G666="","",IF(Data!$G666=Data_Val!$C$2,IF(Data!O666="",0,1),0))</f>
        <v/>
      </c>
      <c r="P676" s="18" t="str">
        <f>IF(Data!O666="","",IF(ISNUMBER(MATCH(Data!P666,Data_Val!$A$2:$A$3,0)),0,1))</f>
        <v/>
      </c>
      <c r="Q676" s="44" t="str">
        <f ca="1">IF(Data!O666="","",IF(ISNUMBER(Data!Q666),IF(AND(Data!Q666&gt;(TODAY()-(Data_Val!$L$3*365.25)),Data!Q666&lt;=(TODAY()-(Data_Val!$L$2*365.25))),0,1),1))</f>
        <v/>
      </c>
    </row>
    <row r="677" spans="1:17" ht="12" customHeight="1" x14ac:dyDescent="0.25">
      <c r="A677" s="36" t="str">
        <f>IF(Data!B667="","",IF(COUNTIFS(Data!A$1:'Data'!A667,Data!A667)&lt;=1,0,1))</f>
        <v/>
      </c>
      <c r="B677" s="36"/>
      <c r="C677" s="36" t="str">
        <f>IF(Data!C667="","",(IF(ISNUMBER(MATCH("*@*.?*",Data!C667,0)),0,1)+IF(COUNTIFS(Data!C$1:'Data'!C667,Data!C667)&gt;1,1,0)))</f>
        <v/>
      </c>
      <c r="D677" s="36" t="str">
        <f>IF(Data!B667="","",IF(ISNUMBER(Data!D667),IF(AND(Data!D667&gt;999999999,Data!D667&lt;=9999999999),IF(COUNTIFS(Data!D$1:'Data'!D667,Data!D667)&lt;=1,0,1),1),1))</f>
        <v/>
      </c>
      <c r="E677" s="36" t="str">
        <f>IF(Data!B667="","",IF(ISNUMBER(MATCH(Data!E667,Data_Val!$A$2:$A$3,0)),0,1))</f>
        <v/>
      </c>
      <c r="F677" s="36" t="str">
        <f ca="1">IF(Data!B667="","",IF(ISNUMBER(Data!F667),IF(AND(Data!F667&gt;(TODAY()-(Data_Val!$H$3*365.25)),Data!F667&lt;=(TODAY()-(Data_Val!$H$2*365.25))),0,1),1))</f>
        <v/>
      </c>
      <c r="G677" s="12" t="str">
        <f>IF(Data!B667="","",IF(AND(Data!G667="",Data!H667&lt;&gt;""),1,IF(ISNUMBER(MATCH(Data!G667,Data_Val!$C$2:$C$5,0)),0,1)))</f>
        <v/>
      </c>
      <c r="H677" s="12" t="str">
        <f>IF(Data!B667="","",IF(AND(Data!G667&lt;&gt;"",Data!H667=""),1,IF(Data!G667="",1,IF(ISNUMBER(MATCH(Data!H667,Data_Val!$D$2:$D$35,0)),0,1))))</f>
        <v/>
      </c>
      <c r="I677" s="38" t="str">
        <f>IF(Data!G667="","",IF(Data!G667=Data_Val!$C$2,IF(Data!I667="",0,1),0))</f>
        <v/>
      </c>
      <c r="J677" s="38" t="str">
        <f>IF(Data!I667="","",IF(ISNUMBER(MATCH(Data!J667,Data_Val!$A$2:$A$3,0)),0,1))</f>
        <v/>
      </c>
      <c r="K677" s="38" t="str">
        <f ca="1">IF(Data!I667="","",IF(ISNUMBER(Data!K667),IF(AND(Data!K667&gt;(TODAY()-(Data_Val!$K$3*365.25)),Data!K667&lt;=(TODAY()-(Data_Val!$K$2*365.25))),0,1),1))</f>
        <v/>
      </c>
      <c r="L677" s="16" t="str">
        <f>IF(Data!G667="","",IF(Data!G667=Data_Val!$C$2,IF(Data!L667="",0,1),0))</f>
        <v/>
      </c>
      <c r="M677" s="16" t="str">
        <f>IF(Data!L667="","",IF(ISNUMBER(MATCH(Data!M667,Data_Val!$A$2:$A$3,0)),0,1))</f>
        <v/>
      </c>
      <c r="N677" s="43" t="str">
        <f ca="1">IF(Data!L667="","",IF(ISNUMBER(Data!N667),IF(AND(Data!N667&gt;(TODAY()-(Data_Val!$L$3*365.25)),Data!N667&lt;=(TODAY()-(Data_Val!$L$2*365.25))),0,1),1))</f>
        <v/>
      </c>
      <c r="O677" s="18" t="str">
        <f>IF(Data!$G667="","",IF(Data!$G667=Data_Val!$C$2,IF(Data!O667="",0,1),0))</f>
        <v/>
      </c>
      <c r="P677" s="18" t="str">
        <f>IF(Data!O667="","",IF(ISNUMBER(MATCH(Data!P667,Data_Val!$A$2:$A$3,0)),0,1))</f>
        <v/>
      </c>
      <c r="Q677" s="44" t="str">
        <f ca="1">IF(Data!O667="","",IF(ISNUMBER(Data!Q667),IF(AND(Data!Q667&gt;(TODAY()-(Data_Val!$L$3*365.25)),Data!Q667&lt;=(TODAY()-(Data_Val!$L$2*365.25))),0,1),1))</f>
        <v/>
      </c>
    </row>
    <row r="678" spans="1:17" ht="12" customHeight="1" x14ac:dyDescent="0.25">
      <c r="A678" s="36" t="str">
        <f>IF(Data!B668="","",IF(COUNTIFS(Data!A$1:'Data'!A668,Data!A668)&lt;=1,0,1))</f>
        <v/>
      </c>
      <c r="B678" s="36"/>
      <c r="C678" s="36" t="str">
        <f>IF(Data!C668="","",(IF(ISNUMBER(MATCH("*@*.?*",Data!C668,0)),0,1)+IF(COUNTIFS(Data!C$1:'Data'!C668,Data!C668)&gt;1,1,0)))</f>
        <v/>
      </c>
      <c r="D678" s="36" t="str">
        <f>IF(Data!B668="","",IF(ISNUMBER(Data!D668),IF(AND(Data!D668&gt;999999999,Data!D668&lt;=9999999999),IF(COUNTIFS(Data!D$1:'Data'!D668,Data!D668)&lt;=1,0,1),1),1))</f>
        <v/>
      </c>
      <c r="E678" s="36" t="str">
        <f>IF(Data!B668="","",IF(ISNUMBER(MATCH(Data!E668,Data_Val!$A$2:$A$3,0)),0,1))</f>
        <v/>
      </c>
      <c r="F678" s="36" t="str">
        <f ca="1">IF(Data!B668="","",IF(ISNUMBER(Data!F668),IF(AND(Data!F668&gt;(TODAY()-(Data_Val!$H$3*365.25)),Data!F668&lt;=(TODAY()-(Data_Val!$H$2*365.25))),0,1),1))</f>
        <v/>
      </c>
      <c r="G678" s="12" t="str">
        <f>IF(Data!B668="","",IF(AND(Data!G668="",Data!H668&lt;&gt;""),1,IF(ISNUMBER(MATCH(Data!G668,Data_Val!$C$2:$C$5,0)),0,1)))</f>
        <v/>
      </c>
      <c r="H678" s="12" t="str">
        <f>IF(Data!B668="","",IF(AND(Data!G668&lt;&gt;"",Data!H668=""),1,IF(Data!G668="",1,IF(ISNUMBER(MATCH(Data!H668,Data_Val!$D$2:$D$35,0)),0,1))))</f>
        <v/>
      </c>
      <c r="I678" s="38" t="str">
        <f>IF(Data!G668="","",IF(Data!G668=Data_Val!$C$2,IF(Data!I668="",0,1),0))</f>
        <v/>
      </c>
      <c r="J678" s="38" t="str">
        <f>IF(Data!I668="","",IF(ISNUMBER(MATCH(Data!J668,Data_Val!$A$2:$A$3,0)),0,1))</f>
        <v/>
      </c>
      <c r="K678" s="38" t="str">
        <f ca="1">IF(Data!I668="","",IF(ISNUMBER(Data!K668),IF(AND(Data!K668&gt;(TODAY()-(Data_Val!$K$3*365.25)),Data!K668&lt;=(TODAY()-(Data_Val!$K$2*365.25))),0,1),1))</f>
        <v/>
      </c>
      <c r="L678" s="16" t="str">
        <f>IF(Data!G668="","",IF(Data!G668=Data_Val!$C$2,IF(Data!L668="",0,1),0))</f>
        <v/>
      </c>
      <c r="M678" s="16" t="str">
        <f>IF(Data!L668="","",IF(ISNUMBER(MATCH(Data!M668,Data_Val!$A$2:$A$3,0)),0,1))</f>
        <v/>
      </c>
      <c r="N678" s="43" t="str">
        <f ca="1">IF(Data!L668="","",IF(ISNUMBER(Data!N668),IF(AND(Data!N668&gt;(TODAY()-(Data_Val!$L$3*365.25)),Data!N668&lt;=(TODAY()-(Data_Val!$L$2*365.25))),0,1),1))</f>
        <v/>
      </c>
      <c r="O678" s="18" t="str">
        <f>IF(Data!$G668="","",IF(Data!$G668=Data_Val!$C$2,IF(Data!O668="",0,1),0))</f>
        <v/>
      </c>
      <c r="P678" s="18" t="str">
        <f>IF(Data!O668="","",IF(ISNUMBER(MATCH(Data!P668,Data_Val!$A$2:$A$3,0)),0,1))</f>
        <v/>
      </c>
      <c r="Q678" s="44" t="str">
        <f ca="1">IF(Data!O668="","",IF(ISNUMBER(Data!Q668),IF(AND(Data!Q668&gt;(TODAY()-(Data_Val!$L$3*365.25)),Data!Q668&lt;=(TODAY()-(Data_Val!$L$2*365.25))),0,1),1))</f>
        <v/>
      </c>
    </row>
    <row r="679" spans="1:17" ht="12" customHeight="1" x14ac:dyDescent="0.25">
      <c r="A679" s="36" t="str">
        <f>IF(Data!B669="","",IF(COUNTIFS(Data!A$1:'Data'!A669,Data!A669)&lt;=1,0,1))</f>
        <v/>
      </c>
      <c r="B679" s="36"/>
      <c r="C679" s="36" t="str">
        <f>IF(Data!C669="","",(IF(ISNUMBER(MATCH("*@*.?*",Data!C669,0)),0,1)+IF(COUNTIFS(Data!C$1:'Data'!C669,Data!C669)&gt;1,1,0)))</f>
        <v/>
      </c>
      <c r="D679" s="36" t="str">
        <f>IF(Data!B669="","",IF(ISNUMBER(Data!D669),IF(AND(Data!D669&gt;999999999,Data!D669&lt;=9999999999),IF(COUNTIFS(Data!D$1:'Data'!D669,Data!D669)&lt;=1,0,1),1),1))</f>
        <v/>
      </c>
      <c r="E679" s="36" t="str">
        <f>IF(Data!B669="","",IF(ISNUMBER(MATCH(Data!E669,Data_Val!$A$2:$A$3,0)),0,1))</f>
        <v/>
      </c>
      <c r="F679" s="36" t="str">
        <f ca="1">IF(Data!B669="","",IF(ISNUMBER(Data!F669),IF(AND(Data!F669&gt;(TODAY()-(Data_Val!$H$3*365.25)),Data!F669&lt;=(TODAY()-(Data_Val!$H$2*365.25))),0,1),1))</f>
        <v/>
      </c>
      <c r="G679" s="12" t="str">
        <f>IF(Data!B669="","",IF(AND(Data!G669="",Data!H669&lt;&gt;""),1,IF(ISNUMBER(MATCH(Data!G669,Data_Val!$C$2:$C$5,0)),0,1)))</f>
        <v/>
      </c>
      <c r="H679" s="12" t="str">
        <f>IF(Data!B669="","",IF(AND(Data!G669&lt;&gt;"",Data!H669=""),1,IF(Data!G669="",1,IF(ISNUMBER(MATCH(Data!H669,Data_Val!$D$2:$D$35,0)),0,1))))</f>
        <v/>
      </c>
      <c r="I679" s="38" t="str">
        <f>IF(Data!G669="","",IF(Data!G669=Data_Val!$C$2,IF(Data!I669="",0,1),0))</f>
        <v/>
      </c>
      <c r="J679" s="38" t="str">
        <f>IF(Data!I669="","",IF(ISNUMBER(MATCH(Data!J669,Data_Val!$A$2:$A$3,0)),0,1))</f>
        <v/>
      </c>
      <c r="K679" s="38" t="str">
        <f ca="1">IF(Data!I669="","",IF(ISNUMBER(Data!K669),IF(AND(Data!K669&gt;(TODAY()-(Data_Val!$K$3*365.25)),Data!K669&lt;=(TODAY()-(Data_Val!$K$2*365.25))),0,1),1))</f>
        <v/>
      </c>
      <c r="L679" s="16" t="str">
        <f>IF(Data!G669="","",IF(Data!G669=Data_Val!$C$2,IF(Data!L669="",0,1),0))</f>
        <v/>
      </c>
      <c r="M679" s="16" t="str">
        <f>IF(Data!L669="","",IF(ISNUMBER(MATCH(Data!M669,Data_Val!$A$2:$A$3,0)),0,1))</f>
        <v/>
      </c>
      <c r="N679" s="43" t="str">
        <f ca="1">IF(Data!L669="","",IF(ISNUMBER(Data!N669),IF(AND(Data!N669&gt;(TODAY()-(Data_Val!$L$3*365.25)),Data!N669&lt;=(TODAY()-(Data_Val!$L$2*365.25))),0,1),1))</f>
        <v/>
      </c>
      <c r="O679" s="18" t="str">
        <f>IF(Data!$G669="","",IF(Data!$G669=Data_Val!$C$2,IF(Data!O669="",0,1),0))</f>
        <v/>
      </c>
      <c r="P679" s="18" t="str">
        <f>IF(Data!O669="","",IF(ISNUMBER(MATCH(Data!P669,Data_Val!$A$2:$A$3,0)),0,1))</f>
        <v/>
      </c>
      <c r="Q679" s="44" t="str">
        <f ca="1">IF(Data!O669="","",IF(ISNUMBER(Data!Q669),IF(AND(Data!Q669&gt;(TODAY()-(Data_Val!$L$3*365.25)),Data!Q669&lt;=(TODAY()-(Data_Val!$L$2*365.25))),0,1),1))</f>
        <v/>
      </c>
    </row>
    <row r="680" spans="1:17" ht="12" customHeight="1" x14ac:dyDescent="0.25">
      <c r="A680" s="36" t="str">
        <f>IF(Data!B670="","",IF(COUNTIFS(Data!A$1:'Data'!A670,Data!A670)&lt;=1,0,1))</f>
        <v/>
      </c>
      <c r="B680" s="36"/>
      <c r="C680" s="36" t="str">
        <f>IF(Data!C670="","",(IF(ISNUMBER(MATCH("*@*.?*",Data!C670,0)),0,1)+IF(COUNTIFS(Data!C$1:'Data'!C670,Data!C670)&gt;1,1,0)))</f>
        <v/>
      </c>
      <c r="D680" s="36" t="str">
        <f>IF(Data!B670="","",IF(ISNUMBER(Data!D670),IF(AND(Data!D670&gt;999999999,Data!D670&lt;=9999999999),IF(COUNTIFS(Data!D$1:'Data'!D670,Data!D670)&lt;=1,0,1),1),1))</f>
        <v/>
      </c>
      <c r="E680" s="36" t="str">
        <f>IF(Data!B670="","",IF(ISNUMBER(MATCH(Data!E670,Data_Val!$A$2:$A$3,0)),0,1))</f>
        <v/>
      </c>
      <c r="F680" s="36" t="str">
        <f ca="1">IF(Data!B670="","",IF(ISNUMBER(Data!F670),IF(AND(Data!F670&gt;(TODAY()-(Data_Val!$H$3*365.25)),Data!F670&lt;=(TODAY()-(Data_Val!$H$2*365.25))),0,1),1))</f>
        <v/>
      </c>
      <c r="G680" s="12" t="str">
        <f>IF(Data!B670="","",IF(AND(Data!G670="",Data!H670&lt;&gt;""),1,IF(ISNUMBER(MATCH(Data!G670,Data_Val!$C$2:$C$5,0)),0,1)))</f>
        <v/>
      </c>
      <c r="H680" s="12" t="str">
        <f>IF(Data!B670="","",IF(AND(Data!G670&lt;&gt;"",Data!H670=""),1,IF(Data!G670="",1,IF(ISNUMBER(MATCH(Data!H670,Data_Val!$D$2:$D$35,0)),0,1))))</f>
        <v/>
      </c>
      <c r="I680" s="38" t="str">
        <f>IF(Data!G670="","",IF(Data!G670=Data_Val!$C$2,IF(Data!I670="",0,1),0))</f>
        <v/>
      </c>
      <c r="J680" s="38" t="str">
        <f>IF(Data!I670="","",IF(ISNUMBER(MATCH(Data!J670,Data_Val!$A$2:$A$3,0)),0,1))</f>
        <v/>
      </c>
      <c r="K680" s="38" t="str">
        <f ca="1">IF(Data!I670="","",IF(ISNUMBER(Data!K670),IF(AND(Data!K670&gt;(TODAY()-(Data_Val!$K$3*365.25)),Data!K670&lt;=(TODAY()-(Data_Val!$K$2*365.25))),0,1),1))</f>
        <v/>
      </c>
      <c r="L680" s="16" t="str">
        <f>IF(Data!G670="","",IF(Data!G670=Data_Val!$C$2,IF(Data!L670="",0,1),0))</f>
        <v/>
      </c>
      <c r="M680" s="16" t="str">
        <f>IF(Data!L670="","",IF(ISNUMBER(MATCH(Data!M670,Data_Val!$A$2:$A$3,0)),0,1))</f>
        <v/>
      </c>
      <c r="N680" s="43" t="str">
        <f ca="1">IF(Data!L670="","",IF(ISNUMBER(Data!N670),IF(AND(Data!N670&gt;(TODAY()-(Data_Val!$L$3*365.25)),Data!N670&lt;=(TODAY()-(Data_Val!$L$2*365.25))),0,1),1))</f>
        <v/>
      </c>
      <c r="O680" s="18" t="str">
        <f>IF(Data!$G670="","",IF(Data!$G670=Data_Val!$C$2,IF(Data!O670="",0,1),0))</f>
        <v/>
      </c>
      <c r="P680" s="18" t="str">
        <f>IF(Data!O670="","",IF(ISNUMBER(MATCH(Data!P670,Data_Val!$A$2:$A$3,0)),0,1))</f>
        <v/>
      </c>
      <c r="Q680" s="44" t="str">
        <f ca="1">IF(Data!O670="","",IF(ISNUMBER(Data!Q670),IF(AND(Data!Q670&gt;(TODAY()-(Data_Val!$L$3*365.25)),Data!Q670&lt;=(TODAY()-(Data_Val!$L$2*365.25))),0,1),1))</f>
        <v/>
      </c>
    </row>
    <row r="681" spans="1:17" ht="12" customHeight="1" x14ac:dyDescent="0.25">
      <c r="A681" s="36" t="str">
        <f>IF(Data!B671="","",IF(COUNTIFS(Data!A$1:'Data'!A671,Data!A671)&lt;=1,0,1))</f>
        <v/>
      </c>
      <c r="B681" s="36"/>
      <c r="C681" s="36" t="str">
        <f>IF(Data!C671="","",(IF(ISNUMBER(MATCH("*@*.?*",Data!C671,0)),0,1)+IF(COUNTIFS(Data!C$1:'Data'!C671,Data!C671)&gt;1,1,0)))</f>
        <v/>
      </c>
      <c r="D681" s="36" t="str">
        <f>IF(Data!B671="","",IF(ISNUMBER(Data!D671),IF(AND(Data!D671&gt;999999999,Data!D671&lt;=9999999999),IF(COUNTIFS(Data!D$1:'Data'!D671,Data!D671)&lt;=1,0,1),1),1))</f>
        <v/>
      </c>
      <c r="E681" s="36" t="str">
        <f>IF(Data!B671="","",IF(ISNUMBER(MATCH(Data!E671,Data_Val!$A$2:$A$3,0)),0,1))</f>
        <v/>
      </c>
      <c r="F681" s="36" t="str">
        <f ca="1">IF(Data!B671="","",IF(ISNUMBER(Data!F671),IF(AND(Data!F671&gt;(TODAY()-(Data_Val!$H$3*365.25)),Data!F671&lt;=(TODAY()-(Data_Val!$H$2*365.25))),0,1),1))</f>
        <v/>
      </c>
      <c r="G681" s="12" t="str">
        <f>IF(Data!B671="","",IF(AND(Data!G671="",Data!H671&lt;&gt;""),1,IF(ISNUMBER(MATCH(Data!G671,Data_Val!$C$2:$C$5,0)),0,1)))</f>
        <v/>
      </c>
      <c r="H681" s="12" t="str">
        <f>IF(Data!B671="","",IF(AND(Data!G671&lt;&gt;"",Data!H671=""),1,IF(Data!G671="",1,IF(ISNUMBER(MATCH(Data!H671,Data_Val!$D$2:$D$35,0)),0,1))))</f>
        <v/>
      </c>
      <c r="I681" s="38" t="str">
        <f>IF(Data!G671="","",IF(Data!G671=Data_Val!$C$2,IF(Data!I671="",0,1),0))</f>
        <v/>
      </c>
      <c r="J681" s="38" t="str">
        <f>IF(Data!I671="","",IF(ISNUMBER(MATCH(Data!J671,Data_Val!$A$2:$A$3,0)),0,1))</f>
        <v/>
      </c>
      <c r="K681" s="38" t="str">
        <f ca="1">IF(Data!I671="","",IF(ISNUMBER(Data!K671),IF(AND(Data!K671&gt;(TODAY()-(Data_Val!$K$3*365.25)),Data!K671&lt;=(TODAY()-(Data_Val!$K$2*365.25))),0,1),1))</f>
        <v/>
      </c>
      <c r="L681" s="16" t="str">
        <f>IF(Data!G671="","",IF(Data!G671=Data_Val!$C$2,IF(Data!L671="",0,1),0))</f>
        <v/>
      </c>
      <c r="M681" s="16" t="str">
        <f>IF(Data!L671="","",IF(ISNUMBER(MATCH(Data!M671,Data_Val!$A$2:$A$3,0)),0,1))</f>
        <v/>
      </c>
      <c r="N681" s="43" t="str">
        <f ca="1">IF(Data!L671="","",IF(ISNUMBER(Data!N671),IF(AND(Data!N671&gt;(TODAY()-(Data_Val!$L$3*365.25)),Data!N671&lt;=(TODAY()-(Data_Val!$L$2*365.25))),0,1),1))</f>
        <v/>
      </c>
      <c r="O681" s="18" t="str">
        <f>IF(Data!$G671="","",IF(Data!$G671=Data_Val!$C$2,IF(Data!O671="",0,1),0))</f>
        <v/>
      </c>
      <c r="P681" s="18" t="str">
        <f>IF(Data!O671="","",IF(ISNUMBER(MATCH(Data!P671,Data_Val!$A$2:$A$3,0)),0,1))</f>
        <v/>
      </c>
      <c r="Q681" s="44" t="str">
        <f ca="1">IF(Data!O671="","",IF(ISNUMBER(Data!Q671),IF(AND(Data!Q671&gt;(TODAY()-(Data_Val!$L$3*365.25)),Data!Q671&lt;=(TODAY()-(Data_Val!$L$2*365.25))),0,1),1))</f>
        <v/>
      </c>
    </row>
    <row r="682" spans="1:17" ht="12" customHeight="1" x14ac:dyDescent="0.25">
      <c r="A682" s="36" t="str">
        <f>IF(Data!B672="","",IF(COUNTIFS(Data!A$1:'Data'!A672,Data!A672)&lt;=1,0,1))</f>
        <v/>
      </c>
      <c r="B682" s="36"/>
      <c r="C682" s="36" t="str">
        <f>IF(Data!C672="","",(IF(ISNUMBER(MATCH("*@*.?*",Data!C672,0)),0,1)+IF(COUNTIFS(Data!C$1:'Data'!C672,Data!C672)&gt;1,1,0)))</f>
        <v/>
      </c>
      <c r="D682" s="36" t="str">
        <f>IF(Data!B672="","",IF(ISNUMBER(Data!D672),IF(AND(Data!D672&gt;999999999,Data!D672&lt;=9999999999),IF(COUNTIFS(Data!D$1:'Data'!D672,Data!D672)&lt;=1,0,1),1),1))</f>
        <v/>
      </c>
      <c r="E682" s="36" t="str">
        <f>IF(Data!B672="","",IF(ISNUMBER(MATCH(Data!E672,Data_Val!$A$2:$A$3,0)),0,1))</f>
        <v/>
      </c>
      <c r="F682" s="36" t="str">
        <f ca="1">IF(Data!B672="","",IF(ISNUMBER(Data!F672),IF(AND(Data!F672&gt;(TODAY()-(Data_Val!$H$3*365.25)),Data!F672&lt;=(TODAY()-(Data_Val!$H$2*365.25))),0,1),1))</f>
        <v/>
      </c>
      <c r="G682" s="12" t="str">
        <f>IF(Data!B672="","",IF(AND(Data!G672="",Data!H672&lt;&gt;""),1,IF(ISNUMBER(MATCH(Data!G672,Data_Val!$C$2:$C$5,0)),0,1)))</f>
        <v/>
      </c>
      <c r="H682" s="12" t="str">
        <f>IF(Data!B672="","",IF(AND(Data!G672&lt;&gt;"",Data!H672=""),1,IF(Data!G672="",1,IF(ISNUMBER(MATCH(Data!H672,Data_Val!$D$2:$D$35,0)),0,1))))</f>
        <v/>
      </c>
      <c r="I682" s="38" t="str">
        <f>IF(Data!G672="","",IF(Data!G672=Data_Val!$C$2,IF(Data!I672="",0,1),0))</f>
        <v/>
      </c>
      <c r="J682" s="38" t="str">
        <f>IF(Data!I672="","",IF(ISNUMBER(MATCH(Data!J672,Data_Val!$A$2:$A$3,0)),0,1))</f>
        <v/>
      </c>
      <c r="K682" s="38" t="str">
        <f ca="1">IF(Data!I672="","",IF(ISNUMBER(Data!K672),IF(AND(Data!K672&gt;(TODAY()-(Data_Val!$K$3*365.25)),Data!K672&lt;=(TODAY()-(Data_Val!$K$2*365.25))),0,1),1))</f>
        <v/>
      </c>
      <c r="L682" s="16" t="str">
        <f>IF(Data!G672="","",IF(Data!G672=Data_Val!$C$2,IF(Data!L672="",0,1),0))</f>
        <v/>
      </c>
      <c r="M682" s="16" t="str">
        <f>IF(Data!L672="","",IF(ISNUMBER(MATCH(Data!M672,Data_Val!$A$2:$A$3,0)),0,1))</f>
        <v/>
      </c>
      <c r="N682" s="43" t="str">
        <f ca="1">IF(Data!L672="","",IF(ISNUMBER(Data!N672),IF(AND(Data!N672&gt;(TODAY()-(Data_Val!$L$3*365.25)),Data!N672&lt;=(TODAY()-(Data_Val!$L$2*365.25))),0,1),1))</f>
        <v/>
      </c>
      <c r="O682" s="18" t="str">
        <f>IF(Data!$G672="","",IF(Data!$G672=Data_Val!$C$2,IF(Data!O672="",0,1),0))</f>
        <v/>
      </c>
      <c r="P682" s="18" t="str">
        <f>IF(Data!O672="","",IF(ISNUMBER(MATCH(Data!P672,Data_Val!$A$2:$A$3,0)),0,1))</f>
        <v/>
      </c>
      <c r="Q682" s="44" t="str">
        <f ca="1">IF(Data!O672="","",IF(ISNUMBER(Data!Q672),IF(AND(Data!Q672&gt;(TODAY()-(Data_Val!$L$3*365.25)),Data!Q672&lt;=(TODAY()-(Data_Val!$L$2*365.25))),0,1),1))</f>
        <v/>
      </c>
    </row>
    <row r="683" spans="1:17" ht="12" customHeight="1" x14ac:dyDescent="0.25">
      <c r="A683" s="36" t="str">
        <f>IF(Data!B673="","",IF(COUNTIFS(Data!A$1:'Data'!A673,Data!A673)&lt;=1,0,1))</f>
        <v/>
      </c>
      <c r="B683" s="36"/>
      <c r="C683" s="36" t="str">
        <f>IF(Data!C673="","",(IF(ISNUMBER(MATCH("*@*.?*",Data!C673,0)),0,1)+IF(COUNTIFS(Data!C$1:'Data'!C673,Data!C673)&gt;1,1,0)))</f>
        <v/>
      </c>
      <c r="D683" s="36" t="str">
        <f>IF(Data!B673="","",IF(ISNUMBER(Data!D673),IF(AND(Data!D673&gt;999999999,Data!D673&lt;=9999999999),IF(COUNTIFS(Data!D$1:'Data'!D673,Data!D673)&lt;=1,0,1),1),1))</f>
        <v/>
      </c>
      <c r="E683" s="36" t="str">
        <f>IF(Data!B673="","",IF(ISNUMBER(MATCH(Data!E673,Data_Val!$A$2:$A$3,0)),0,1))</f>
        <v/>
      </c>
      <c r="F683" s="36" t="str">
        <f ca="1">IF(Data!B673="","",IF(ISNUMBER(Data!F673),IF(AND(Data!F673&gt;(TODAY()-(Data_Val!$H$3*365.25)),Data!F673&lt;=(TODAY()-(Data_Val!$H$2*365.25))),0,1),1))</f>
        <v/>
      </c>
      <c r="G683" s="12" t="str">
        <f>IF(Data!B673="","",IF(AND(Data!G673="",Data!H673&lt;&gt;""),1,IF(ISNUMBER(MATCH(Data!G673,Data_Val!$C$2:$C$5,0)),0,1)))</f>
        <v/>
      </c>
      <c r="H683" s="12" t="str">
        <f>IF(Data!B673="","",IF(AND(Data!G673&lt;&gt;"",Data!H673=""),1,IF(Data!G673="",1,IF(ISNUMBER(MATCH(Data!H673,Data_Val!$D$2:$D$35,0)),0,1))))</f>
        <v/>
      </c>
      <c r="I683" s="38" t="str">
        <f>IF(Data!G673="","",IF(Data!G673=Data_Val!$C$2,IF(Data!I673="",0,1),0))</f>
        <v/>
      </c>
      <c r="J683" s="38" t="str">
        <f>IF(Data!I673="","",IF(ISNUMBER(MATCH(Data!J673,Data_Val!$A$2:$A$3,0)),0,1))</f>
        <v/>
      </c>
      <c r="K683" s="38" t="str">
        <f ca="1">IF(Data!I673="","",IF(ISNUMBER(Data!K673),IF(AND(Data!K673&gt;(TODAY()-(Data_Val!$K$3*365.25)),Data!K673&lt;=(TODAY()-(Data_Val!$K$2*365.25))),0,1),1))</f>
        <v/>
      </c>
      <c r="L683" s="16" t="str">
        <f>IF(Data!G673="","",IF(Data!G673=Data_Val!$C$2,IF(Data!L673="",0,1),0))</f>
        <v/>
      </c>
      <c r="M683" s="16" t="str">
        <f>IF(Data!L673="","",IF(ISNUMBER(MATCH(Data!M673,Data_Val!$A$2:$A$3,0)),0,1))</f>
        <v/>
      </c>
      <c r="N683" s="43" t="str">
        <f ca="1">IF(Data!L673="","",IF(ISNUMBER(Data!N673),IF(AND(Data!N673&gt;(TODAY()-(Data_Val!$L$3*365.25)),Data!N673&lt;=(TODAY()-(Data_Val!$L$2*365.25))),0,1),1))</f>
        <v/>
      </c>
      <c r="O683" s="18" t="str">
        <f>IF(Data!$G673="","",IF(Data!$G673=Data_Val!$C$2,IF(Data!O673="",0,1),0))</f>
        <v/>
      </c>
      <c r="P683" s="18" t="str">
        <f>IF(Data!O673="","",IF(ISNUMBER(MATCH(Data!P673,Data_Val!$A$2:$A$3,0)),0,1))</f>
        <v/>
      </c>
      <c r="Q683" s="44" t="str">
        <f ca="1">IF(Data!O673="","",IF(ISNUMBER(Data!Q673),IF(AND(Data!Q673&gt;(TODAY()-(Data_Val!$L$3*365.25)),Data!Q673&lt;=(TODAY()-(Data_Val!$L$2*365.25))),0,1),1))</f>
        <v/>
      </c>
    </row>
    <row r="684" spans="1:17" ht="12" customHeight="1" x14ac:dyDescent="0.25">
      <c r="A684" s="36" t="str">
        <f>IF(Data!B674="","",IF(COUNTIFS(Data!A$1:'Data'!A674,Data!A674)&lt;=1,0,1))</f>
        <v/>
      </c>
      <c r="B684" s="36"/>
      <c r="C684" s="36" t="str">
        <f>IF(Data!C674="","",(IF(ISNUMBER(MATCH("*@*.?*",Data!C674,0)),0,1)+IF(COUNTIFS(Data!C$1:'Data'!C674,Data!C674)&gt;1,1,0)))</f>
        <v/>
      </c>
      <c r="D684" s="36" t="str">
        <f>IF(Data!B674="","",IF(ISNUMBER(Data!D674),IF(AND(Data!D674&gt;999999999,Data!D674&lt;=9999999999),IF(COUNTIFS(Data!D$1:'Data'!D674,Data!D674)&lt;=1,0,1),1),1))</f>
        <v/>
      </c>
      <c r="E684" s="36" t="str">
        <f>IF(Data!B674="","",IF(ISNUMBER(MATCH(Data!E674,Data_Val!$A$2:$A$3,0)),0,1))</f>
        <v/>
      </c>
      <c r="F684" s="36" t="str">
        <f ca="1">IF(Data!B674="","",IF(ISNUMBER(Data!F674),IF(AND(Data!F674&gt;(TODAY()-(Data_Val!$H$3*365.25)),Data!F674&lt;=(TODAY()-(Data_Val!$H$2*365.25))),0,1),1))</f>
        <v/>
      </c>
      <c r="G684" s="12" t="str">
        <f>IF(Data!B674="","",IF(AND(Data!G674="",Data!H674&lt;&gt;""),1,IF(ISNUMBER(MATCH(Data!G674,Data_Val!$C$2:$C$5,0)),0,1)))</f>
        <v/>
      </c>
      <c r="H684" s="12" t="str">
        <f>IF(Data!B674="","",IF(AND(Data!G674&lt;&gt;"",Data!H674=""),1,IF(Data!G674="",1,IF(ISNUMBER(MATCH(Data!H674,Data_Val!$D$2:$D$35,0)),0,1))))</f>
        <v/>
      </c>
      <c r="I684" s="38" t="str">
        <f>IF(Data!G674="","",IF(Data!G674=Data_Val!$C$2,IF(Data!I674="",0,1),0))</f>
        <v/>
      </c>
      <c r="J684" s="38" t="str">
        <f>IF(Data!I674="","",IF(ISNUMBER(MATCH(Data!J674,Data_Val!$A$2:$A$3,0)),0,1))</f>
        <v/>
      </c>
      <c r="K684" s="38" t="str">
        <f ca="1">IF(Data!I674="","",IF(ISNUMBER(Data!K674),IF(AND(Data!K674&gt;(TODAY()-(Data_Val!$K$3*365.25)),Data!K674&lt;=(TODAY()-(Data_Val!$K$2*365.25))),0,1),1))</f>
        <v/>
      </c>
      <c r="L684" s="16" t="str">
        <f>IF(Data!G674="","",IF(Data!G674=Data_Val!$C$2,IF(Data!L674="",0,1),0))</f>
        <v/>
      </c>
      <c r="M684" s="16" t="str">
        <f>IF(Data!L674="","",IF(ISNUMBER(MATCH(Data!M674,Data_Val!$A$2:$A$3,0)),0,1))</f>
        <v/>
      </c>
      <c r="N684" s="43" t="str">
        <f ca="1">IF(Data!L674="","",IF(ISNUMBER(Data!N674),IF(AND(Data!N674&gt;(TODAY()-(Data_Val!$L$3*365.25)),Data!N674&lt;=(TODAY()-(Data_Val!$L$2*365.25))),0,1),1))</f>
        <v/>
      </c>
      <c r="O684" s="18" t="str">
        <f>IF(Data!$G674="","",IF(Data!$G674=Data_Val!$C$2,IF(Data!O674="",0,1),0))</f>
        <v/>
      </c>
      <c r="P684" s="18" t="str">
        <f>IF(Data!O674="","",IF(ISNUMBER(MATCH(Data!P674,Data_Val!$A$2:$A$3,0)),0,1))</f>
        <v/>
      </c>
      <c r="Q684" s="44" t="str">
        <f ca="1">IF(Data!O674="","",IF(ISNUMBER(Data!Q674),IF(AND(Data!Q674&gt;(TODAY()-(Data_Val!$L$3*365.25)),Data!Q674&lt;=(TODAY()-(Data_Val!$L$2*365.25))),0,1),1))</f>
        <v/>
      </c>
    </row>
    <row r="685" spans="1:17" ht="12" customHeight="1" x14ac:dyDescent="0.25">
      <c r="A685" s="36" t="str">
        <f>IF(Data!B675="","",IF(COUNTIFS(Data!A$1:'Data'!A675,Data!A675)&lt;=1,0,1))</f>
        <v/>
      </c>
      <c r="B685" s="36"/>
      <c r="C685" s="36" t="str">
        <f>IF(Data!C675="","",(IF(ISNUMBER(MATCH("*@*.?*",Data!C675,0)),0,1)+IF(COUNTIFS(Data!C$1:'Data'!C675,Data!C675)&gt;1,1,0)))</f>
        <v/>
      </c>
      <c r="D685" s="36" t="str">
        <f>IF(Data!B675="","",IF(ISNUMBER(Data!D675),IF(AND(Data!D675&gt;999999999,Data!D675&lt;=9999999999),IF(COUNTIFS(Data!D$1:'Data'!D675,Data!D675)&lt;=1,0,1),1),1))</f>
        <v/>
      </c>
      <c r="E685" s="36" t="str">
        <f>IF(Data!B675="","",IF(ISNUMBER(MATCH(Data!E675,Data_Val!$A$2:$A$3,0)),0,1))</f>
        <v/>
      </c>
      <c r="F685" s="36" t="str">
        <f ca="1">IF(Data!B675="","",IF(ISNUMBER(Data!F675),IF(AND(Data!F675&gt;(TODAY()-(Data_Val!$H$3*365.25)),Data!F675&lt;=(TODAY()-(Data_Val!$H$2*365.25))),0,1),1))</f>
        <v/>
      </c>
      <c r="G685" s="12" t="str">
        <f>IF(Data!B675="","",IF(AND(Data!G675="",Data!H675&lt;&gt;""),1,IF(ISNUMBER(MATCH(Data!G675,Data_Val!$C$2:$C$5,0)),0,1)))</f>
        <v/>
      </c>
      <c r="H685" s="12" t="str">
        <f>IF(Data!B675="","",IF(AND(Data!G675&lt;&gt;"",Data!H675=""),1,IF(Data!G675="",1,IF(ISNUMBER(MATCH(Data!H675,Data_Val!$D$2:$D$35,0)),0,1))))</f>
        <v/>
      </c>
      <c r="I685" s="38" t="str">
        <f>IF(Data!G675="","",IF(Data!G675=Data_Val!$C$2,IF(Data!I675="",0,1),0))</f>
        <v/>
      </c>
      <c r="J685" s="38" t="str">
        <f>IF(Data!I675="","",IF(ISNUMBER(MATCH(Data!J675,Data_Val!$A$2:$A$3,0)),0,1))</f>
        <v/>
      </c>
      <c r="K685" s="38" t="str">
        <f ca="1">IF(Data!I675="","",IF(ISNUMBER(Data!K675),IF(AND(Data!K675&gt;(TODAY()-(Data_Val!$K$3*365.25)),Data!K675&lt;=(TODAY()-(Data_Val!$K$2*365.25))),0,1),1))</f>
        <v/>
      </c>
      <c r="L685" s="16" t="str">
        <f>IF(Data!G675="","",IF(Data!G675=Data_Val!$C$2,IF(Data!L675="",0,1),0))</f>
        <v/>
      </c>
      <c r="M685" s="16" t="str">
        <f>IF(Data!L675="","",IF(ISNUMBER(MATCH(Data!M675,Data_Val!$A$2:$A$3,0)),0,1))</f>
        <v/>
      </c>
      <c r="N685" s="43" t="str">
        <f ca="1">IF(Data!L675="","",IF(ISNUMBER(Data!N675),IF(AND(Data!N675&gt;(TODAY()-(Data_Val!$L$3*365.25)),Data!N675&lt;=(TODAY()-(Data_Val!$L$2*365.25))),0,1),1))</f>
        <v/>
      </c>
      <c r="O685" s="18" t="str">
        <f>IF(Data!$G675="","",IF(Data!$G675=Data_Val!$C$2,IF(Data!O675="",0,1),0))</f>
        <v/>
      </c>
      <c r="P685" s="18" t="str">
        <f>IF(Data!O675="","",IF(ISNUMBER(MATCH(Data!P675,Data_Val!$A$2:$A$3,0)),0,1))</f>
        <v/>
      </c>
      <c r="Q685" s="44" t="str">
        <f ca="1">IF(Data!O675="","",IF(ISNUMBER(Data!Q675),IF(AND(Data!Q675&gt;(TODAY()-(Data_Val!$L$3*365.25)),Data!Q675&lt;=(TODAY()-(Data_Val!$L$2*365.25))),0,1),1))</f>
        <v/>
      </c>
    </row>
    <row r="686" spans="1:17" ht="12" customHeight="1" x14ac:dyDescent="0.25">
      <c r="A686" s="36" t="str">
        <f>IF(Data!B676="","",IF(COUNTIFS(Data!A$1:'Data'!A676,Data!A676)&lt;=1,0,1))</f>
        <v/>
      </c>
      <c r="B686" s="36"/>
      <c r="C686" s="36" t="str">
        <f>IF(Data!C676="","",(IF(ISNUMBER(MATCH("*@*.?*",Data!C676,0)),0,1)+IF(COUNTIFS(Data!C$1:'Data'!C676,Data!C676)&gt;1,1,0)))</f>
        <v/>
      </c>
      <c r="D686" s="36" t="str">
        <f>IF(Data!B676="","",IF(ISNUMBER(Data!D676),IF(AND(Data!D676&gt;999999999,Data!D676&lt;=9999999999),IF(COUNTIFS(Data!D$1:'Data'!D676,Data!D676)&lt;=1,0,1),1),1))</f>
        <v/>
      </c>
      <c r="E686" s="36" t="str">
        <f>IF(Data!B676="","",IF(ISNUMBER(MATCH(Data!E676,Data_Val!$A$2:$A$3,0)),0,1))</f>
        <v/>
      </c>
      <c r="F686" s="36" t="str">
        <f ca="1">IF(Data!B676="","",IF(ISNUMBER(Data!F676),IF(AND(Data!F676&gt;(TODAY()-(Data_Val!$H$3*365.25)),Data!F676&lt;=(TODAY()-(Data_Val!$H$2*365.25))),0,1),1))</f>
        <v/>
      </c>
      <c r="G686" s="12" t="str">
        <f>IF(Data!B676="","",IF(AND(Data!G676="",Data!H676&lt;&gt;""),1,IF(ISNUMBER(MATCH(Data!G676,Data_Val!$C$2:$C$5,0)),0,1)))</f>
        <v/>
      </c>
      <c r="H686" s="12" t="str">
        <f>IF(Data!B676="","",IF(AND(Data!G676&lt;&gt;"",Data!H676=""),1,IF(Data!G676="",1,IF(ISNUMBER(MATCH(Data!H676,Data_Val!$D$2:$D$35,0)),0,1))))</f>
        <v/>
      </c>
      <c r="I686" s="38" t="str">
        <f>IF(Data!G676="","",IF(Data!G676=Data_Val!$C$2,IF(Data!I676="",0,1),0))</f>
        <v/>
      </c>
      <c r="J686" s="38" t="str">
        <f>IF(Data!I676="","",IF(ISNUMBER(MATCH(Data!J676,Data_Val!$A$2:$A$3,0)),0,1))</f>
        <v/>
      </c>
      <c r="K686" s="38" t="str">
        <f ca="1">IF(Data!I676="","",IF(ISNUMBER(Data!K676),IF(AND(Data!K676&gt;(TODAY()-(Data_Val!$K$3*365.25)),Data!K676&lt;=(TODAY()-(Data_Val!$K$2*365.25))),0,1),1))</f>
        <v/>
      </c>
      <c r="L686" s="16" t="str">
        <f>IF(Data!G676="","",IF(Data!G676=Data_Val!$C$2,IF(Data!L676="",0,1),0))</f>
        <v/>
      </c>
      <c r="M686" s="16" t="str">
        <f>IF(Data!L676="","",IF(ISNUMBER(MATCH(Data!M676,Data_Val!$A$2:$A$3,0)),0,1))</f>
        <v/>
      </c>
      <c r="N686" s="43" t="str">
        <f ca="1">IF(Data!L676="","",IF(ISNUMBER(Data!N676),IF(AND(Data!N676&gt;(TODAY()-(Data_Val!$L$3*365.25)),Data!N676&lt;=(TODAY()-(Data_Val!$L$2*365.25))),0,1),1))</f>
        <v/>
      </c>
      <c r="O686" s="18" t="str">
        <f>IF(Data!$G676="","",IF(Data!$G676=Data_Val!$C$2,IF(Data!O676="",0,1),0))</f>
        <v/>
      </c>
      <c r="P686" s="18" t="str">
        <f>IF(Data!O676="","",IF(ISNUMBER(MATCH(Data!P676,Data_Val!$A$2:$A$3,0)),0,1))</f>
        <v/>
      </c>
      <c r="Q686" s="44" t="str">
        <f ca="1">IF(Data!O676="","",IF(ISNUMBER(Data!Q676),IF(AND(Data!Q676&gt;(TODAY()-(Data_Val!$L$3*365.25)),Data!Q676&lt;=(TODAY()-(Data_Val!$L$2*365.25))),0,1),1))</f>
        <v/>
      </c>
    </row>
    <row r="687" spans="1:17" ht="12" customHeight="1" x14ac:dyDescent="0.25">
      <c r="A687" s="36" t="str">
        <f>IF(Data!B677="","",IF(COUNTIFS(Data!A$1:'Data'!A677,Data!A677)&lt;=1,0,1))</f>
        <v/>
      </c>
      <c r="B687" s="36"/>
      <c r="C687" s="36" t="str">
        <f>IF(Data!C677="","",(IF(ISNUMBER(MATCH("*@*.?*",Data!C677,0)),0,1)+IF(COUNTIFS(Data!C$1:'Data'!C677,Data!C677)&gt;1,1,0)))</f>
        <v/>
      </c>
      <c r="D687" s="36" t="str">
        <f>IF(Data!B677="","",IF(ISNUMBER(Data!D677),IF(AND(Data!D677&gt;999999999,Data!D677&lt;=9999999999),IF(COUNTIFS(Data!D$1:'Data'!D677,Data!D677)&lt;=1,0,1),1),1))</f>
        <v/>
      </c>
      <c r="E687" s="36" t="str">
        <f>IF(Data!B677="","",IF(ISNUMBER(MATCH(Data!E677,Data_Val!$A$2:$A$3,0)),0,1))</f>
        <v/>
      </c>
      <c r="F687" s="36" t="str">
        <f ca="1">IF(Data!B677="","",IF(ISNUMBER(Data!F677),IF(AND(Data!F677&gt;(TODAY()-(Data_Val!$H$3*365.25)),Data!F677&lt;=(TODAY()-(Data_Val!$H$2*365.25))),0,1),1))</f>
        <v/>
      </c>
      <c r="G687" s="12" t="str">
        <f>IF(Data!B677="","",IF(AND(Data!G677="",Data!H677&lt;&gt;""),1,IF(ISNUMBER(MATCH(Data!G677,Data_Val!$C$2:$C$5,0)),0,1)))</f>
        <v/>
      </c>
      <c r="H687" s="12" t="str">
        <f>IF(Data!B677="","",IF(AND(Data!G677&lt;&gt;"",Data!H677=""),1,IF(Data!G677="",1,IF(ISNUMBER(MATCH(Data!H677,Data_Val!$D$2:$D$35,0)),0,1))))</f>
        <v/>
      </c>
      <c r="I687" s="38" t="str">
        <f>IF(Data!G677="","",IF(Data!G677=Data_Val!$C$2,IF(Data!I677="",0,1),0))</f>
        <v/>
      </c>
      <c r="J687" s="38" t="str">
        <f>IF(Data!I677="","",IF(ISNUMBER(MATCH(Data!J677,Data_Val!$A$2:$A$3,0)),0,1))</f>
        <v/>
      </c>
      <c r="K687" s="38" t="str">
        <f ca="1">IF(Data!I677="","",IF(ISNUMBER(Data!K677),IF(AND(Data!K677&gt;(TODAY()-(Data_Val!$K$3*365.25)),Data!K677&lt;=(TODAY()-(Data_Val!$K$2*365.25))),0,1),1))</f>
        <v/>
      </c>
      <c r="L687" s="16" t="str">
        <f>IF(Data!G677="","",IF(Data!G677=Data_Val!$C$2,IF(Data!L677="",0,1),0))</f>
        <v/>
      </c>
      <c r="M687" s="16" t="str">
        <f>IF(Data!L677="","",IF(ISNUMBER(MATCH(Data!M677,Data_Val!$A$2:$A$3,0)),0,1))</f>
        <v/>
      </c>
      <c r="N687" s="43" t="str">
        <f ca="1">IF(Data!L677="","",IF(ISNUMBER(Data!N677),IF(AND(Data!N677&gt;(TODAY()-(Data_Val!$L$3*365.25)),Data!N677&lt;=(TODAY()-(Data_Val!$L$2*365.25))),0,1),1))</f>
        <v/>
      </c>
      <c r="O687" s="18" t="str">
        <f>IF(Data!$G677="","",IF(Data!$G677=Data_Val!$C$2,IF(Data!O677="",0,1),0))</f>
        <v/>
      </c>
      <c r="P687" s="18" t="str">
        <f>IF(Data!O677="","",IF(ISNUMBER(MATCH(Data!P677,Data_Val!$A$2:$A$3,0)),0,1))</f>
        <v/>
      </c>
      <c r="Q687" s="44" t="str">
        <f ca="1">IF(Data!O677="","",IF(ISNUMBER(Data!Q677),IF(AND(Data!Q677&gt;(TODAY()-(Data_Val!$L$3*365.25)),Data!Q677&lt;=(TODAY()-(Data_Val!$L$2*365.25))),0,1),1))</f>
        <v/>
      </c>
    </row>
    <row r="688" spans="1:17" ht="12" customHeight="1" x14ac:dyDescent="0.25">
      <c r="A688" s="36" t="str">
        <f>IF(Data!B678="","",IF(COUNTIFS(Data!A$1:'Data'!A678,Data!A678)&lt;=1,0,1))</f>
        <v/>
      </c>
      <c r="B688" s="36"/>
      <c r="C688" s="36" t="str">
        <f>IF(Data!C678="","",(IF(ISNUMBER(MATCH("*@*.?*",Data!C678,0)),0,1)+IF(COUNTIFS(Data!C$1:'Data'!C678,Data!C678)&gt;1,1,0)))</f>
        <v/>
      </c>
      <c r="D688" s="36" t="str">
        <f>IF(Data!B678="","",IF(ISNUMBER(Data!D678),IF(AND(Data!D678&gt;999999999,Data!D678&lt;=9999999999),IF(COUNTIFS(Data!D$1:'Data'!D678,Data!D678)&lt;=1,0,1),1),1))</f>
        <v/>
      </c>
      <c r="E688" s="36" t="str">
        <f>IF(Data!B678="","",IF(ISNUMBER(MATCH(Data!E678,Data_Val!$A$2:$A$3,0)),0,1))</f>
        <v/>
      </c>
      <c r="F688" s="36" t="str">
        <f ca="1">IF(Data!B678="","",IF(ISNUMBER(Data!F678),IF(AND(Data!F678&gt;(TODAY()-(Data_Val!$H$3*365.25)),Data!F678&lt;=(TODAY()-(Data_Val!$H$2*365.25))),0,1),1))</f>
        <v/>
      </c>
      <c r="G688" s="12" t="str">
        <f>IF(Data!B678="","",IF(AND(Data!G678="",Data!H678&lt;&gt;""),1,IF(ISNUMBER(MATCH(Data!G678,Data_Val!$C$2:$C$5,0)),0,1)))</f>
        <v/>
      </c>
      <c r="H688" s="12" t="str">
        <f>IF(Data!B678="","",IF(AND(Data!G678&lt;&gt;"",Data!H678=""),1,IF(Data!G678="",1,IF(ISNUMBER(MATCH(Data!H678,Data_Val!$D$2:$D$35,0)),0,1))))</f>
        <v/>
      </c>
      <c r="I688" s="38" t="str">
        <f>IF(Data!G678="","",IF(Data!G678=Data_Val!$C$2,IF(Data!I678="",0,1),0))</f>
        <v/>
      </c>
      <c r="J688" s="38" t="str">
        <f>IF(Data!I678="","",IF(ISNUMBER(MATCH(Data!J678,Data_Val!$A$2:$A$3,0)),0,1))</f>
        <v/>
      </c>
      <c r="K688" s="38" t="str">
        <f ca="1">IF(Data!I678="","",IF(ISNUMBER(Data!K678),IF(AND(Data!K678&gt;(TODAY()-(Data_Val!$K$3*365.25)),Data!K678&lt;=(TODAY()-(Data_Val!$K$2*365.25))),0,1),1))</f>
        <v/>
      </c>
      <c r="L688" s="16" t="str">
        <f>IF(Data!G678="","",IF(Data!G678=Data_Val!$C$2,IF(Data!L678="",0,1),0))</f>
        <v/>
      </c>
      <c r="M688" s="16" t="str">
        <f>IF(Data!L678="","",IF(ISNUMBER(MATCH(Data!M678,Data_Val!$A$2:$A$3,0)),0,1))</f>
        <v/>
      </c>
      <c r="N688" s="43" t="str">
        <f ca="1">IF(Data!L678="","",IF(ISNUMBER(Data!N678),IF(AND(Data!N678&gt;(TODAY()-(Data_Val!$L$3*365.25)),Data!N678&lt;=(TODAY()-(Data_Val!$L$2*365.25))),0,1),1))</f>
        <v/>
      </c>
      <c r="O688" s="18" t="str">
        <f>IF(Data!$G678="","",IF(Data!$G678=Data_Val!$C$2,IF(Data!O678="",0,1),0))</f>
        <v/>
      </c>
      <c r="P688" s="18" t="str">
        <f>IF(Data!O678="","",IF(ISNUMBER(MATCH(Data!P678,Data_Val!$A$2:$A$3,0)),0,1))</f>
        <v/>
      </c>
      <c r="Q688" s="44" t="str">
        <f ca="1">IF(Data!O678="","",IF(ISNUMBER(Data!Q678),IF(AND(Data!Q678&gt;(TODAY()-(Data_Val!$L$3*365.25)),Data!Q678&lt;=(TODAY()-(Data_Val!$L$2*365.25))),0,1),1))</f>
        <v/>
      </c>
    </row>
    <row r="689" spans="1:17" ht="12" customHeight="1" x14ac:dyDescent="0.25">
      <c r="A689" s="36" t="str">
        <f>IF(Data!B679="","",IF(COUNTIFS(Data!A$1:'Data'!A679,Data!A679)&lt;=1,0,1))</f>
        <v/>
      </c>
      <c r="B689" s="36"/>
      <c r="C689" s="36" t="str">
        <f>IF(Data!C679="","",(IF(ISNUMBER(MATCH("*@*.?*",Data!C679,0)),0,1)+IF(COUNTIFS(Data!C$1:'Data'!C679,Data!C679)&gt;1,1,0)))</f>
        <v/>
      </c>
      <c r="D689" s="36" t="str">
        <f>IF(Data!B679="","",IF(ISNUMBER(Data!D679),IF(AND(Data!D679&gt;999999999,Data!D679&lt;=9999999999),IF(COUNTIFS(Data!D$1:'Data'!D679,Data!D679)&lt;=1,0,1),1),1))</f>
        <v/>
      </c>
      <c r="E689" s="36" t="str">
        <f>IF(Data!B679="","",IF(ISNUMBER(MATCH(Data!E679,Data_Val!$A$2:$A$3,0)),0,1))</f>
        <v/>
      </c>
      <c r="F689" s="36" t="str">
        <f ca="1">IF(Data!B679="","",IF(ISNUMBER(Data!F679),IF(AND(Data!F679&gt;(TODAY()-(Data_Val!$H$3*365.25)),Data!F679&lt;=(TODAY()-(Data_Val!$H$2*365.25))),0,1),1))</f>
        <v/>
      </c>
      <c r="G689" s="12" t="str">
        <f>IF(Data!B679="","",IF(AND(Data!G679="",Data!H679&lt;&gt;""),1,IF(ISNUMBER(MATCH(Data!G679,Data_Val!$C$2:$C$5,0)),0,1)))</f>
        <v/>
      </c>
      <c r="H689" s="12" t="str">
        <f>IF(Data!B679="","",IF(AND(Data!G679&lt;&gt;"",Data!H679=""),1,IF(Data!G679="",1,IF(ISNUMBER(MATCH(Data!H679,Data_Val!$D$2:$D$35,0)),0,1))))</f>
        <v/>
      </c>
      <c r="I689" s="38" t="str">
        <f>IF(Data!G679="","",IF(Data!G679=Data_Val!$C$2,IF(Data!I679="",0,1),0))</f>
        <v/>
      </c>
      <c r="J689" s="38" t="str">
        <f>IF(Data!I679="","",IF(ISNUMBER(MATCH(Data!J679,Data_Val!$A$2:$A$3,0)),0,1))</f>
        <v/>
      </c>
      <c r="K689" s="38" t="str">
        <f ca="1">IF(Data!I679="","",IF(ISNUMBER(Data!K679),IF(AND(Data!K679&gt;(TODAY()-(Data_Val!$K$3*365.25)),Data!K679&lt;=(TODAY()-(Data_Val!$K$2*365.25))),0,1),1))</f>
        <v/>
      </c>
      <c r="L689" s="16" t="str">
        <f>IF(Data!G679="","",IF(Data!G679=Data_Val!$C$2,IF(Data!L679="",0,1),0))</f>
        <v/>
      </c>
      <c r="M689" s="16" t="str">
        <f>IF(Data!L679="","",IF(ISNUMBER(MATCH(Data!M679,Data_Val!$A$2:$A$3,0)),0,1))</f>
        <v/>
      </c>
      <c r="N689" s="43" t="str">
        <f ca="1">IF(Data!L679="","",IF(ISNUMBER(Data!N679),IF(AND(Data!N679&gt;(TODAY()-(Data_Val!$L$3*365.25)),Data!N679&lt;=(TODAY()-(Data_Val!$L$2*365.25))),0,1),1))</f>
        <v/>
      </c>
      <c r="O689" s="18" t="str">
        <f>IF(Data!$G679="","",IF(Data!$G679=Data_Val!$C$2,IF(Data!O679="",0,1),0))</f>
        <v/>
      </c>
      <c r="P689" s="18" t="str">
        <f>IF(Data!O679="","",IF(ISNUMBER(MATCH(Data!P679,Data_Val!$A$2:$A$3,0)),0,1))</f>
        <v/>
      </c>
      <c r="Q689" s="44" t="str">
        <f ca="1">IF(Data!O679="","",IF(ISNUMBER(Data!Q679),IF(AND(Data!Q679&gt;(TODAY()-(Data_Val!$L$3*365.25)),Data!Q679&lt;=(TODAY()-(Data_Val!$L$2*365.25))),0,1),1))</f>
        <v/>
      </c>
    </row>
    <row r="690" spans="1:17" ht="12" customHeight="1" x14ac:dyDescent="0.25">
      <c r="A690" s="36" t="str">
        <f>IF(Data!B680="","",IF(COUNTIFS(Data!A$1:'Data'!A680,Data!A680)&lt;=1,0,1))</f>
        <v/>
      </c>
      <c r="B690" s="36"/>
      <c r="C690" s="36" t="str">
        <f>IF(Data!C680="","",(IF(ISNUMBER(MATCH("*@*.?*",Data!C680,0)),0,1)+IF(COUNTIFS(Data!C$1:'Data'!C680,Data!C680)&gt;1,1,0)))</f>
        <v/>
      </c>
      <c r="D690" s="36" t="str">
        <f>IF(Data!B680="","",IF(ISNUMBER(Data!D680),IF(AND(Data!D680&gt;999999999,Data!D680&lt;=9999999999),IF(COUNTIFS(Data!D$1:'Data'!D680,Data!D680)&lt;=1,0,1),1),1))</f>
        <v/>
      </c>
      <c r="E690" s="36" t="str">
        <f>IF(Data!B680="","",IF(ISNUMBER(MATCH(Data!E680,Data_Val!$A$2:$A$3,0)),0,1))</f>
        <v/>
      </c>
      <c r="F690" s="36" t="str">
        <f ca="1">IF(Data!B680="","",IF(ISNUMBER(Data!F680),IF(AND(Data!F680&gt;(TODAY()-(Data_Val!$H$3*365.25)),Data!F680&lt;=(TODAY()-(Data_Val!$H$2*365.25))),0,1),1))</f>
        <v/>
      </c>
      <c r="G690" s="12" t="str">
        <f>IF(Data!B680="","",IF(AND(Data!G680="",Data!H680&lt;&gt;""),1,IF(ISNUMBER(MATCH(Data!G680,Data_Val!$C$2:$C$5,0)),0,1)))</f>
        <v/>
      </c>
      <c r="H690" s="12" t="str">
        <f>IF(Data!B680="","",IF(AND(Data!G680&lt;&gt;"",Data!H680=""),1,IF(Data!G680="",1,IF(ISNUMBER(MATCH(Data!H680,Data_Val!$D$2:$D$35,0)),0,1))))</f>
        <v/>
      </c>
      <c r="I690" s="38" t="str">
        <f>IF(Data!G680="","",IF(Data!G680=Data_Val!$C$2,IF(Data!I680="",0,1),0))</f>
        <v/>
      </c>
      <c r="J690" s="38" t="str">
        <f>IF(Data!I680="","",IF(ISNUMBER(MATCH(Data!J680,Data_Val!$A$2:$A$3,0)),0,1))</f>
        <v/>
      </c>
      <c r="K690" s="38" t="str">
        <f ca="1">IF(Data!I680="","",IF(ISNUMBER(Data!K680),IF(AND(Data!K680&gt;(TODAY()-(Data_Val!$K$3*365.25)),Data!K680&lt;=(TODAY()-(Data_Val!$K$2*365.25))),0,1),1))</f>
        <v/>
      </c>
      <c r="L690" s="16" t="str">
        <f>IF(Data!G680="","",IF(Data!G680=Data_Val!$C$2,IF(Data!L680="",0,1),0))</f>
        <v/>
      </c>
      <c r="M690" s="16" t="str">
        <f>IF(Data!L680="","",IF(ISNUMBER(MATCH(Data!M680,Data_Val!$A$2:$A$3,0)),0,1))</f>
        <v/>
      </c>
      <c r="N690" s="43" t="str">
        <f ca="1">IF(Data!L680="","",IF(ISNUMBER(Data!N680),IF(AND(Data!N680&gt;(TODAY()-(Data_Val!$L$3*365.25)),Data!N680&lt;=(TODAY()-(Data_Val!$L$2*365.25))),0,1),1))</f>
        <v/>
      </c>
      <c r="O690" s="18" t="str">
        <f>IF(Data!$G680="","",IF(Data!$G680=Data_Val!$C$2,IF(Data!O680="",0,1),0))</f>
        <v/>
      </c>
      <c r="P690" s="18" t="str">
        <f>IF(Data!O680="","",IF(ISNUMBER(MATCH(Data!P680,Data_Val!$A$2:$A$3,0)),0,1))</f>
        <v/>
      </c>
      <c r="Q690" s="44" t="str">
        <f ca="1">IF(Data!O680="","",IF(ISNUMBER(Data!Q680),IF(AND(Data!Q680&gt;(TODAY()-(Data_Val!$L$3*365.25)),Data!Q680&lt;=(TODAY()-(Data_Val!$L$2*365.25))),0,1),1))</f>
        <v/>
      </c>
    </row>
    <row r="691" spans="1:17" ht="12" customHeight="1" x14ac:dyDescent="0.25">
      <c r="A691" s="36" t="str">
        <f>IF(Data!B681="","",IF(COUNTIFS(Data!A$1:'Data'!A681,Data!A681)&lt;=1,0,1))</f>
        <v/>
      </c>
      <c r="B691" s="36"/>
      <c r="C691" s="36" t="str">
        <f>IF(Data!C681="","",(IF(ISNUMBER(MATCH("*@*.?*",Data!C681,0)),0,1)+IF(COUNTIFS(Data!C$1:'Data'!C681,Data!C681)&gt;1,1,0)))</f>
        <v/>
      </c>
      <c r="D691" s="36" t="str">
        <f>IF(Data!B681="","",IF(ISNUMBER(Data!D681),IF(AND(Data!D681&gt;999999999,Data!D681&lt;=9999999999),IF(COUNTIFS(Data!D$1:'Data'!D681,Data!D681)&lt;=1,0,1),1),1))</f>
        <v/>
      </c>
      <c r="E691" s="36" t="str">
        <f>IF(Data!B681="","",IF(ISNUMBER(MATCH(Data!E681,Data_Val!$A$2:$A$3,0)),0,1))</f>
        <v/>
      </c>
      <c r="F691" s="36" t="str">
        <f ca="1">IF(Data!B681="","",IF(ISNUMBER(Data!F681),IF(AND(Data!F681&gt;(TODAY()-(Data_Val!$H$3*365.25)),Data!F681&lt;=(TODAY()-(Data_Val!$H$2*365.25))),0,1),1))</f>
        <v/>
      </c>
      <c r="G691" s="12" t="str">
        <f>IF(Data!B681="","",IF(AND(Data!G681="",Data!H681&lt;&gt;""),1,IF(ISNUMBER(MATCH(Data!G681,Data_Val!$C$2:$C$5,0)),0,1)))</f>
        <v/>
      </c>
      <c r="H691" s="12" t="str">
        <f>IF(Data!B681="","",IF(AND(Data!G681&lt;&gt;"",Data!H681=""),1,IF(Data!G681="",1,IF(ISNUMBER(MATCH(Data!H681,Data_Val!$D$2:$D$35,0)),0,1))))</f>
        <v/>
      </c>
      <c r="I691" s="38" t="str">
        <f>IF(Data!G681="","",IF(Data!G681=Data_Val!$C$2,IF(Data!I681="",0,1),0))</f>
        <v/>
      </c>
      <c r="J691" s="38" t="str">
        <f>IF(Data!I681="","",IF(ISNUMBER(MATCH(Data!J681,Data_Val!$A$2:$A$3,0)),0,1))</f>
        <v/>
      </c>
      <c r="K691" s="38" t="str">
        <f ca="1">IF(Data!I681="","",IF(ISNUMBER(Data!K681),IF(AND(Data!K681&gt;(TODAY()-(Data_Val!$K$3*365.25)),Data!K681&lt;=(TODAY()-(Data_Val!$K$2*365.25))),0,1),1))</f>
        <v/>
      </c>
      <c r="L691" s="16" t="str">
        <f>IF(Data!G681="","",IF(Data!G681=Data_Val!$C$2,IF(Data!L681="",0,1),0))</f>
        <v/>
      </c>
      <c r="M691" s="16" t="str">
        <f>IF(Data!L681="","",IF(ISNUMBER(MATCH(Data!M681,Data_Val!$A$2:$A$3,0)),0,1))</f>
        <v/>
      </c>
      <c r="N691" s="43" t="str">
        <f ca="1">IF(Data!L681="","",IF(ISNUMBER(Data!N681),IF(AND(Data!N681&gt;(TODAY()-(Data_Val!$L$3*365.25)),Data!N681&lt;=(TODAY()-(Data_Val!$L$2*365.25))),0,1),1))</f>
        <v/>
      </c>
      <c r="O691" s="18" t="str">
        <f>IF(Data!$G681="","",IF(Data!$G681=Data_Val!$C$2,IF(Data!O681="",0,1),0))</f>
        <v/>
      </c>
      <c r="P691" s="18" t="str">
        <f>IF(Data!O681="","",IF(ISNUMBER(MATCH(Data!P681,Data_Val!$A$2:$A$3,0)),0,1))</f>
        <v/>
      </c>
      <c r="Q691" s="44" t="str">
        <f ca="1">IF(Data!O681="","",IF(ISNUMBER(Data!Q681),IF(AND(Data!Q681&gt;(TODAY()-(Data_Val!$L$3*365.25)),Data!Q681&lt;=(TODAY()-(Data_Val!$L$2*365.25))),0,1),1))</f>
        <v/>
      </c>
    </row>
    <row r="692" spans="1:17" ht="12" customHeight="1" x14ac:dyDescent="0.25">
      <c r="A692" s="36" t="str">
        <f>IF(Data!B682="","",IF(COUNTIFS(Data!A$1:'Data'!A682,Data!A682)&lt;=1,0,1))</f>
        <v/>
      </c>
      <c r="B692" s="36"/>
      <c r="C692" s="36" t="str">
        <f>IF(Data!C682="","",(IF(ISNUMBER(MATCH("*@*.?*",Data!C682,0)),0,1)+IF(COUNTIFS(Data!C$1:'Data'!C682,Data!C682)&gt;1,1,0)))</f>
        <v/>
      </c>
      <c r="D692" s="36" t="str">
        <f>IF(Data!B682="","",IF(ISNUMBER(Data!D682),IF(AND(Data!D682&gt;999999999,Data!D682&lt;=9999999999),IF(COUNTIFS(Data!D$1:'Data'!D682,Data!D682)&lt;=1,0,1),1),1))</f>
        <v/>
      </c>
      <c r="E692" s="36" t="str">
        <f>IF(Data!B682="","",IF(ISNUMBER(MATCH(Data!E682,Data_Val!$A$2:$A$3,0)),0,1))</f>
        <v/>
      </c>
      <c r="F692" s="36" t="str">
        <f ca="1">IF(Data!B682="","",IF(ISNUMBER(Data!F682),IF(AND(Data!F682&gt;(TODAY()-(Data_Val!$H$3*365.25)),Data!F682&lt;=(TODAY()-(Data_Val!$H$2*365.25))),0,1),1))</f>
        <v/>
      </c>
      <c r="G692" s="12" t="str">
        <f>IF(Data!B682="","",IF(AND(Data!G682="",Data!H682&lt;&gt;""),1,IF(ISNUMBER(MATCH(Data!G682,Data_Val!$C$2:$C$5,0)),0,1)))</f>
        <v/>
      </c>
      <c r="H692" s="12" t="str">
        <f>IF(Data!B682="","",IF(AND(Data!G682&lt;&gt;"",Data!H682=""),1,IF(Data!G682="",1,IF(ISNUMBER(MATCH(Data!H682,Data_Val!$D$2:$D$35,0)),0,1))))</f>
        <v/>
      </c>
      <c r="I692" s="38" t="str">
        <f>IF(Data!G682="","",IF(Data!G682=Data_Val!$C$2,IF(Data!I682="",0,1),0))</f>
        <v/>
      </c>
      <c r="J692" s="38" t="str">
        <f>IF(Data!I682="","",IF(ISNUMBER(MATCH(Data!J682,Data_Val!$A$2:$A$3,0)),0,1))</f>
        <v/>
      </c>
      <c r="K692" s="38" t="str">
        <f ca="1">IF(Data!I682="","",IF(ISNUMBER(Data!K682),IF(AND(Data!K682&gt;(TODAY()-(Data_Val!$K$3*365.25)),Data!K682&lt;=(TODAY()-(Data_Val!$K$2*365.25))),0,1),1))</f>
        <v/>
      </c>
      <c r="L692" s="16" t="str">
        <f>IF(Data!G682="","",IF(Data!G682=Data_Val!$C$2,IF(Data!L682="",0,1),0))</f>
        <v/>
      </c>
      <c r="M692" s="16" t="str">
        <f>IF(Data!L682="","",IF(ISNUMBER(MATCH(Data!M682,Data_Val!$A$2:$A$3,0)),0,1))</f>
        <v/>
      </c>
      <c r="N692" s="43" t="str">
        <f ca="1">IF(Data!L682="","",IF(ISNUMBER(Data!N682),IF(AND(Data!N682&gt;(TODAY()-(Data_Val!$L$3*365.25)),Data!N682&lt;=(TODAY()-(Data_Val!$L$2*365.25))),0,1),1))</f>
        <v/>
      </c>
      <c r="O692" s="18" t="str">
        <f>IF(Data!$G682="","",IF(Data!$G682=Data_Val!$C$2,IF(Data!O682="",0,1),0))</f>
        <v/>
      </c>
      <c r="P692" s="18" t="str">
        <f>IF(Data!O682="","",IF(ISNUMBER(MATCH(Data!P682,Data_Val!$A$2:$A$3,0)),0,1))</f>
        <v/>
      </c>
      <c r="Q692" s="44" t="str">
        <f ca="1">IF(Data!O682="","",IF(ISNUMBER(Data!Q682),IF(AND(Data!Q682&gt;(TODAY()-(Data_Val!$L$3*365.25)),Data!Q682&lt;=(TODAY()-(Data_Val!$L$2*365.25))),0,1),1))</f>
        <v/>
      </c>
    </row>
    <row r="693" spans="1:17" ht="12" customHeight="1" x14ac:dyDescent="0.25">
      <c r="A693" s="36" t="str">
        <f>IF(Data!B683="","",IF(COUNTIFS(Data!A$1:'Data'!A683,Data!A683)&lt;=1,0,1))</f>
        <v/>
      </c>
      <c r="B693" s="36"/>
      <c r="C693" s="36" t="str">
        <f>IF(Data!C683="","",(IF(ISNUMBER(MATCH("*@*.?*",Data!C683,0)),0,1)+IF(COUNTIFS(Data!C$1:'Data'!C683,Data!C683)&gt;1,1,0)))</f>
        <v/>
      </c>
      <c r="D693" s="36" t="str">
        <f>IF(Data!B683="","",IF(ISNUMBER(Data!D683),IF(AND(Data!D683&gt;999999999,Data!D683&lt;=9999999999),IF(COUNTIFS(Data!D$1:'Data'!D683,Data!D683)&lt;=1,0,1),1),1))</f>
        <v/>
      </c>
      <c r="E693" s="36" t="str">
        <f>IF(Data!B683="","",IF(ISNUMBER(MATCH(Data!E683,Data_Val!$A$2:$A$3,0)),0,1))</f>
        <v/>
      </c>
      <c r="F693" s="36" t="str">
        <f ca="1">IF(Data!B683="","",IF(ISNUMBER(Data!F683),IF(AND(Data!F683&gt;(TODAY()-(Data_Val!$H$3*365.25)),Data!F683&lt;=(TODAY()-(Data_Val!$H$2*365.25))),0,1),1))</f>
        <v/>
      </c>
      <c r="G693" s="12" t="str">
        <f>IF(Data!B683="","",IF(AND(Data!G683="",Data!H683&lt;&gt;""),1,IF(ISNUMBER(MATCH(Data!G683,Data_Val!$C$2:$C$5,0)),0,1)))</f>
        <v/>
      </c>
      <c r="H693" s="12" t="str">
        <f>IF(Data!B683="","",IF(AND(Data!G683&lt;&gt;"",Data!H683=""),1,IF(Data!G683="",1,IF(ISNUMBER(MATCH(Data!H683,Data_Val!$D$2:$D$35,0)),0,1))))</f>
        <v/>
      </c>
      <c r="I693" s="38" t="str">
        <f>IF(Data!G683="","",IF(Data!G683=Data_Val!$C$2,IF(Data!I683="",0,1),0))</f>
        <v/>
      </c>
      <c r="J693" s="38" t="str">
        <f>IF(Data!I683="","",IF(ISNUMBER(MATCH(Data!J683,Data_Val!$A$2:$A$3,0)),0,1))</f>
        <v/>
      </c>
      <c r="K693" s="38" t="str">
        <f ca="1">IF(Data!I683="","",IF(ISNUMBER(Data!K683),IF(AND(Data!K683&gt;(TODAY()-(Data_Val!$K$3*365.25)),Data!K683&lt;=(TODAY()-(Data_Val!$K$2*365.25))),0,1),1))</f>
        <v/>
      </c>
      <c r="L693" s="16" t="str">
        <f>IF(Data!G683="","",IF(Data!G683=Data_Val!$C$2,IF(Data!L683="",0,1),0))</f>
        <v/>
      </c>
      <c r="M693" s="16" t="str">
        <f>IF(Data!L683="","",IF(ISNUMBER(MATCH(Data!M683,Data_Val!$A$2:$A$3,0)),0,1))</f>
        <v/>
      </c>
      <c r="N693" s="43" t="str">
        <f ca="1">IF(Data!L683="","",IF(ISNUMBER(Data!N683),IF(AND(Data!N683&gt;(TODAY()-(Data_Val!$L$3*365.25)),Data!N683&lt;=(TODAY()-(Data_Val!$L$2*365.25))),0,1),1))</f>
        <v/>
      </c>
      <c r="O693" s="18" t="str">
        <f>IF(Data!$G683="","",IF(Data!$G683=Data_Val!$C$2,IF(Data!O683="",0,1),0))</f>
        <v/>
      </c>
      <c r="P693" s="18" t="str">
        <f>IF(Data!O683="","",IF(ISNUMBER(MATCH(Data!P683,Data_Val!$A$2:$A$3,0)),0,1))</f>
        <v/>
      </c>
      <c r="Q693" s="44" t="str">
        <f ca="1">IF(Data!O683="","",IF(ISNUMBER(Data!Q683),IF(AND(Data!Q683&gt;(TODAY()-(Data_Val!$L$3*365.25)),Data!Q683&lt;=(TODAY()-(Data_Val!$L$2*365.25))),0,1),1))</f>
        <v/>
      </c>
    </row>
    <row r="694" spans="1:17" ht="12" customHeight="1" x14ac:dyDescent="0.25">
      <c r="A694" s="36" t="str">
        <f>IF(Data!B684="","",IF(COUNTIFS(Data!A$1:'Data'!A684,Data!A684)&lt;=1,0,1))</f>
        <v/>
      </c>
      <c r="B694" s="36"/>
      <c r="C694" s="36" t="str">
        <f>IF(Data!C684="","",(IF(ISNUMBER(MATCH("*@*.?*",Data!C684,0)),0,1)+IF(COUNTIFS(Data!C$1:'Data'!C684,Data!C684)&gt;1,1,0)))</f>
        <v/>
      </c>
      <c r="D694" s="36" t="str">
        <f>IF(Data!B684="","",IF(ISNUMBER(Data!D684),IF(AND(Data!D684&gt;999999999,Data!D684&lt;=9999999999),IF(COUNTIFS(Data!D$1:'Data'!D684,Data!D684)&lt;=1,0,1),1),1))</f>
        <v/>
      </c>
      <c r="E694" s="36" t="str">
        <f>IF(Data!B684="","",IF(ISNUMBER(MATCH(Data!E684,Data_Val!$A$2:$A$3,0)),0,1))</f>
        <v/>
      </c>
      <c r="F694" s="36" t="str">
        <f ca="1">IF(Data!B684="","",IF(ISNUMBER(Data!F684),IF(AND(Data!F684&gt;(TODAY()-(Data_Val!$H$3*365.25)),Data!F684&lt;=(TODAY()-(Data_Val!$H$2*365.25))),0,1),1))</f>
        <v/>
      </c>
      <c r="G694" s="12" t="str">
        <f>IF(Data!B684="","",IF(AND(Data!G684="",Data!H684&lt;&gt;""),1,IF(ISNUMBER(MATCH(Data!G684,Data_Val!$C$2:$C$5,0)),0,1)))</f>
        <v/>
      </c>
      <c r="H694" s="12" t="str">
        <f>IF(Data!B684="","",IF(AND(Data!G684&lt;&gt;"",Data!H684=""),1,IF(Data!G684="",1,IF(ISNUMBER(MATCH(Data!H684,Data_Val!$D$2:$D$35,0)),0,1))))</f>
        <v/>
      </c>
      <c r="I694" s="38" t="str">
        <f>IF(Data!G684="","",IF(Data!G684=Data_Val!$C$2,IF(Data!I684="",0,1),0))</f>
        <v/>
      </c>
      <c r="J694" s="38" t="str">
        <f>IF(Data!I684="","",IF(ISNUMBER(MATCH(Data!J684,Data_Val!$A$2:$A$3,0)),0,1))</f>
        <v/>
      </c>
      <c r="K694" s="38" t="str">
        <f ca="1">IF(Data!I684="","",IF(ISNUMBER(Data!K684),IF(AND(Data!K684&gt;(TODAY()-(Data_Val!$K$3*365.25)),Data!K684&lt;=(TODAY()-(Data_Val!$K$2*365.25))),0,1),1))</f>
        <v/>
      </c>
      <c r="L694" s="16" t="str">
        <f>IF(Data!G684="","",IF(Data!G684=Data_Val!$C$2,IF(Data!L684="",0,1),0))</f>
        <v/>
      </c>
      <c r="M694" s="16" t="str">
        <f>IF(Data!L684="","",IF(ISNUMBER(MATCH(Data!M684,Data_Val!$A$2:$A$3,0)),0,1))</f>
        <v/>
      </c>
      <c r="N694" s="43" t="str">
        <f ca="1">IF(Data!L684="","",IF(ISNUMBER(Data!N684),IF(AND(Data!N684&gt;(TODAY()-(Data_Val!$L$3*365.25)),Data!N684&lt;=(TODAY()-(Data_Val!$L$2*365.25))),0,1),1))</f>
        <v/>
      </c>
      <c r="O694" s="18" t="str">
        <f>IF(Data!$G684="","",IF(Data!$G684=Data_Val!$C$2,IF(Data!O684="",0,1),0))</f>
        <v/>
      </c>
      <c r="P694" s="18" t="str">
        <f>IF(Data!O684="","",IF(ISNUMBER(MATCH(Data!P684,Data_Val!$A$2:$A$3,0)),0,1))</f>
        <v/>
      </c>
      <c r="Q694" s="44" t="str">
        <f ca="1">IF(Data!O684="","",IF(ISNUMBER(Data!Q684),IF(AND(Data!Q684&gt;(TODAY()-(Data_Val!$L$3*365.25)),Data!Q684&lt;=(TODAY()-(Data_Val!$L$2*365.25))),0,1),1))</f>
        <v/>
      </c>
    </row>
    <row r="695" spans="1:17" ht="12" customHeight="1" x14ac:dyDescent="0.25">
      <c r="A695" s="36" t="str">
        <f>IF(Data!B685="","",IF(COUNTIFS(Data!A$1:'Data'!A685,Data!A685)&lt;=1,0,1))</f>
        <v/>
      </c>
      <c r="B695" s="36"/>
      <c r="C695" s="36" t="str">
        <f>IF(Data!C685="","",(IF(ISNUMBER(MATCH("*@*.?*",Data!C685,0)),0,1)+IF(COUNTIFS(Data!C$1:'Data'!C685,Data!C685)&gt;1,1,0)))</f>
        <v/>
      </c>
      <c r="D695" s="36" t="str">
        <f>IF(Data!B685="","",IF(ISNUMBER(Data!D685),IF(AND(Data!D685&gt;999999999,Data!D685&lt;=9999999999),IF(COUNTIFS(Data!D$1:'Data'!D685,Data!D685)&lt;=1,0,1),1),1))</f>
        <v/>
      </c>
      <c r="E695" s="36" t="str">
        <f>IF(Data!B685="","",IF(ISNUMBER(MATCH(Data!E685,Data_Val!$A$2:$A$3,0)),0,1))</f>
        <v/>
      </c>
      <c r="F695" s="36" t="str">
        <f ca="1">IF(Data!B685="","",IF(ISNUMBER(Data!F685),IF(AND(Data!F685&gt;(TODAY()-(Data_Val!$H$3*365.25)),Data!F685&lt;=(TODAY()-(Data_Val!$H$2*365.25))),0,1),1))</f>
        <v/>
      </c>
      <c r="G695" s="12" t="str">
        <f>IF(Data!B685="","",IF(AND(Data!G685="",Data!H685&lt;&gt;""),1,IF(ISNUMBER(MATCH(Data!G685,Data_Val!$C$2:$C$5,0)),0,1)))</f>
        <v/>
      </c>
      <c r="H695" s="12" t="str">
        <f>IF(Data!B685="","",IF(AND(Data!G685&lt;&gt;"",Data!H685=""),1,IF(Data!G685="",1,IF(ISNUMBER(MATCH(Data!H685,Data_Val!$D$2:$D$35,0)),0,1))))</f>
        <v/>
      </c>
      <c r="I695" s="38" t="str">
        <f>IF(Data!G685="","",IF(Data!G685=Data_Val!$C$2,IF(Data!I685="",0,1),0))</f>
        <v/>
      </c>
      <c r="J695" s="38" t="str">
        <f>IF(Data!I685="","",IF(ISNUMBER(MATCH(Data!J685,Data_Val!$A$2:$A$3,0)),0,1))</f>
        <v/>
      </c>
      <c r="K695" s="38" t="str">
        <f ca="1">IF(Data!I685="","",IF(ISNUMBER(Data!K685),IF(AND(Data!K685&gt;(TODAY()-(Data_Val!$K$3*365.25)),Data!K685&lt;=(TODAY()-(Data_Val!$K$2*365.25))),0,1),1))</f>
        <v/>
      </c>
      <c r="L695" s="16" t="str">
        <f>IF(Data!G685="","",IF(Data!G685=Data_Val!$C$2,IF(Data!L685="",0,1),0))</f>
        <v/>
      </c>
      <c r="M695" s="16" t="str">
        <f>IF(Data!L685="","",IF(ISNUMBER(MATCH(Data!M685,Data_Val!$A$2:$A$3,0)),0,1))</f>
        <v/>
      </c>
      <c r="N695" s="43" t="str">
        <f ca="1">IF(Data!L685="","",IF(ISNUMBER(Data!N685),IF(AND(Data!N685&gt;(TODAY()-(Data_Val!$L$3*365.25)),Data!N685&lt;=(TODAY()-(Data_Val!$L$2*365.25))),0,1),1))</f>
        <v/>
      </c>
      <c r="O695" s="18" t="str">
        <f>IF(Data!$G685="","",IF(Data!$G685=Data_Val!$C$2,IF(Data!O685="",0,1),0))</f>
        <v/>
      </c>
      <c r="P695" s="18" t="str">
        <f>IF(Data!O685="","",IF(ISNUMBER(MATCH(Data!P685,Data_Val!$A$2:$A$3,0)),0,1))</f>
        <v/>
      </c>
      <c r="Q695" s="44" t="str">
        <f ca="1">IF(Data!O685="","",IF(ISNUMBER(Data!Q685),IF(AND(Data!Q685&gt;(TODAY()-(Data_Val!$L$3*365.25)),Data!Q685&lt;=(TODAY()-(Data_Val!$L$2*365.25))),0,1),1))</f>
        <v/>
      </c>
    </row>
    <row r="696" spans="1:17" ht="12" customHeight="1" x14ac:dyDescent="0.25">
      <c r="A696" s="36" t="str">
        <f>IF(Data!B686="","",IF(COUNTIFS(Data!A$1:'Data'!A686,Data!A686)&lt;=1,0,1))</f>
        <v/>
      </c>
      <c r="B696" s="36"/>
      <c r="C696" s="36" t="str">
        <f>IF(Data!C686="","",(IF(ISNUMBER(MATCH("*@*.?*",Data!C686,0)),0,1)+IF(COUNTIFS(Data!C$1:'Data'!C686,Data!C686)&gt;1,1,0)))</f>
        <v/>
      </c>
      <c r="D696" s="36" t="str">
        <f>IF(Data!B686="","",IF(ISNUMBER(Data!D686),IF(AND(Data!D686&gt;999999999,Data!D686&lt;=9999999999),IF(COUNTIFS(Data!D$1:'Data'!D686,Data!D686)&lt;=1,0,1),1),1))</f>
        <v/>
      </c>
      <c r="E696" s="36" t="str">
        <f>IF(Data!B686="","",IF(ISNUMBER(MATCH(Data!E686,Data_Val!$A$2:$A$3,0)),0,1))</f>
        <v/>
      </c>
      <c r="F696" s="36" t="str">
        <f ca="1">IF(Data!B686="","",IF(ISNUMBER(Data!F686),IF(AND(Data!F686&gt;(TODAY()-(Data_Val!$H$3*365.25)),Data!F686&lt;=(TODAY()-(Data_Val!$H$2*365.25))),0,1),1))</f>
        <v/>
      </c>
      <c r="G696" s="12" t="str">
        <f>IF(Data!B686="","",IF(AND(Data!G686="",Data!H686&lt;&gt;""),1,IF(ISNUMBER(MATCH(Data!G686,Data_Val!$C$2:$C$5,0)),0,1)))</f>
        <v/>
      </c>
      <c r="H696" s="12" t="str">
        <f>IF(Data!B686="","",IF(AND(Data!G686&lt;&gt;"",Data!H686=""),1,IF(Data!G686="",1,IF(ISNUMBER(MATCH(Data!H686,Data_Val!$D$2:$D$35,0)),0,1))))</f>
        <v/>
      </c>
      <c r="I696" s="38" t="str">
        <f>IF(Data!G686="","",IF(Data!G686=Data_Val!$C$2,IF(Data!I686="",0,1),0))</f>
        <v/>
      </c>
      <c r="J696" s="38" t="str">
        <f>IF(Data!I686="","",IF(ISNUMBER(MATCH(Data!J686,Data_Val!$A$2:$A$3,0)),0,1))</f>
        <v/>
      </c>
      <c r="K696" s="38" t="str">
        <f ca="1">IF(Data!I686="","",IF(ISNUMBER(Data!K686),IF(AND(Data!K686&gt;(TODAY()-(Data_Val!$K$3*365.25)),Data!K686&lt;=(TODAY()-(Data_Val!$K$2*365.25))),0,1),1))</f>
        <v/>
      </c>
      <c r="L696" s="16" t="str">
        <f>IF(Data!G686="","",IF(Data!G686=Data_Val!$C$2,IF(Data!L686="",0,1),0))</f>
        <v/>
      </c>
      <c r="M696" s="16" t="str">
        <f>IF(Data!L686="","",IF(ISNUMBER(MATCH(Data!M686,Data_Val!$A$2:$A$3,0)),0,1))</f>
        <v/>
      </c>
      <c r="N696" s="43" t="str">
        <f ca="1">IF(Data!L686="","",IF(ISNUMBER(Data!N686),IF(AND(Data!N686&gt;(TODAY()-(Data_Val!$L$3*365.25)),Data!N686&lt;=(TODAY()-(Data_Val!$L$2*365.25))),0,1),1))</f>
        <v/>
      </c>
      <c r="O696" s="18" t="str">
        <f>IF(Data!$G686="","",IF(Data!$G686=Data_Val!$C$2,IF(Data!O686="",0,1),0))</f>
        <v/>
      </c>
      <c r="P696" s="18" t="str">
        <f>IF(Data!O686="","",IF(ISNUMBER(MATCH(Data!P686,Data_Val!$A$2:$A$3,0)),0,1))</f>
        <v/>
      </c>
      <c r="Q696" s="44" t="str">
        <f ca="1">IF(Data!O686="","",IF(ISNUMBER(Data!Q686),IF(AND(Data!Q686&gt;(TODAY()-(Data_Val!$L$3*365.25)),Data!Q686&lt;=(TODAY()-(Data_Val!$L$2*365.25))),0,1),1))</f>
        <v/>
      </c>
    </row>
    <row r="697" spans="1:17" ht="12" customHeight="1" x14ac:dyDescent="0.25">
      <c r="A697" s="36" t="str">
        <f>IF(Data!B687="","",IF(COUNTIFS(Data!A$1:'Data'!A687,Data!A687)&lt;=1,0,1))</f>
        <v/>
      </c>
      <c r="B697" s="36"/>
      <c r="C697" s="36" t="str">
        <f>IF(Data!C687="","",(IF(ISNUMBER(MATCH("*@*.?*",Data!C687,0)),0,1)+IF(COUNTIFS(Data!C$1:'Data'!C687,Data!C687)&gt;1,1,0)))</f>
        <v/>
      </c>
      <c r="D697" s="36" t="str">
        <f>IF(Data!B687="","",IF(ISNUMBER(Data!D687),IF(AND(Data!D687&gt;999999999,Data!D687&lt;=9999999999),IF(COUNTIFS(Data!D$1:'Data'!D687,Data!D687)&lt;=1,0,1),1),1))</f>
        <v/>
      </c>
      <c r="E697" s="36" t="str">
        <f>IF(Data!B687="","",IF(ISNUMBER(MATCH(Data!E687,Data_Val!$A$2:$A$3,0)),0,1))</f>
        <v/>
      </c>
      <c r="F697" s="36" t="str">
        <f ca="1">IF(Data!B687="","",IF(ISNUMBER(Data!F687),IF(AND(Data!F687&gt;(TODAY()-(Data_Val!$H$3*365.25)),Data!F687&lt;=(TODAY()-(Data_Val!$H$2*365.25))),0,1),1))</f>
        <v/>
      </c>
      <c r="G697" s="12" t="str">
        <f>IF(Data!B687="","",IF(AND(Data!G687="",Data!H687&lt;&gt;""),1,IF(ISNUMBER(MATCH(Data!G687,Data_Val!$C$2:$C$5,0)),0,1)))</f>
        <v/>
      </c>
      <c r="H697" s="12" t="str">
        <f>IF(Data!B687="","",IF(AND(Data!G687&lt;&gt;"",Data!H687=""),1,IF(Data!G687="",1,IF(ISNUMBER(MATCH(Data!H687,Data_Val!$D$2:$D$35,0)),0,1))))</f>
        <v/>
      </c>
      <c r="I697" s="38" t="str">
        <f>IF(Data!G687="","",IF(Data!G687=Data_Val!$C$2,IF(Data!I687="",0,1),0))</f>
        <v/>
      </c>
      <c r="J697" s="38" t="str">
        <f>IF(Data!I687="","",IF(ISNUMBER(MATCH(Data!J687,Data_Val!$A$2:$A$3,0)),0,1))</f>
        <v/>
      </c>
      <c r="K697" s="38" t="str">
        <f ca="1">IF(Data!I687="","",IF(ISNUMBER(Data!K687),IF(AND(Data!K687&gt;(TODAY()-(Data_Val!$K$3*365.25)),Data!K687&lt;=(TODAY()-(Data_Val!$K$2*365.25))),0,1),1))</f>
        <v/>
      </c>
      <c r="L697" s="16" t="str">
        <f>IF(Data!G687="","",IF(Data!G687=Data_Val!$C$2,IF(Data!L687="",0,1),0))</f>
        <v/>
      </c>
      <c r="M697" s="16" t="str">
        <f>IF(Data!L687="","",IF(ISNUMBER(MATCH(Data!M687,Data_Val!$A$2:$A$3,0)),0,1))</f>
        <v/>
      </c>
      <c r="N697" s="43" t="str">
        <f ca="1">IF(Data!L687="","",IF(ISNUMBER(Data!N687),IF(AND(Data!N687&gt;(TODAY()-(Data_Val!$L$3*365.25)),Data!N687&lt;=(TODAY()-(Data_Val!$L$2*365.25))),0,1),1))</f>
        <v/>
      </c>
      <c r="O697" s="18" t="str">
        <f>IF(Data!$G687="","",IF(Data!$G687=Data_Val!$C$2,IF(Data!O687="",0,1),0))</f>
        <v/>
      </c>
      <c r="P697" s="18" t="str">
        <f>IF(Data!O687="","",IF(ISNUMBER(MATCH(Data!P687,Data_Val!$A$2:$A$3,0)),0,1))</f>
        <v/>
      </c>
      <c r="Q697" s="44" t="str">
        <f ca="1">IF(Data!O687="","",IF(ISNUMBER(Data!Q687),IF(AND(Data!Q687&gt;(TODAY()-(Data_Val!$L$3*365.25)),Data!Q687&lt;=(TODAY()-(Data_Val!$L$2*365.25))),0,1),1))</f>
        <v/>
      </c>
    </row>
    <row r="698" spans="1:17" ht="12" customHeight="1" x14ac:dyDescent="0.25">
      <c r="A698" s="36" t="str">
        <f>IF(Data!B688="","",IF(COUNTIFS(Data!A$1:'Data'!A688,Data!A688)&lt;=1,0,1))</f>
        <v/>
      </c>
      <c r="B698" s="36"/>
      <c r="C698" s="36" t="str">
        <f>IF(Data!C688="","",(IF(ISNUMBER(MATCH("*@*.?*",Data!C688,0)),0,1)+IF(COUNTIFS(Data!C$1:'Data'!C688,Data!C688)&gt;1,1,0)))</f>
        <v/>
      </c>
      <c r="D698" s="36" t="str">
        <f>IF(Data!B688="","",IF(ISNUMBER(Data!D688),IF(AND(Data!D688&gt;999999999,Data!D688&lt;=9999999999),IF(COUNTIFS(Data!D$1:'Data'!D688,Data!D688)&lt;=1,0,1),1),1))</f>
        <v/>
      </c>
      <c r="E698" s="36" t="str">
        <f>IF(Data!B688="","",IF(ISNUMBER(MATCH(Data!E688,Data_Val!$A$2:$A$3,0)),0,1))</f>
        <v/>
      </c>
      <c r="F698" s="36" t="str">
        <f ca="1">IF(Data!B688="","",IF(ISNUMBER(Data!F688),IF(AND(Data!F688&gt;(TODAY()-(Data_Val!$H$3*365.25)),Data!F688&lt;=(TODAY()-(Data_Val!$H$2*365.25))),0,1),1))</f>
        <v/>
      </c>
      <c r="G698" s="12" t="str">
        <f>IF(Data!B688="","",IF(AND(Data!G688="",Data!H688&lt;&gt;""),1,IF(ISNUMBER(MATCH(Data!G688,Data_Val!$C$2:$C$5,0)),0,1)))</f>
        <v/>
      </c>
      <c r="H698" s="12" t="str">
        <f>IF(Data!B688="","",IF(AND(Data!G688&lt;&gt;"",Data!H688=""),1,IF(Data!G688="",1,IF(ISNUMBER(MATCH(Data!H688,Data_Val!$D$2:$D$35,0)),0,1))))</f>
        <v/>
      </c>
      <c r="I698" s="38" t="str">
        <f>IF(Data!G688="","",IF(Data!G688=Data_Val!$C$2,IF(Data!I688="",0,1),0))</f>
        <v/>
      </c>
      <c r="J698" s="38" t="str">
        <f>IF(Data!I688="","",IF(ISNUMBER(MATCH(Data!J688,Data_Val!$A$2:$A$3,0)),0,1))</f>
        <v/>
      </c>
      <c r="K698" s="38" t="str">
        <f ca="1">IF(Data!I688="","",IF(ISNUMBER(Data!K688),IF(AND(Data!K688&gt;(TODAY()-(Data_Val!$K$3*365.25)),Data!K688&lt;=(TODAY()-(Data_Val!$K$2*365.25))),0,1),1))</f>
        <v/>
      </c>
      <c r="L698" s="16" t="str">
        <f>IF(Data!G688="","",IF(Data!G688=Data_Val!$C$2,IF(Data!L688="",0,1),0))</f>
        <v/>
      </c>
      <c r="M698" s="16" t="str">
        <f>IF(Data!L688="","",IF(ISNUMBER(MATCH(Data!M688,Data_Val!$A$2:$A$3,0)),0,1))</f>
        <v/>
      </c>
      <c r="N698" s="43" t="str">
        <f ca="1">IF(Data!L688="","",IF(ISNUMBER(Data!N688),IF(AND(Data!N688&gt;(TODAY()-(Data_Val!$L$3*365.25)),Data!N688&lt;=(TODAY()-(Data_Val!$L$2*365.25))),0,1),1))</f>
        <v/>
      </c>
      <c r="O698" s="18" t="str">
        <f>IF(Data!$G688="","",IF(Data!$G688=Data_Val!$C$2,IF(Data!O688="",0,1),0))</f>
        <v/>
      </c>
      <c r="P698" s="18" t="str">
        <f>IF(Data!O688="","",IF(ISNUMBER(MATCH(Data!P688,Data_Val!$A$2:$A$3,0)),0,1))</f>
        <v/>
      </c>
      <c r="Q698" s="44" t="str">
        <f ca="1">IF(Data!O688="","",IF(ISNUMBER(Data!Q688),IF(AND(Data!Q688&gt;(TODAY()-(Data_Val!$L$3*365.25)),Data!Q688&lt;=(TODAY()-(Data_Val!$L$2*365.25))),0,1),1))</f>
        <v/>
      </c>
    </row>
    <row r="699" spans="1:17" ht="12" customHeight="1" x14ac:dyDescent="0.25">
      <c r="A699" s="36" t="str">
        <f>IF(Data!B689="","",IF(COUNTIFS(Data!A$1:'Data'!A689,Data!A689)&lt;=1,0,1))</f>
        <v/>
      </c>
      <c r="B699" s="36"/>
      <c r="C699" s="36" t="str">
        <f>IF(Data!C689="","",(IF(ISNUMBER(MATCH("*@*.?*",Data!C689,0)),0,1)+IF(COUNTIFS(Data!C$1:'Data'!C689,Data!C689)&gt;1,1,0)))</f>
        <v/>
      </c>
      <c r="D699" s="36" t="str">
        <f>IF(Data!B689="","",IF(ISNUMBER(Data!D689),IF(AND(Data!D689&gt;999999999,Data!D689&lt;=9999999999),IF(COUNTIFS(Data!D$1:'Data'!D689,Data!D689)&lt;=1,0,1),1),1))</f>
        <v/>
      </c>
      <c r="E699" s="36" t="str">
        <f>IF(Data!B689="","",IF(ISNUMBER(MATCH(Data!E689,Data_Val!$A$2:$A$3,0)),0,1))</f>
        <v/>
      </c>
      <c r="F699" s="36" t="str">
        <f ca="1">IF(Data!B689="","",IF(ISNUMBER(Data!F689),IF(AND(Data!F689&gt;(TODAY()-(Data_Val!$H$3*365.25)),Data!F689&lt;=(TODAY()-(Data_Val!$H$2*365.25))),0,1),1))</f>
        <v/>
      </c>
      <c r="G699" s="12" t="str">
        <f>IF(Data!B689="","",IF(AND(Data!G689="",Data!H689&lt;&gt;""),1,IF(ISNUMBER(MATCH(Data!G689,Data_Val!$C$2:$C$5,0)),0,1)))</f>
        <v/>
      </c>
      <c r="H699" s="12" t="str">
        <f>IF(Data!B689="","",IF(AND(Data!G689&lt;&gt;"",Data!H689=""),1,IF(Data!G689="",1,IF(ISNUMBER(MATCH(Data!H689,Data_Val!$D$2:$D$35,0)),0,1))))</f>
        <v/>
      </c>
      <c r="I699" s="38" t="str">
        <f>IF(Data!G689="","",IF(Data!G689=Data_Val!$C$2,IF(Data!I689="",0,1),0))</f>
        <v/>
      </c>
      <c r="J699" s="38" t="str">
        <f>IF(Data!I689="","",IF(ISNUMBER(MATCH(Data!J689,Data_Val!$A$2:$A$3,0)),0,1))</f>
        <v/>
      </c>
      <c r="K699" s="38" t="str">
        <f ca="1">IF(Data!I689="","",IF(ISNUMBER(Data!K689),IF(AND(Data!K689&gt;(TODAY()-(Data_Val!$K$3*365.25)),Data!K689&lt;=(TODAY()-(Data_Val!$K$2*365.25))),0,1),1))</f>
        <v/>
      </c>
      <c r="L699" s="16" t="str">
        <f>IF(Data!G689="","",IF(Data!G689=Data_Val!$C$2,IF(Data!L689="",0,1),0))</f>
        <v/>
      </c>
      <c r="M699" s="16" t="str">
        <f>IF(Data!L689="","",IF(ISNUMBER(MATCH(Data!M689,Data_Val!$A$2:$A$3,0)),0,1))</f>
        <v/>
      </c>
      <c r="N699" s="43" t="str">
        <f ca="1">IF(Data!L689="","",IF(ISNUMBER(Data!N689),IF(AND(Data!N689&gt;(TODAY()-(Data_Val!$L$3*365.25)),Data!N689&lt;=(TODAY()-(Data_Val!$L$2*365.25))),0,1),1))</f>
        <v/>
      </c>
      <c r="O699" s="18" t="str">
        <f>IF(Data!$G689="","",IF(Data!$G689=Data_Val!$C$2,IF(Data!O689="",0,1),0))</f>
        <v/>
      </c>
      <c r="P699" s="18" t="str">
        <f>IF(Data!O689="","",IF(ISNUMBER(MATCH(Data!P689,Data_Val!$A$2:$A$3,0)),0,1))</f>
        <v/>
      </c>
      <c r="Q699" s="44" t="str">
        <f ca="1">IF(Data!O689="","",IF(ISNUMBER(Data!Q689),IF(AND(Data!Q689&gt;(TODAY()-(Data_Val!$L$3*365.25)),Data!Q689&lt;=(TODAY()-(Data_Val!$L$2*365.25))),0,1),1))</f>
        <v/>
      </c>
    </row>
    <row r="700" spans="1:17" ht="12" customHeight="1" x14ac:dyDescent="0.25">
      <c r="A700" s="36" t="str">
        <f>IF(Data!B690="","",IF(COUNTIFS(Data!A$1:'Data'!A690,Data!A690)&lt;=1,0,1))</f>
        <v/>
      </c>
      <c r="B700" s="36"/>
      <c r="C700" s="36" t="str">
        <f>IF(Data!C690="","",(IF(ISNUMBER(MATCH("*@*.?*",Data!C690,0)),0,1)+IF(COUNTIFS(Data!C$1:'Data'!C690,Data!C690)&gt;1,1,0)))</f>
        <v/>
      </c>
      <c r="D700" s="36" t="str">
        <f>IF(Data!B690="","",IF(ISNUMBER(Data!D690),IF(AND(Data!D690&gt;999999999,Data!D690&lt;=9999999999),IF(COUNTIFS(Data!D$1:'Data'!D690,Data!D690)&lt;=1,0,1),1),1))</f>
        <v/>
      </c>
      <c r="E700" s="36" t="str">
        <f>IF(Data!B690="","",IF(ISNUMBER(MATCH(Data!E690,Data_Val!$A$2:$A$3,0)),0,1))</f>
        <v/>
      </c>
      <c r="F700" s="36" t="str">
        <f ca="1">IF(Data!B690="","",IF(ISNUMBER(Data!F690),IF(AND(Data!F690&gt;(TODAY()-(Data_Val!$H$3*365.25)),Data!F690&lt;=(TODAY()-(Data_Val!$H$2*365.25))),0,1),1))</f>
        <v/>
      </c>
      <c r="G700" s="12" t="str">
        <f>IF(Data!B690="","",IF(AND(Data!G690="",Data!H690&lt;&gt;""),1,IF(ISNUMBER(MATCH(Data!G690,Data_Val!$C$2:$C$5,0)),0,1)))</f>
        <v/>
      </c>
      <c r="H700" s="12" t="str">
        <f>IF(Data!B690="","",IF(AND(Data!G690&lt;&gt;"",Data!H690=""),1,IF(Data!G690="",1,IF(ISNUMBER(MATCH(Data!H690,Data_Val!$D$2:$D$35,0)),0,1))))</f>
        <v/>
      </c>
      <c r="I700" s="38" t="str">
        <f>IF(Data!G690="","",IF(Data!G690=Data_Val!$C$2,IF(Data!I690="",0,1),0))</f>
        <v/>
      </c>
      <c r="J700" s="38" t="str">
        <f>IF(Data!I690="","",IF(ISNUMBER(MATCH(Data!J690,Data_Val!$A$2:$A$3,0)),0,1))</f>
        <v/>
      </c>
      <c r="K700" s="38" t="str">
        <f ca="1">IF(Data!I690="","",IF(ISNUMBER(Data!K690),IF(AND(Data!K690&gt;(TODAY()-(Data_Val!$K$3*365.25)),Data!K690&lt;=(TODAY()-(Data_Val!$K$2*365.25))),0,1),1))</f>
        <v/>
      </c>
      <c r="L700" s="16" t="str">
        <f>IF(Data!G690="","",IF(Data!G690=Data_Val!$C$2,IF(Data!L690="",0,1),0))</f>
        <v/>
      </c>
      <c r="M700" s="16" t="str">
        <f>IF(Data!L690="","",IF(ISNUMBER(MATCH(Data!M690,Data_Val!$A$2:$A$3,0)),0,1))</f>
        <v/>
      </c>
      <c r="N700" s="43" t="str">
        <f ca="1">IF(Data!L690="","",IF(ISNUMBER(Data!N690),IF(AND(Data!N690&gt;(TODAY()-(Data_Val!$L$3*365.25)),Data!N690&lt;=(TODAY()-(Data_Val!$L$2*365.25))),0,1),1))</f>
        <v/>
      </c>
      <c r="O700" s="18" t="str">
        <f>IF(Data!$G690="","",IF(Data!$G690=Data_Val!$C$2,IF(Data!O690="",0,1),0))</f>
        <v/>
      </c>
      <c r="P700" s="18" t="str">
        <f>IF(Data!O690="","",IF(ISNUMBER(MATCH(Data!P690,Data_Val!$A$2:$A$3,0)),0,1))</f>
        <v/>
      </c>
      <c r="Q700" s="44" t="str">
        <f ca="1">IF(Data!O690="","",IF(ISNUMBER(Data!Q690),IF(AND(Data!Q690&gt;(TODAY()-(Data_Val!$L$3*365.25)),Data!Q690&lt;=(TODAY()-(Data_Val!$L$2*365.25))),0,1),1))</f>
        <v/>
      </c>
    </row>
    <row r="701" spans="1:17" ht="12" customHeight="1" x14ac:dyDescent="0.25">
      <c r="A701" s="36" t="str">
        <f>IF(Data!B691="","",IF(COUNTIFS(Data!A$1:'Data'!A691,Data!A691)&lt;=1,0,1))</f>
        <v/>
      </c>
      <c r="B701" s="36"/>
      <c r="C701" s="36" t="str">
        <f>IF(Data!C691="","",(IF(ISNUMBER(MATCH("*@*.?*",Data!C691,0)),0,1)+IF(COUNTIFS(Data!C$1:'Data'!C691,Data!C691)&gt;1,1,0)))</f>
        <v/>
      </c>
      <c r="D701" s="36" t="str">
        <f>IF(Data!B691="","",IF(ISNUMBER(Data!D691),IF(AND(Data!D691&gt;999999999,Data!D691&lt;=9999999999),IF(COUNTIFS(Data!D$1:'Data'!D691,Data!D691)&lt;=1,0,1),1),1))</f>
        <v/>
      </c>
      <c r="E701" s="36" t="str">
        <f>IF(Data!B691="","",IF(ISNUMBER(MATCH(Data!E691,Data_Val!$A$2:$A$3,0)),0,1))</f>
        <v/>
      </c>
      <c r="F701" s="36" t="str">
        <f ca="1">IF(Data!B691="","",IF(ISNUMBER(Data!F691),IF(AND(Data!F691&gt;(TODAY()-(Data_Val!$H$3*365.25)),Data!F691&lt;=(TODAY()-(Data_Val!$H$2*365.25))),0,1),1))</f>
        <v/>
      </c>
      <c r="G701" s="12" t="str">
        <f>IF(Data!B691="","",IF(AND(Data!G691="",Data!H691&lt;&gt;""),1,IF(ISNUMBER(MATCH(Data!G691,Data_Val!$C$2:$C$5,0)),0,1)))</f>
        <v/>
      </c>
      <c r="H701" s="12" t="str">
        <f>IF(Data!B691="","",IF(AND(Data!G691&lt;&gt;"",Data!H691=""),1,IF(Data!G691="",1,IF(ISNUMBER(MATCH(Data!H691,Data_Val!$D$2:$D$35,0)),0,1))))</f>
        <v/>
      </c>
      <c r="I701" s="38" t="str">
        <f>IF(Data!G691="","",IF(Data!G691=Data_Val!$C$2,IF(Data!I691="",0,1),0))</f>
        <v/>
      </c>
      <c r="J701" s="38" t="str">
        <f>IF(Data!I691="","",IF(ISNUMBER(MATCH(Data!J691,Data_Val!$A$2:$A$3,0)),0,1))</f>
        <v/>
      </c>
      <c r="K701" s="38" t="str">
        <f ca="1">IF(Data!I691="","",IF(ISNUMBER(Data!K691),IF(AND(Data!K691&gt;(TODAY()-(Data_Val!$K$3*365.25)),Data!K691&lt;=(TODAY()-(Data_Val!$K$2*365.25))),0,1),1))</f>
        <v/>
      </c>
      <c r="L701" s="16" t="str">
        <f>IF(Data!G691="","",IF(Data!G691=Data_Val!$C$2,IF(Data!L691="",0,1),0))</f>
        <v/>
      </c>
      <c r="M701" s="16" t="str">
        <f>IF(Data!L691="","",IF(ISNUMBER(MATCH(Data!M691,Data_Val!$A$2:$A$3,0)),0,1))</f>
        <v/>
      </c>
      <c r="N701" s="43" t="str">
        <f ca="1">IF(Data!L691="","",IF(ISNUMBER(Data!N691),IF(AND(Data!N691&gt;(TODAY()-(Data_Val!$L$3*365.25)),Data!N691&lt;=(TODAY()-(Data_Val!$L$2*365.25))),0,1),1))</f>
        <v/>
      </c>
      <c r="O701" s="18" t="str">
        <f>IF(Data!$G691="","",IF(Data!$G691=Data_Val!$C$2,IF(Data!O691="",0,1),0))</f>
        <v/>
      </c>
      <c r="P701" s="18" t="str">
        <f>IF(Data!O691="","",IF(ISNUMBER(MATCH(Data!P691,Data_Val!$A$2:$A$3,0)),0,1))</f>
        <v/>
      </c>
      <c r="Q701" s="44" t="str">
        <f ca="1">IF(Data!O691="","",IF(ISNUMBER(Data!Q691),IF(AND(Data!Q691&gt;(TODAY()-(Data_Val!$L$3*365.25)),Data!Q691&lt;=(TODAY()-(Data_Val!$L$2*365.25))),0,1),1))</f>
        <v/>
      </c>
    </row>
    <row r="702" spans="1:17" ht="12" customHeight="1" x14ac:dyDescent="0.25">
      <c r="A702" s="36" t="str">
        <f>IF(Data!B692="","",IF(COUNTIFS(Data!A$1:'Data'!A692,Data!A692)&lt;=1,0,1))</f>
        <v/>
      </c>
      <c r="B702" s="36"/>
      <c r="C702" s="36" t="str">
        <f>IF(Data!C692="","",(IF(ISNUMBER(MATCH("*@*.?*",Data!C692,0)),0,1)+IF(COUNTIFS(Data!C$1:'Data'!C692,Data!C692)&gt;1,1,0)))</f>
        <v/>
      </c>
      <c r="D702" s="36" t="str">
        <f>IF(Data!B692="","",IF(ISNUMBER(Data!D692),IF(AND(Data!D692&gt;999999999,Data!D692&lt;=9999999999),IF(COUNTIFS(Data!D$1:'Data'!D692,Data!D692)&lt;=1,0,1),1),1))</f>
        <v/>
      </c>
      <c r="E702" s="36" t="str">
        <f>IF(Data!B692="","",IF(ISNUMBER(MATCH(Data!E692,Data_Val!$A$2:$A$3,0)),0,1))</f>
        <v/>
      </c>
      <c r="F702" s="36" t="str">
        <f ca="1">IF(Data!B692="","",IF(ISNUMBER(Data!F692),IF(AND(Data!F692&gt;(TODAY()-(Data_Val!$H$3*365.25)),Data!F692&lt;=(TODAY()-(Data_Val!$H$2*365.25))),0,1),1))</f>
        <v/>
      </c>
      <c r="G702" s="12" t="str">
        <f>IF(Data!B692="","",IF(AND(Data!G692="",Data!H692&lt;&gt;""),1,IF(ISNUMBER(MATCH(Data!G692,Data_Val!$C$2:$C$5,0)),0,1)))</f>
        <v/>
      </c>
      <c r="H702" s="12" t="str">
        <f>IF(Data!B692="","",IF(AND(Data!G692&lt;&gt;"",Data!H692=""),1,IF(Data!G692="",1,IF(ISNUMBER(MATCH(Data!H692,Data_Val!$D$2:$D$35,0)),0,1))))</f>
        <v/>
      </c>
      <c r="I702" s="38" t="str">
        <f>IF(Data!G692="","",IF(Data!G692=Data_Val!$C$2,IF(Data!I692="",0,1),0))</f>
        <v/>
      </c>
      <c r="J702" s="38" t="str">
        <f>IF(Data!I692="","",IF(ISNUMBER(MATCH(Data!J692,Data_Val!$A$2:$A$3,0)),0,1))</f>
        <v/>
      </c>
      <c r="K702" s="38" t="str">
        <f ca="1">IF(Data!I692="","",IF(ISNUMBER(Data!K692),IF(AND(Data!K692&gt;(TODAY()-(Data_Val!$K$3*365.25)),Data!K692&lt;=(TODAY()-(Data_Val!$K$2*365.25))),0,1),1))</f>
        <v/>
      </c>
      <c r="L702" s="16" t="str">
        <f>IF(Data!G692="","",IF(Data!G692=Data_Val!$C$2,IF(Data!L692="",0,1),0))</f>
        <v/>
      </c>
      <c r="M702" s="16" t="str">
        <f>IF(Data!L692="","",IF(ISNUMBER(MATCH(Data!M692,Data_Val!$A$2:$A$3,0)),0,1))</f>
        <v/>
      </c>
      <c r="N702" s="43" t="str">
        <f ca="1">IF(Data!L692="","",IF(ISNUMBER(Data!N692),IF(AND(Data!N692&gt;(TODAY()-(Data_Val!$L$3*365.25)),Data!N692&lt;=(TODAY()-(Data_Val!$L$2*365.25))),0,1),1))</f>
        <v/>
      </c>
      <c r="O702" s="18" t="str">
        <f>IF(Data!$G692="","",IF(Data!$G692=Data_Val!$C$2,IF(Data!O692="",0,1),0))</f>
        <v/>
      </c>
      <c r="P702" s="18" t="str">
        <f>IF(Data!O692="","",IF(ISNUMBER(MATCH(Data!P692,Data_Val!$A$2:$A$3,0)),0,1))</f>
        <v/>
      </c>
      <c r="Q702" s="44" t="str">
        <f ca="1">IF(Data!O692="","",IF(ISNUMBER(Data!Q692),IF(AND(Data!Q692&gt;(TODAY()-(Data_Val!$L$3*365.25)),Data!Q692&lt;=(TODAY()-(Data_Val!$L$2*365.25))),0,1),1))</f>
        <v/>
      </c>
    </row>
    <row r="703" spans="1:17" ht="12" customHeight="1" x14ac:dyDescent="0.25">
      <c r="A703" s="36" t="str">
        <f>IF(Data!B693="","",IF(COUNTIFS(Data!A$1:'Data'!A693,Data!A693)&lt;=1,0,1))</f>
        <v/>
      </c>
      <c r="B703" s="36"/>
      <c r="C703" s="36" t="str">
        <f>IF(Data!C693="","",(IF(ISNUMBER(MATCH("*@*.?*",Data!C693,0)),0,1)+IF(COUNTIFS(Data!C$1:'Data'!C693,Data!C693)&gt;1,1,0)))</f>
        <v/>
      </c>
      <c r="D703" s="36" t="str">
        <f>IF(Data!B693="","",IF(ISNUMBER(Data!D693),IF(AND(Data!D693&gt;999999999,Data!D693&lt;=9999999999),IF(COUNTIFS(Data!D$1:'Data'!D693,Data!D693)&lt;=1,0,1),1),1))</f>
        <v/>
      </c>
      <c r="E703" s="36" t="str">
        <f>IF(Data!B693="","",IF(ISNUMBER(MATCH(Data!E693,Data_Val!$A$2:$A$3,0)),0,1))</f>
        <v/>
      </c>
      <c r="F703" s="36" t="str">
        <f ca="1">IF(Data!B693="","",IF(ISNUMBER(Data!F693),IF(AND(Data!F693&gt;(TODAY()-(Data_Val!$H$3*365.25)),Data!F693&lt;=(TODAY()-(Data_Val!$H$2*365.25))),0,1),1))</f>
        <v/>
      </c>
      <c r="G703" s="12" t="str">
        <f>IF(Data!B693="","",IF(AND(Data!G693="",Data!H693&lt;&gt;""),1,IF(ISNUMBER(MATCH(Data!G693,Data_Val!$C$2:$C$5,0)),0,1)))</f>
        <v/>
      </c>
      <c r="H703" s="12" t="str">
        <f>IF(Data!B693="","",IF(AND(Data!G693&lt;&gt;"",Data!H693=""),1,IF(Data!G693="",1,IF(ISNUMBER(MATCH(Data!H693,Data_Val!$D$2:$D$35,0)),0,1))))</f>
        <v/>
      </c>
      <c r="I703" s="38" t="str">
        <f>IF(Data!G693="","",IF(Data!G693=Data_Val!$C$2,IF(Data!I693="",0,1),0))</f>
        <v/>
      </c>
      <c r="J703" s="38" t="str">
        <f>IF(Data!I693="","",IF(ISNUMBER(MATCH(Data!J693,Data_Val!$A$2:$A$3,0)),0,1))</f>
        <v/>
      </c>
      <c r="K703" s="38" t="str">
        <f ca="1">IF(Data!I693="","",IF(ISNUMBER(Data!K693),IF(AND(Data!K693&gt;(TODAY()-(Data_Val!$K$3*365.25)),Data!K693&lt;=(TODAY()-(Data_Val!$K$2*365.25))),0,1),1))</f>
        <v/>
      </c>
      <c r="L703" s="16" t="str">
        <f>IF(Data!G693="","",IF(Data!G693=Data_Val!$C$2,IF(Data!L693="",0,1),0))</f>
        <v/>
      </c>
      <c r="M703" s="16" t="str">
        <f>IF(Data!L693="","",IF(ISNUMBER(MATCH(Data!M693,Data_Val!$A$2:$A$3,0)),0,1))</f>
        <v/>
      </c>
      <c r="N703" s="43" t="str">
        <f ca="1">IF(Data!L693="","",IF(ISNUMBER(Data!N693),IF(AND(Data!N693&gt;(TODAY()-(Data_Val!$L$3*365.25)),Data!N693&lt;=(TODAY()-(Data_Val!$L$2*365.25))),0,1),1))</f>
        <v/>
      </c>
      <c r="O703" s="18" t="str">
        <f>IF(Data!$G693="","",IF(Data!$G693=Data_Val!$C$2,IF(Data!O693="",0,1),0))</f>
        <v/>
      </c>
      <c r="P703" s="18" t="str">
        <f>IF(Data!O693="","",IF(ISNUMBER(MATCH(Data!P693,Data_Val!$A$2:$A$3,0)),0,1))</f>
        <v/>
      </c>
      <c r="Q703" s="44" t="str">
        <f ca="1">IF(Data!O693="","",IF(ISNUMBER(Data!Q693),IF(AND(Data!Q693&gt;(TODAY()-(Data_Val!$L$3*365.25)),Data!Q693&lt;=(TODAY()-(Data_Val!$L$2*365.25))),0,1),1))</f>
        <v/>
      </c>
    </row>
    <row r="704" spans="1:17" ht="12" customHeight="1" x14ac:dyDescent="0.25">
      <c r="A704" s="36" t="str">
        <f>IF(Data!B694="","",IF(COUNTIFS(Data!A$1:'Data'!A694,Data!A694)&lt;=1,0,1))</f>
        <v/>
      </c>
      <c r="B704" s="36"/>
      <c r="C704" s="36" t="str">
        <f>IF(Data!C694="","",(IF(ISNUMBER(MATCH("*@*.?*",Data!C694,0)),0,1)+IF(COUNTIFS(Data!C$1:'Data'!C694,Data!C694)&gt;1,1,0)))</f>
        <v/>
      </c>
      <c r="D704" s="36" t="str">
        <f>IF(Data!B694="","",IF(ISNUMBER(Data!D694),IF(AND(Data!D694&gt;999999999,Data!D694&lt;=9999999999),IF(COUNTIFS(Data!D$1:'Data'!D694,Data!D694)&lt;=1,0,1),1),1))</f>
        <v/>
      </c>
      <c r="E704" s="36" t="str">
        <f>IF(Data!B694="","",IF(ISNUMBER(MATCH(Data!E694,Data_Val!$A$2:$A$3,0)),0,1))</f>
        <v/>
      </c>
      <c r="F704" s="36" t="str">
        <f ca="1">IF(Data!B694="","",IF(ISNUMBER(Data!F694),IF(AND(Data!F694&gt;(TODAY()-(Data_Val!$H$3*365.25)),Data!F694&lt;=(TODAY()-(Data_Val!$H$2*365.25))),0,1),1))</f>
        <v/>
      </c>
      <c r="G704" s="12" t="str">
        <f>IF(Data!B694="","",IF(AND(Data!G694="",Data!H694&lt;&gt;""),1,IF(ISNUMBER(MATCH(Data!G694,Data_Val!$C$2:$C$5,0)),0,1)))</f>
        <v/>
      </c>
      <c r="H704" s="12" t="str">
        <f>IF(Data!B694="","",IF(AND(Data!G694&lt;&gt;"",Data!H694=""),1,IF(Data!G694="",1,IF(ISNUMBER(MATCH(Data!H694,Data_Val!$D$2:$D$35,0)),0,1))))</f>
        <v/>
      </c>
      <c r="I704" s="38" t="str">
        <f>IF(Data!G694="","",IF(Data!G694=Data_Val!$C$2,IF(Data!I694="",0,1),0))</f>
        <v/>
      </c>
      <c r="J704" s="38" t="str">
        <f>IF(Data!I694="","",IF(ISNUMBER(MATCH(Data!J694,Data_Val!$A$2:$A$3,0)),0,1))</f>
        <v/>
      </c>
      <c r="K704" s="38" t="str">
        <f ca="1">IF(Data!I694="","",IF(ISNUMBER(Data!K694),IF(AND(Data!K694&gt;(TODAY()-(Data_Val!$K$3*365.25)),Data!K694&lt;=(TODAY()-(Data_Val!$K$2*365.25))),0,1),1))</f>
        <v/>
      </c>
      <c r="L704" s="16" t="str">
        <f>IF(Data!G694="","",IF(Data!G694=Data_Val!$C$2,IF(Data!L694="",0,1),0))</f>
        <v/>
      </c>
      <c r="M704" s="16" t="str">
        <f>IF(Data!L694="","",IF(ISNUMBER(MATCH(Data!M694,Data_Val!$A$2:$A$3,0)),0,1))</f>
        <v/>
      </c>
      <c r="N704" s="43" t="str">
        <f ca="1">IF(Data!L694="","",IF(ISNUMBER(Data!N694),IF(AND(Data!N694&gt;(TODAY()-(Data_Val!$L$3*365.25)),Data!N694&lt;=(TODAY()-(Data_Val!$L$2*365.25))),0,1),1))</f>
        <v/>
      </c>
      <c r="O704" s="18" t="str">
        <f>IF(Data!$G694="","",IF(Data!$G694=Data_Val!$C$2,IF(Data!O694="",0,1),0))</f>
        <v/>
      </c>
      <c r="P704" s="18" t="str">
        <f>IF(Data!O694="","",IF(ISNUMBER(MATCH(Data!P694,Data_Val!$A$2:$A$3,0)),0,1))</f>
        <v/>
      </c>
      <c r="Q704" s="44" t="str">
        <f ca="1">IF(Data!O694="","",IF(ISNUMBER(Data!Q694),IF(AND(Data!Q694&gt;(TODAY()-(Data_Val!$L$3*365.25)),Data!Q694&lt;=(TODAY()-(Data_Val!$L$2*365.25))),0,1),1))</f>
        <v/>
      </c>
    </row>
    <row r="705" spans="1:17" ht="12" customHeight="1" x14ac:dyDescent="0.25">
      <c r="A705" s="36" t="str">
        <f>IF(Data!B695="","",IF(COUNTIFS(Data!A$1:'Data'!A695,Data!A695)&lt;=1,0,1))</f>
        <v/>
      </c>
      <c r="B705" s="36"/>
      <c r="C705" s="36" t="str">
        <f>IF(Data!C695="","",(IF(ISNUMBER(MATCH("*@*.?*",Data!C695,0)),0,1)+IF(COUNTIFS(Data!C$1:'Data'!C695,Data!C695)&gt;1,1,0)))</f>
        <v/>
      </c>
      <c r="D705" s="36" t="str">
        <f>IF(Data!B695="","",IF(ISNUMBER(Data!D695),IF(AND(Data!D695&gt;999999999,Data!D695&lt;=9999999999),IF(COUNTIFS(Data!D$1:'Data'!D695,Data!D695)&lt;=1,0,1),1),1))</f>
        <v/>
      </c>
      <c r="E705" s="36" t="str">
        <f>IF(Data!B695="","",IF(ISNUMBER(MATCH(Data!E695,Data_Val!$A$2:$A$3,0)),0,1))</f>
        <v/>
      </c>
      <c r="F705" s="36" t="str">
        <f ca="1">IF(Data!B695="","",IF(ISNUMBER(Data!F695),IF(AND(Data!F695&gt;(TODAY()-(Data_Val!$H$3*365.25)),Data!F695&lt;=(TODAY()-(Data_Val!$H$2*365.25))),0,1),1))</f>
        <v/>
      </c>
      <c r="G705" s="12" t="str">
        <f>IF(Data!B695="","",IF(AND(Data!G695="",Data!H695&lt;&gt;""),1,IF(ISNUMBER(MATCH(Data!G695,Data_Val!$C$2:$C$5,0)),0,1)))</f>
        <v/>
      </c>
      <c r="H705" s="12" t="str">
        <f>IF(Data!B695="","",IF(AND(Data!G695&lt;&gt;"",Data!H695=""),1,IF(Data!G695="",1,IF(ISNUMBER(MATCH(Data!H695,Data_Val!$D$2:$D$35,0)),0,1))))</f>
        <v/>
      </c>
      <c r="I705" s="38" t="str">
        <f>IF(Data!G695="","",IF(Data!G695=Data_Val!$C$2,IF(Data!I695="",0,1),0))</f>
        <v/>
      </c>
      <c r="J705" s="38" t="str">
        <f>IF(Data!I695="","",IF(ISNUMBER(MATCH(Data!J695,Data_Val!$A$2:$A$3,0)),0,1))</f>
        <v/>
      </c>
      <c r="K705" s="38" t="str">
        <f ca="1">IF(Data!I695="","",IF(ISNUMBER(Data!K695),IF(AND(Data!K695&gt;(TODAY()-(Data_Val!$K$3*365.25)),Data!K695&lt;=(TODAY()-(Data_Val!$K$2*365.25))),0,1),1))</f>
        <v/>
      </c>
      <c r="L705" s="16" t="str">
        <f>IF(Data!G695="","",IF(Data!G695=Data_Val!$C$2,IF(Data!L695="",0,1),0))</f>
        <v/>
      </c>
      <c r="M705" s="16" t="str">
        <f>IF(Data!L695="","",IF(ISNUMBER(MATCH(Data!M695,Data_Val!$A$2:$A$3,0)),0,1))</f>
        <v/>
      </c>
      <c r="N705" s="43" t="str">
        <f ca="1">IF(Data!L695="","",IF(ISNUMBER(Data!N695),IF(AND(Data!N695&gt;(TODAY()-(Data_Val!$L$3*365.25)),Data!N695&lt;=(TODAY()-(Data_Val!$L$2*365.25))),0,1),1))</f>
        <v/>
      </c>
      <c r="O705" s="18" t="str">
        <f>IF(Data!$G695="","",IF(Data!$G695=Data_Val!$C$2,IF(Data!O695="",0,1),0))</f>
        <v/>
      </c>
      <c r="P705" s="18" t="str">
        <f>IF(Data!O695="","",IF(ISNUMBER(MATCH(Data!P695,Data_Val!$A$2:$A$3,0)),0,1))</f>
        <v/>
      </c>
      <c r="Q705" s="44" t="str">
        <f ca="1">IF(Data!O695="","",IF(ISNUMBER(Data!Q695),IF(AND(Data!Q695&gt;(TODAY()-(Data_Val!$L$3*365.25)),Data!Q695&lt;=(TODAY()-(Data_Val!$L$2*365.25))),0,1),1))</f>
        <v/>
      </c>
    </row>
    <row r="706" spans="1:17" ht="12" customHeight="1" x14ac:dyDescent="0.25">
      <c r="A706" s="36" t="str">
        <f>IF(Data!B696="","",IF(COUNTIFS(Data!A$1:'Data'!A696,Data!A696)&lt;=1,0,1))</f>
        <v/>
      </c>
      <c r="B706" s="36"/>
      <c r="C706" s="36" t="str">
        <f>IF(Data!C696="","",(IF(ISNUMBER(MATCH("*@*.?*",Data!C696,0)),0,1)+IF(COUNTIFS(Data!C$1:'Data'!C696,Data!C696)&gt;1,1,0)))</f>
        <v/>
      </c>
      <c r="D706" s="36" t="str">
        <f>IF(Data!B696="","",IF(ISNUMBER(Data!D696),IF(AND(Data!D696&gt;999999999,Data!D696&lt;=9999999999),IF(COUNTIFS(Data!D$1:'Data'!D696,Data!D696)&lt;=1,0,1),1),1))</f>
        <v/>
      </c>
      <c r="E706" s="36" t="str">
        <f>IF(Data!B696="","",IF(ISNUMBER(MATCH(Data!E696,Data_Val!$A$2:$A$3,0)),0,1))</f>
        <v/>
      </c>
      <c r="F706" s="36" t="str">
        <f ca="1">IF(Data!B696="","",IF(ISNUMBER(Data!F696),IF(AND(Data!F696&gt;(TODAY()-(Data_Val!$H$3*365.25)),Data!F696&lt;=(TODAY()-(Data_Val!$H$2*365.25))),0,1),1))</f>
        <v/>
      </c>
      <c r="G706" s="12" t="str">
        <f>IF(Data!B696="","",IF(AND(Data!G696="",Data!H696&lt;&gt;""),1,IF(ISNUMBER(MATCH(Data!G696,Data_Val!$C$2:$C$5,0)),0,1)))</f>
        <v/>
      </c>
      <c r="H706" s="12" t="str">
        <f>IF(Data!B696="","",IF(AND(Data!G696&lt;&gt;"",Data!H696=""),1,IF(Data!G696="",1,IF(ISNUMBER(MATCH(Data!H696,Data_Val!$D$2:$D$35,0)),0,1))))</f>
        <v/>
      </c>
      <c r="I706" s="38" t="str">
        <f>IF(Data!G696="","",IF(Data!G696=Data_Val!$C$2,IF(Data!I696="",0,1),0))</f>
        <v/>
      </c>
      <c r="J706" s="38" t="str">
        <f>IF(Data!I696="","",IF(ISNUMBER(MATCH(Data!J696,Data_Val!$A$2:$A$3,0)),0,1))</f>
        <v/>
      </c>
      <c r="K706" s="38" t="str">
        <f ca="1">IF(Data!I696="","",IF(ISNUMBER(Data!K696),IF(AND(Data!K696&gt;(TODAY()-(Data_Val!$K$3*365.25)),Data!K696&lt;=(TODAY()-(Data_Val!$K$2*365.25))),0,1),1))</f>
        <v/>
      </c>
      <c r="L706" s="16" t="str">
        <f>IF(Data!G696="","",IF(Data!G696=Data_Val!$C$2,IF(Data!L696="",0,1),0))</f>
        <v/>
      </c>
      <c r="M706" s="16" t="str">
        <f>IF(Data!L696="","",IF(ISNUMBER(MATCH(Data!M696,Data_Val!$A$2:$A$3,0)),0,1))</f>
        <v/>
      </c>
      <c r="N706" s="43" t="str">
        <f ca="1">IF(Data!L696="","",IF(ISNUMBER(Data!N696),IF(AND(Data!N696&gt;(TODAY()-(Data_Val!$L$3*365.25)),Data!N696&lt;=(TODAY()-(Data_Val!$L$2*365.25))),0,1),1))</f>
        <v/>
      </c>
      <c r="O706" s="18" t="str">
        <f>IF(Data!$G696="","",IF(Data!$G696=Data_Val!$C$2,IF(Data!O696="",0,1),0))</f>
        <v/>
      </c>
      <c r="P706" s="18" t="str">
        <f>IF(Data!O696="","",IF(ISNUMBER(MATCH(Data!P696,Data_Val!$A$2:$A$3,0)),0,1))</f>
        <v/>
      </c>
      <c r="Q706" s="44" t="str">
        <f ca="1">IF(Data!O696="","",IF(ISNUMBER(Data!Q696),IF(AND(Data!Q696&gt;(TODAY()-(Data_Val!$L$3*365.25)),Data!Q696&lt;=(TODAY()-(Data_Val!$L$2*365.25))),0,1),1))</f>
        <v/>
      </c>
    </row>
    <row r="707" spans="1:17" ht="12" customHeight="1" x14ac:dyDescent="0.25">
      <c r="A707" s="36" t="str">
        <f>IF(Data!B697="","",IF(COUNTIFS(Data!A$1:'Data'!A697,Data!A697)&lt;=1,0,1))</f>
        <v/>
      </c>
      <c r="B707" s="36"/>
      <c r="C707" s="36" t="str">
        <f>IF(Data!C697="","",(IF(ISNUMBER(MATCH("*@*.?*",Data!C697,0)),0,1)+IF(COUNTIFS(Data!C$1:'Data'!C697,Data!C697)&gt;1,1,0)))</f>
        <v/>
      </c>
      <c r="D707" s="36" t="str">
        <f>IF(Data!B697="","",IF(ISNUMBER(Data!D697),IF(AND(Data!D697&gt;999999999,Data!D697&lt;=9999999999),IF(COUNTIFS(Data!D$1:'Data'!D697,Data!D697)&lt;=1,0,1),1),1))</f>
        <v/>
      </c>
      <c r="E707" s="36" t="str">
        <f>IF(Data!B697="","",IF(ISNUMBER(MATCH(Data!E697,Data_Val!$A$2:$A$3,0)),0,1))</f>
        <v/>
      </c>
      <c r="F707" s="36" t="str">
        <f ca="1">IF(Data!B697="","",IF(ISNUMBER(Data!F697),IF(AND(Data!F697&gt;(TODAY()-(Data_Val!$H$3*365.25)),Data!F697&lt;=(TODAY()-(Data_Val!$H$2*365.25))),0,1),1))</f>
        <v/>
      </c>
      <c r="G707" s="12" t="str">
        <f>IF(Data!B697="","",IF(AND(Data!G697="",Data!H697&lt;&gt;""),1,IF(ISNUMBER(MATCH(Data!G697,Data_Val!$C$2:$C$5,0)),0,1)))</f>
        <v/>
      </c>
      <c r="H707" s="12" t="str">
        <f>IF(Data!B697="","",IF(AND(Data!G697&lt;&gt;"",Data!H697=""),1,IF(Data!G697="",1,IF(ISNUMBER(MATCH(Data!H697,Data_Val!$D$2:$D$35,0)),0,1))))</f>
        <v/>
      </c>
      <c r="I707" s="38" t="str">
        <f>IF(Data!G697="","",IF(Data!G697=Data_Val!$C$2,IF(Data!I697="",0,1),0))</f>
        <v/>
      </c>
      <c r="J707" s="38" t="str">
        <f>IF(Data!I697="","",IF(ISNUMBER(MATCH(Data!J697,Data_Val!$A$2:$A$3,0)),0,1))</f>
        <v/>
      </c>
      <c r="K707" s="38" t="str">
        <f ca="1">IF(Data!I697="","",IF(ISNUMBER(Data!K697),IF(AND(Data!K697&gt;(TODAY()-(Data_Val!$K$3*365.25)),Data!K697&lt;=(TODAY()-(Data_Val!$K$2*365.25))),0,1),1))</f>
        <v/>
      </c>
      <c r="L707" s="16" t="str">
        <f>IF(Data!G697="","",IF(Data!G697=Data_Val!$C$2,IF(Data!L697="",0,1),0))</f>
        <v/>
      </c>
      <c r="M707" s="16" t="str">
        <f>IF(Data!L697="","",IF(ISNUMBER(MATCH(Data!M697,Data_Val!$A$2:$A$3,0)),0,1))</f>
        <v/>
      </c>
      <c r="N707" s="43" t="str">
        <f ca="1">IF(Data!L697="","",IF(ISNUMBER(Data!N697),IF(AND(Data!N697&gt;(TODAY()-(Data_Val!$L$3*365.25)),Data!N697&lt;=(TODAY()-(Data_Val!$L$2*365.25))),0,1),1))</f>
        <v/>
      </c>
      <c r="O707" s="18" t="str">
        <f>IF(Data!$G697="","",IF(Data!$G697=Data_Val!$C$2,IF(Data!O697="",0,1),0))</f>
        <v/>
      </c>
      <c r="P707" s="18" t="str">
        <f>IF(Data!O697="","",IF(ISNUMBER(MATCH(Data!P697,Data_Val!$A$2:$A$3,0)),0,1))</f>
        <v/>
      </c>
      <c r="Q707" s="44" t="str">
        <f ca="1">IF(Data!O697="","",IF(ISNUMBER(Data!Q697),IF(AND(Data!Q697&gt;(TODAY()-(Data_Val!$L$3*365.25)),Data!Q697&lt;=(TODAY()-(Data_Val!$L$2*365.25))),0,1),1))</f>
        <v/>
      </c>
    </row>
    <row r="708" spans="1:17" ht="12" customHeight="1" x14ac:dyDescent="0.25">
      <c r="A708" s="36" t="str">
        <f>IF(Data!B698="","",IF(COUNTIFS(Data!A$1:'Data'!A698,Data!A698)&lt;=1,0,1))</f>
        <v/>
      </c>
      <c r="B708" s="36"/>
      <c r="C708" s="36" t="str">
        <f>IF(Data!C698="","",(IF(ISNUMBER(MATCH("*@*.?*",Data!C698,0)),0,1)+IF(COUNTIFS(Data!C$1:'Data'!C698,Data!C698)&gt;1,1,0)))</f>
        <v/>
      </c>
      <c r="D708" s="36" t="str">
        <f>IF(Data!B698="","",IF(ISNUMBER(Data!D698),IF(AND(Data!D698&gt;999999999,Data!D698&lt;=9999999999),IF(COUNTIFS(Data!D$1:'Data'!D698,Data!D698)&lt;=1,0,1),1),1))</f>
        <v/>
      </c>
      <c r="E708" s="36" t="str">
        <f>IF(Data!B698="","",IF(ISNUMBER(MATCH(Data!E698,Data_Val!$A$2:$A$3,0)),0,1))</f>
        <v/>
      </c>
      <c r="F708" s="36" t="str">
        <f ca="1">IF(Data!B698="","",IF(ISNUMBER(Data!F698),IF(AND(Data!F698&gt;(TODAY()-(Data_Val!$H$3*365.25)),Data!F698&lt;=(TODAY()-(Data_Val!$H$2*365.25))),0,1),1))</f>
        <v/>
      </c>
      <c r="G708" s="12" t="str">
        <f>IF(Data!B698="","",IF(AND(Data!G698="",Data!H698&lt;&gt;""),1,IF(ISNUMBER(MATCH(Data!G698,Data_Val!$C$2:$C$5,0)),0,1)))</f>
        <v/>
      </c>
      <c r="H708" s="12" t="str">
        <f>IF(Data!B698="","",IF(AND(Data!G698&lt;&gt;"",Data!H698=""),1,IF(Data!G698="",1,IF(ISNUMBER(MATCH(Data!H698,Data_Val!$D$2:$D$35,0)),0,1))))</f>
        <v/>
      </c>
      <c r="I708" s="38" t="str">
        <f>IF(Data!G698="","",IF(Data!G698=Data_Val!$C$2,IF(Data!I698="",0,1),0))</f>
        <v/>
      </c>
      <c r="J708" s="38" t="str">
        <f>IF(Data!I698="","",IF(ISNUMBER(MATCH(Data!J698,Data_Val!$A$2:$A$3,0)),0,1))</f>
        <v/>
      </c>
      <c r="K708" s="38" t="str">
        <f ca="1">IF(Data!I698="","",IF(ISNUMBER(Data!K698),IF(AND(Data!K698&gt;(TODAY()-(Data_Val!$K$3*365.25)),Data!K698&lt;=(TODAY()-(Data_Val!$K$2*365.25))),0,1),1))</f>
        <v/>
      </c>
      <c r="L708" s="16" t="str">
        <f>IF(Data!G698="","",IF(Data!G698=Data_Val!$C$2,IF(Data!L698="",0,1),0))</f>
        <v/>
      </c>
      <c r="M708" s="16" t="str">
        <f>IF(Data!L698="","",IF(ISNUMBER(MATCH(Data!M698,Data_Val!$A$2:$A$3,0)),0,1))</f>
        <v/>
      </c>
      <c r="N708" s="43" t="str">
        <f ca="1">IF(Data!L698="","",IF(ISNUMBER(Data!N698),IF(AND(Data!N698&gt;(TODAY()-(Data_Val!$L$3*365.25)),Data!N698&lt;=(TODAY()-(Data_Val!$L$2*365.25))),0,1),1))</f>
        <v/>
      </c>
      <c r="O708" s="18" t="str">
        <f>IF(Data!$G698="","",IF(Data!$G698=Data_Val!$C$2,IF(Data!O698="",0,1),0))</f>
        <v/>
      </c>
      <c r="P708" s="18" t="str">
        <f>IF(Data!O698="","",IF(ISNUMBER(MATCH(Data!P698,Data_Val!$A$2:$A$3,0)),0,1))</f>
        <v/>
      </c>
      <c r="Q708" s="44" t="str">
        <f ca="1">IF(Data!O698="","",IF(ISNUMBER(Data!Q698),IF(AND(Data!Q698&gt;(TODAY()-(Data_Val!$L$3*365.25)),Data!Q698&lt;=(TODAY()-(Data_Val!$L$2*365.25))),0,1),1))</f>
        <v/>
      </c>
    </row>
    <row r="709" spans="1:17" ht="12" customHeight="1" x14ac:dyDescent="0.25">
      <c r="A709" s="36" t="str">
        <f>IF(Data!B699="","",IF(COUNTIFS(Data!A$1:'Data'!A699,Data!A699)&lt;=1,0,1))</f>
        <v/>
      </c>
      <c r="B709" s="36"/>
      <c r="C709" s="36" t="str">
        <f>IF(Data!C699="","",(IF(ISNUMBER(MATCH("*@*.?*",Data!C699,0)),0,1)+IF(COUNTIFS(Data!C$1:'Data'!C699,Data!C699)&gt;1,1,0)))</f>
        <v/>
      </c>
      <c r="D709" s="36" t="str">
        <f>IF(Data!B699="","",IF(ISNUMBER(Data!D699),IF(AND(Data!D699&gt;999999999,Data!D699&lt;=9999999999),IF(COUNTIFS(Data!D$1:'Data'!D699,Data!D699)&lt;=1,0,1),1),1))</f>
        <v/>
      </c>
      <c r="E709" s="36" t="str">
        <f>IF(Data!B699="","",IF(ISNUMBER(MATCH(Data!E699,Data_Val!$A$2:$A$3,0)),0,1))</f>
        <v/>
      </c>
      <c r="F709" s="36" t="str">
        <f ca="1">IF(Data!B699="","",IF(ISNUMBER(Data!F699),IF(AND(Data!F699&gt;(TODAY()-(Data_Val!$H$3*365.25)),Data!F699&lt;=(TODAY()-(Data_Val!$H$2*365.25))),0,1),1))</f>
        <v/>
      </c>
      <c r="G709" s="12" t="str">
        <f>IF(Data!B699="","",IF(AND(Data!G699="",Data!H699&lt;&gt;""),1,IF(ISNUMBER(MATCH(Data!G699,Data_Val!$C$2:$C$5,0)),0,1)))</f>
        <v/>
      </c>
      <c r="H709" s="12" t="str">
        <f>IF(Data!B699="","",IF(AND(Data!G699&lt;&gt;"",Data!H699=""),1,IF(Data!G699="",1,IF(ISNUMBER(MATCH(Data!H699,Data_Val!$D$2:$D$35,0)),0,1))))</f>
        <v/>
      </c>
      <c r="I709" s="38" t="str">
        <f>IF(Data!G699="","",IF(Data!G699=Data_Val!$C$2,IF(Data!I699="",0,1),0))</f>
        <v/>
      </c>
      <c r="J709" s="38" t="str">
        <f>IF(Data!I699="","",IF(ISNUMBER(MATCH(Data!J699,Data_Val!$A$2:$A$3,0)),0,1))</f>
        <v/>
      </c>
      <c r="K709" s="38" t="str">
        <f ca="1">IF(Data!I699="","",IF(ISNUMBER(Data!K699),IF(AND(Data!K699&gt;(TODAY()-(Data_Val!$K$3*365.25)),Data!K699&lt;=(TODAY()-(Data_Val!$K$2*365.25))),0,1),1))</f>
        <v/>
      </c>
      <c r="L709" s="16" t="str">
        <f>IF(Data!G699="","",IF(Data!G699=Data_Val!$C$2,IF(Data!L699="",0,1),0))</f>
        <v/>
      </c>
      <c r="M709" s="16" t="str">
        <f>IF(Data!L699="","",IF(ISNUMBER(MATCH(Data!M699,Data_Val!$A$2:$A$3,0)),0,1))</f>
        <v/>
      </c>
      <c r="N709" s="43" t="str">
        <f ca="1">IF(Data!L699="","",IF(ISNUMBER(Data!N699),IF(AND(Data!N699&gt;(TODAY()-(Data_Val!$L$3*365.25)),Data!N699&lt;=(TODAY()-(Data_Val!$L$2*365.25))),0,1),1))</f>
        <v/>
      </c>
      <c r="O709" s="18" t="str">
        <f>IF(Data!$G699="","",IF(Data!$G699=Data_Val!$C$2,IF(Data!O699="",0,1),0))</f>
        <v/>
      </c>
      <c r="P709" s="18" t="str">
        <f>IF(Data!O699="","",IF(ISNUMBER(MATCH(Data!P699,Data_Val!$A$2:$A$3,0)),0,1))</f>
        <v/>
      </c>
      <c r="Q709" s="44" t="str">
        <f ca="1">IF(Data!O699="","",IF(ISNUMBER(Data!Q699),IF(AND(Data!Q699&gt;(TODAY()-(Data_Val!$L$3*365.25)),Data!Q699&lt;=(TODAY()-(Data_Val!$L$2*365.25))),0,1),1))</f>
        <v/>
      </c>
    </row>
    <row r="710" spans="1:17" ht="12" customHeight="1" x14ac:dyDescent="0.25">
      <c r="A710" s="36" t="str">
        <f>IF(Data!B700="","",IF(COUNTIFS(Data!A$1:'Data'!A700,Data!A700)&lt;=1,0,1))</f>
        <v/>
      </c>
      <c r="B710" s="36"/>
      <c r="C710" s="36" t="str">
        <f>IF(Data!C700="","",(IF(ISNUMBER(MATCH("*@*.?*",Data!C700,0)),0,1)+IF(COUNTIFS(Data!C$1:'Data'!C700,Data!C700)&gt;1,1,0)))</f>
        <v/>
      </c>
      <c r="D710" s="36" t="str">
        <f>IF(Data!B700="","",IF(ISNUMBER(Data!D700),IF(AND(Data!D700&gt;999999999,Data!D700&lt;=9999999999),IF(COUNTIFS(Data!D$1:'Data'!D700,Data!D700)&lt;=1,0,1),1),1))</f>
        <v/>
      </c>
      <c r="E710" s="36" t="str">
        <f>IF(Data!B700="","",IF(ISNUMBER(MATCH(Data!E700,Data_Val!$A$2:$A$3,0)),0,1))</f>
        <v/>
      </c>
      <c r="F710" s="36" t="str">
        <f ca="1">IF(Data!B700="","",IF(ISNUMBER(Data!F700),IF(AND(Data!F700&gt;(TODAY()-(Data_Val!$H$3*365.25)),Data!F700&lt;=(TODAY()-(Data_Val!$H$2*365.25))),0,1),1))</f>
        <v/>
      </c>
      <c r="G710" s="12" t="str">
        <f>IF(Data!B700="","",IF(AND(Data!G700="",Data!H700&lt;&gt;""),1,IF(ISNUMBER(MATCH(Data!G700,Data_Val!$C$2:$C$5,0)),0,1)))</f>
        <v/>
      </c>
      <c r="H710" s="12" t="str">
        <f>IF(Data!B700="","",IF(AND(Data!G700&lt;&gt;"",Data!H700=""),1,IF(Data!G700="",1,IF(ISNUMBER(MATCH(Data!H700,Data_Val!$D$2:$D$35,0)),0,1))))</f>
        <v/>
      </c>
      <c r="I710" s="38" t="str">
        <f>IF(Data!G700="","",IF(Data!G700=Data_Val!$C$2,IF(Data!I700="",0,1),0))</f>
        <v/>
      </c>
      <c r="J710" s="38" t="str">
        <f>IF(Data!I700="","",IF(ISNUMBER(MATCH(Data!J700,Data_Val!$A$2:$A$3,0)),0,1))</f>
        <v/>
      </c>
      <c r="K710" s="38" t="str">
        <f ca="1">IF(Data!I700="","",IF(ISNUMBER(Data!K700),IF(AND(Data!K700&gt;(TODAY()-(Data_Val!$K$3*365.25)),Data!K700&lt;=(TODAY()-(Data_Val!$K$2*365.25))),0,1),1))</f>
        <v/>
      </c>
      <c r="L710" s="16" t="str">
        <f>IF(Data!G700="","",IF(Data!G700=Data_Val!$C$2,IF(Data!L700="",0,1),0))</f>
        <v/>
      </c>
      <c r="M710" s="16" t="str">
        <f>IF(Data!L700="","",IF(ISNUMBER(MATCH(Data!M700,Data_Val!$A$2:$A$3,0)),0,1))</f>
        <v/>
      </c>
      <c r="N710" s="43" t="str">
        <f ca="1">IF(Data!L700="","",IF(ISNUMBER(Data!N700),IF(AND(Data!N700&gt;(TODAY()-(Data_Val!$L$3*365.25)),Data!N700&lt;=(TODAY()-(Data_Val!$L$2*365.25))),0,1),1))</f>
        <v/>
      </c>
      <c r="O710" s="18" t="str">
        <f>IF(Data!$G700="","",IF(Data!$G700=Data_Val!$C$2,IF(Data!O700="",0,1),0))</f>
        <v/>
      </c>
      <c r="P710" s="18" t="str">
        <f>IF(Data!O700="","",IF(ISNUMBER(MATCH(Data!P700,Data_Val!$A$2:$A$3,0)),0,1))</f>
        <v/>
      </c>
      <c r="Q710" s="44" t="str">
        <f ca="1">IF(Data!O700="","",IF(ISNUMBER(Data!Q700),IF(AND(Data!Q700&gt;(TODAY()-(Data_Val!$L$3*365.25)),Data!Q700&lt;=(TODAY()-(Data_Val!$L$2*365.25))),0,1),1))</f>
        <v/>
      </c>
    </row>
    <row r="711" spans="1:17" ht="12" customHeight="1" x14ac:dyDescent="0.25">
      <c r="A711" s="36" t="str">
        <f>IF(Data!B701="","",IF(COUNTIFS(Data!A$1:'Data'!A701,Data!A701)&lt;=1,0,1))</f>
        <v/>
      </c>
      <c r="B711" s="36"/>
      <c r="C711" s="36" t="str">
        <f>IF(Data!C701="","",(IF(ISNUMBER(MATCH("*@*.?*",Data!C701,0)),0,1)+IF(COUNTIFS(Data!C$1:'Data'!C701,Data!C701)&gt;1,1,0)))</f>
        <v/>
      </c>
      <c r="D711" s="36" t="str">
        <f>IF(Data!B701="","",IF(ISNUMBER(Data!D701),IF(AND(Data!D701&gt;999999999,Data!D701&lt;=9999999999),IF(COUNTIFS(Data!D$1:'Data'!D701,Data!D701)&lt;=1,0,1),1),1))</f>
        <v/>
      </c>
      <c r="E711" s="36" t="str">
        <f>IF(Data!B701="","",IF(ISNUMBER(MATCH(Data!E701,Data_Val!$A$2:$A$3,0)),0,1))</f>
        <v/>
      </c>
      <c r="F711" s="36" t="str">
        <f ca="1">IF(Data!B701="","",IF(ISNUMBER(Data!F701),IF(AND(Data!F701&gt;(TODAY()-(Data_Val!$H$3*365.25)),Data!F701&lt;=(TODAY()-(Data_Val!$H$2*365.25))),0,1),1))</f>
        <v/>
      </c>
      <c r="G711" s="12" t="str">
        <f>IF(Data!B701="","",IF(AND(Data!G701="",Data!H701&lt;&gt;""),1,IF(ISNUMBER(MATCH(Data!G701,Data_Val!$C$2:$C$5,0)),0,1)))</f>
        <v/>
      </c>
      <c r="H711" s="12" t="str">
        <f>IF(Data!B701="","",IF(AND(Data!G701&lt;&gt;"",Data!H701=""),1,IF(Data!G701="",1,IF(ISNUMBER(MATCH(Data!H701,Data_Val!$D$2:$D$35,0)),0,1))))</f>
        <v/>
      </c>
      <c r="I711" s="38" t="str">
        <f>IF(Data!G701="","",IF(Data!G701=Data_Val!$C$2,IF(Data!I701="",0,1),0))</f>
        <v/>
      </c>
      <c r="J711" s="38" t="str">
        <f>IF(Data!I701="","",IF(ISNUMBER(MATCH(Data!J701,Data_Val!$A$2:$A$3,0)),0,1))</f>
        <v/>
      </c>
      <c r="K711" s="38" t="str">
        <f ca="1">IF(Data!I701="","",IF(ISNUMBER(Data!K701),IF(AND(Data!K701&gt;(TODAY()-(Data_Val!$K$3*365.25)),Data!K701&lt;=(TODAY()-(Data_Val!$K$2*365.25))),0,1),1))</f>
        <v/>
      </c>
      <c r="L711" s="16" t="str">
        <f>IF(Data!G701="","",IF(Data!G701=Data_Val!$C$2,IF(Data!L701="",0,1),0))</f>
        <v/>
      </c>
      <c r="M711" s="16" t="str">
        <f>IF(Data!L701="","",IF(ISNUMBER(MATCH(Data!M701,Data_Val!$A$2:$A$3,0)),0,1))</f>
        <v/>
      </c>
      <c r="N711" s="43" t="str">
        <f ca="1">IF(Data!L701="","",IF(ISNUMBER(Data!N701),IF(AND(Data!N701&gt;(TODAY()-(Data_Val!$L$3*365.25)),Data!N701&lt;=(TODAY()-(Data_Val!$L$2*365.25))),0,1),1))</f>
        <v/>
      </c>
      <c r="O711" s="18" t="str">
        <f>IF(Data!$G701="","",IF(Data!$G701=Data_Val!$C$2,IF(Data!O701="",0,1),0))</f>
        <v/>
      </c>
      <c r="P711" s="18" t="str">
        <f>IF(Data!O701="","",IF(ISNUMBER(MATCH(Data!P701,Data_Val!$A$2:$A$3,0)),0,1))</f>
        <v/>
      </c>
      <c r="Q711" s="44" t="str">
        <f ca="1">IF(Data!O701="","",IF(ISNUMBER(Data!Q701),IF(AND(Data!Q701&gt;(TODAY()-(Data_Val!$L$3*365.25)),Data!Q701&lt;=(TODAY()-(Data_Val!$L$2*365.25))),0,1),1))</f>
        <v/>
      </c>
    </row>
    <row r="712" spans="1:17" ht="12" customHeight="1" x14ac:dyDescent="0.25">
      <c r="A712" s="36" t="str">
        <f>IF(Data!B702="","",IF(COUNTIFS(Data!A$1:'Data'!A702,Data!A702)&lt;=1,0,1))</f>
        <v/>
      </c>
      <c r="B712" s="36"/>
      <c r="C712" s="36" t="str">
        <f>IF(Data!C702="","",(IF(ISNUMBER(MATCH("*@*.?*",Data!C702,0)),0,1)+IF(COUNTIFS(Data!C$1:'Data'!C702,Data!C702)&gt;1,1,0)))</f>
        <v/>
      </c>
      <c r="D712" s="36" t="str">
        <f>IF(Data!B702="","",IF(ISNUMBER(Data!D702),IF(AND(Data!D702&gt;999999999,Data!D702&lt;=9999999999),IF(COUNTIFS(Data!D$1:'Data'!D702,Data!D702)&lt;=1,0,1),1),1))</f>
        <v/>
      </c>
      <c r="E712" s="36" t="str">
        <f>IF(Data!B702="","",IF(ISNUMBER(MATCH(Data!E702,Data_Val!$A$2:$A$3,0)),0,1))</f>
        <v/>
      </c>
      <c r="F712" s="36" t="str">
        <f ca="1">IF(Data!B702="","",IF(ISNUMBER(Data!F702),IF(AND(Data!F702&gt;(TODAY()-(Data_Val!$H$3*365.25)),Data!F702&lt;=(TODAY()-(Data_Val!$H$2*365.25))),0,1),1))</f>
        <v/>
      </c>
      <c r="G712" s="12" t="str">
        <f>IF(Data!B702="","",IF(AND(Data!G702="",Data!H702&lt;&gt;""),1,IF(ISNUMBER(MATCH(Data!G702,Data_Val!$C$2:$C$5,0)),0,1)))</f>
        <v/>
      </c>
      <c r="H712" s="12" t="str">
        <f>IF(Data!B702="","",IF(AND(Data!G702&lt;&gt;"",Data!H702=""),1,IF(Data!G702="",1,IF(ISNUMBER(MATCH(Data!H702,Data_Val!$D$2:$D$35,0)),0,1))))</f>
        <v/>
      </c>
      <c r="I712" s="38" t="str">
        <f>IF(Data!G702="","",IF(Data!G702=Data_Val!$C$2,IF(Data!I702="",0,1),0))</f>
        <v/>
      </c>
      <c r="J712" s="38" t="str">
        <f>IF(Data!I702="","",IF(ISNUMBER(MATCH(Data!J702,Data_Val!$A$2:$A$3,0)),0,1))</f>
        <v/>
      </c>
      <c r="K712" s="38" t="str">
        <f ca="1">IF(Data!I702="","",IF(ISNUMBER(Data!K702),IF(AND(Data!K702&gt;(TODAY()-(Data_Val!$K$3*365.25)),Data!K702&lt;=(TODAY()-(Data_Val!$K$2*365.25))),0,1),1))</f>
        <v/>
      </c>
      <c r="L712" s="16" t="str">
        <f>IF(Data!G702="","",IF(Data!G702=Data_Val!$C$2,IF(Data!L702="",0,1),0))</f>
        <v/>
      </c>
      <c r="M712" s="16" t="str">
        <f>IF(Data!L702="","",IF(ISNUMBER(MATCH(Data!M702,Data_Val!$A$2:$A$3,0)),0,1))</f>
        <v/>
      </c>
      <c r="N712" s="43" t="str">
        <f ca="1">IF(Data!L702="","",IF(ISNUMBER(Data!N702),IF(AND(Data!N702&gt;(TODAY()-(Data_Val!$L$3*365.25)),Data!N702&lt;=(TODAY()-(Data_Val!$L$2*365.25))),0,1),1))</f>
        <v/>
      </c>
      <c r="O712" s="18" t="str">
        <f>IF(Data!$G702="","",IF(Data!$G702=Data_Val!$C$2,IF(Data!O702="",0,1),0))</f>
        <v/>
      </c>
      <c r="P712" s="18" t="str">
        <f>IF(Data!O702="","",IF(ISNUMBER(MATCH(Data!P702,Data_Val!$A$2:$A$3,0)),0,1))</f>
        <v/>
      </c>
      <c r="Q712" s="44" t="str">
        <f ca="1">IF(Data!O702="","",IF(ISNUMBER(Data!Q702),IF(AND(Data!Q702&gt;(TODAY()-(Data_Val!$L$3*365.25)),Data!Q702&lt;=(TODAY()-(Data_Val!$L$2*365.25))),0,1),1))</f>
        <v/>
      </c>
    </row>
    <row r="713" spans="1:17" ht="12" customHeight="1" x14ac:dyDescent="0.25">
      <c r="A713" s="36" t="str">
        <f>IF(Data!B703="","",IF(COUNTIFS(Data!A$1:'Data'!A703,Data!A703)&lt;=1,0,1))</f>
        <v/>
      </c>
      <c r="B713" s="36"/>
      <c r="C713" s="36" t="str">
        <f>IF(Data!C703="","",(IF(ISNUMBER(MATCH("*@*.?*",Data!C703,0)),0,1)+IF(COUNTIFS(Data!C$1:'Data'!C703,Data!C703)&gt;1,1,0)))</f>
        <v/>
      </c>
      <c r="D713" s="36" t="str">
        <f>IF(Data!B703="","",IF(ISNUMBER(Data!D703),IF(AND(Data!D703&gt;999999999,Data!D703&lt;=9999999999),IF(COUNTIFS(Data!D$1:'Data'!D703,Data!D703)&lt;=1,0,1),1),1))</f>
        <v/>
      </c>
      <c r="E713" s="36" t="str">
        <f>IF(Data!B703="","",IF(ISNUMBER(MATCH(Data!E703,Data_Val!$A$2:$A$3,0)),0,1))</f>
        <v/>
      </c>
      <c r="F713" s="36" t="str">
        <f ca="1">IF(Data!B703="","",IF(ISNUMBER(Data!F703),IF(AND(Data!F703&gt;(TODAY()-(Data_Val!$H$3*365.25)),Data!F703&lt;=(TODAY()-(Data_Val!$H$2*365.25))),0,1),1))</f>
        <v/>
      </c>
      <c r="G713" s="12" t="str">
        <f>IF(Data!B703="","",IF(AND(Data!G703="",Data!H703&lt;&gt;""),1,IF(ISNUMBER(MATCH(Data!G703,Data_Val!$C$2:$C$5,0)),0,1)))</f>
        <v/>
      </c>
      <c r="H713" s="12" t="str">
        <f>IF(Data!B703="","",IF(AND(Data!G703&lt;&gt;"",Data!H703=""),1,IF(Data!G703="",1,IF(ISNUMBER(MATCH(Data!H703,Data_Val!$D$2:$D$35,0)),0,1))))</f>
        <v/>
      </c>
      <c r="I713" s="38" t="str">
        <f>IF(Data!G703="","",IF(Data!G703=Data_Val!$C$2,IF(Data!I703="",0,1),0))</f>
        <v/>
      </c>
      <c r="J713" s="38" t="str">
        <f>IF(Data!I703="","",IF(ISNUMBER(MATCH(Data!J703,Data_Val!$A$2:$A$3,0)),0,1))</f>
        <v/>
      </c>
      <c r="K713" s="38" t="str">
        <f ca="1">IF(Data!I703="","",IF(ISNUMBER(Data!K703),IF(AND(Data!K703&gt;(TODAY()-(Data_Val!$K$3*365.25)),Data!K703&lt;=(TODAY()-(Data_Val!$K$2*365.25))),0,1),1))</f>
        <v/>
      </c>
      <c r="L713" s="16" t="str">
        <f>IF(Data!G703="","",IF(Data!G703=Data_Val!$C$2,IF(Data!L703="",0,1),0))</f>
        <v/>
      </c>
      <c r="M713" s="16" t="str">
        <f>IF(Data!L703="","",IF(ISNUMBER(MATCH(Data!M703,Data_Val!$A$2:$A$3,0)),0,1))</f>
        <v/>
      </c>
      <c r="N713" s="43" t="str">
        <f ca="1">IF(Data!L703="","",IF(ISNUMBER(Data!N703),IF(AND(Data!N703&gt;(TODAY()-(Data_Val!$L$3*365.25)),Data!N703&lt;=(TODAY()-(Data_Val!$L$2*365.25))),0,1),1))</f>
        <v/>
      </c>
      <c r="O713" s="18" t="str">
        <f>IF(Data!$G703="","",IF(Data!$G703=Data_Val!$C$2,IF(Data!O703="",0,1),0))</f>
        <v/>
      </c>
      <c r="P713" s="18" t="str">
        <f>IF(Data!O703="","",IF(ISNUMBER(MATCH(Data!P703,Data_Val!$A$2:$A$3,0)),0,1))</f>
        <v/>
      </c>
      <c r="Q713" s="44" t="str">
        <f ca="1">IF(Data!O703="","",IF(ISNUMBER(Data!Q703),IF(AND(Data!Q703&gt;(TODAY()-(Data_Val!$L$3*365.25)),Data!Q703&lt;=(TODAY()-(Data_Val!$L$2*365.25))),0,1),1))</f>
        <v/>
      </c>
    </row>
    <row r="714" spans="1:17" ht="12" customHeight="1" x14ac:dyDescent="0.25">
      <c r="A714" s="36" t="str">
        <f>IF(Data!B704="","",IF(COUNTIFS(Data!A$1:'Data'!A704,Data!A704)&lt;=1,0,1))</f>
        <v/>
      </c>
      <c r="B714" s="36"/>
      <c r="C714" s="36" t="str">
        <f>IF(Data!C704="","",(IF(ISNUMBER(MATCH("*@*.?*",Data!C704,0)),0,1)+IF(COUNTIFS(Data!C$1:'Data'!C704,Data!C704)&gt;1,1,0)))</f>
        <v/>
      </c>
      <c r="D714" s="36" t="str">
        <f>IF(Data!B704="","",IF(ISNUMBER(Data!D704),IF(AND(Data!D704&gt;999999999,Data!D704&lt;=9999999999),IF(COUNTIFS(Data!D$1:'Data'!D704,Data!D704)&lt;=1,0,1),1),1))</f>
        <v/>
      </c>
      <c r="E714" s="36" t="str">
        <f>IF(Data!B704="","",IF(ISNUMBER(MATCH(Data!E704,Data_Val!$A$2:$A$3,0)),0,1))</f>
        <v/>
      </c>
      <c r="F714" s="36" t="str">
        <f ca="1">IF(Data!B704="","",IF(ISNUMBER(Data!F704),IF(AND(Data!F704&gt;(TODAY()-(Data_Val!$H$3*365.25)),Data!F704&lt;=(TODAY()-(Data_Val!$H$2*365.25))),0,1),1))</f>
        <v/>
      </c>
      <c r="G714" s="12" t="str">
        <f>IF(Data!B704="","",IF(AND(Data!G704="",Data!H704&lt;&gt;""),1,IF(ISNUMBER(MATCH(Data!G704,Data_Val!$C$2:$C$5,0)),0,1)))</f>
        <v/>
      </c>
      <c r="H714" s="12" t="str">
        <f>IF(Data!B704="","",IF(AND(Data!G704&lt;&gt;"",Data!H704=""),1,IF(Data!G704="",1,IF(ISNUMBER(MATCH(Data!H704,Data_Val!$D$2:$D$35,0)),0,1))))</f>
        <v/>
      </c>
      <c r="I714" s="38" t="str">
        <f>IF(Data!G704="","",IF(Data!G704=Data_Val!$C$2,IF(Data!I704="",0,1),0))</f>
        <v/>
      </c>
      <c r="J714" s="38" t="str">
        <f>IF(Data!I704="","",IF(ISNUMBER(MATCH(Data!J704,Data_Val!$A$2:$A$3,0)),0,1))</f>
        <v/>
      </c>
      <c r="K714" s="38" t="str">
        <f ca="1">IF(Data!I704="","",IF(ISNUMBER(Data!K704),IF(AND(Data!K704&gt;(TODAY()-(Data_Val!$K$3*365.25)),Data!K704&lt;=(TODAY()-(Data_Val!$K$2*365.25))),0,1),1))</f>
        <v/>
      </c>
      <c r="L714" s="16" t="str">
        <f>IF(Data!G704="","",IF(Data!G704=Data_Val!$C$2,IF(Data!L704="",0,1),0))</f>
        <v/>
      </c>
      <c r="M714" s="16" t="str">
        <f>IF(Data!L704="","",IF(ISNUMBER(MATCH(Data!M704,Data_Val!$A$2:$A$3,0)),0,1))</f>
        <v/>
      </c>
      <c r="N714" s="43" t="str">
        <f ca="1">IF(Data!L704="","",IF(ISNUMBER(Data!N704),IF(AND(Data!N704&gt;(TODAY()-(Data_Val!$L$3*365.25)),Data!N704&lt;=(TODAY()-(Data_Val!$L$2*365.25))),0,1),1))</f>
        <v/>
      </c>
      <c r="O714" s="18" t="str">
        <f>IF(Data!$G704="","",IF(Data!$G704=Data_Val!$C$2,IF(Data!O704="",0,1),0))</f>
        <v/>
      </c>
      <c r="P714" s="18" t="str">
        <f>IF(Data!O704="","",IF(ISNUMBER(MATCH(Data!P704,Data_Val!$A$2:$A$3,0)),0,1))</f>
        <v/>
      </c>
      <c r="Q714" s="44" t="str">
        <f ca="1">IF(Data!O704="","",IF(ISNUMBER(Data!Q704),IF(AND(Data!Q704&gt;(TODAY()-(Data_Val!$L$3*365.25)),Data!Q704&lt;=(TODAY()-(Data_Val!$L$2*365.25))),0,1),1))</f>
        <v/>
      </c>
    </row>
    <row r="715" spans="1:17" ht="12" customHeight="1" x14ac:dyDescent="0.25">
      <c r="A715" s="36" t="str">
        <f>IF(Data!B705="","",IF(COUNTIFS(Data!A$1:'Data'!A705,Data!A705)&lt;=1,0,1))</f>
        <v/>
      </c>
      <c r="B715" s="36"/>
      <c r="C715" s="36" t="str">
        <f>IF(Data!C705="","",(IF(ISNUMBER(MATCH("*@*.?*",Data!C705,0)),0,1)+IF(COUNTIFS(Data!C$1:'Data'!C705,Data!C705)&gt;1,1,0)))</f>
        <v/>
      </c>
      <c r="D715" s="36" t="str">
        <f>IF(Data!B705="","",IF(ISNUMBER(Data!D705),IF(AND(Data!D705&gt;999999999,Data!D705&lt;=9999999999),IF(COUNTIFS(Data!D$1:'Data'!D705,Data!D705)&lt;=1,0,1),1),1))</f>
        <v/>
      </c>
      <c r="E715" s="36" t="str">
        <f>IF(Data!B705="","",IF(ISNUMBER(MATCH(Data!E705,Data_Val!$A$2:$A$3,0)),0,1))</f>
        <v/>
      </c>
      <c r="F715" s="36" t="str">
        <f ca="1">IF(Data!B705="","",IF(ISNUMBER(Data!F705),IF(AND(Data!F705&gt;(TODAY()-(Data_Val!$H$3*365.25)),Data!F705&lt;=(TODAY()-(Data_Val!$H$2*365.25))),0,1),1))</f>
        <v/>
      </c>
      <c r="G715" s="12" t="str">
        <f>IF(Data!B705="","",IF(AND(Data!G705="",Data!H705&lt;&gt;""),1,IF(ISNUMBER(MATCH(Data!G705,Data_Val!$C$2:$C$5,0)),0,1)))</f>
        <v/>
      </c>
      <c r="H715" s="12" t="str">
        <f>IF(Data!B705="","",IF(AND(Data!G705&lt;&gt;"",Data!H705=""),1,IF(Data!G705="",1,IF(ISNUMBER(MATCH(Data!H705,Data_Val!$D$2:$D$35,0)),0,1))))</f>
        <v/>
      </c>
      <c r="I715" s="38" t="str">
        <f>IF(Data!G705="","",IF(Data!G705=Data_Val!$C$2,IF(Data!I705="",0,1),0))</f>
        <v/>
      </c>
      <c r="J715" s="38" t="str">
        <f>IF(Data!I705="","",IF(ISNUMBER(MATCH(Data!J705,Data_Val!$A$2:$A$3,0)),0,1))</f>
        <v/>
      </c>
      <c r="K715" s="38" t="str">
        <f ca="1">IF(Data!I705="","",IF(ISNUMBER(Data!K705),IF(AND(Data!K705&gt;(TODAY()-(Data_Val!$K$3*365.25)),Data!K705&lt;=(TODAY()-(Data_Val!$K$2*365.25))),0,1),1))</f>
        <v/>
      </c>
      <c r="L715" s="16" t="str">
        <f>IF(Data!G705="","",IF(Data!G705=Data_Val!$C$2,IF(Data!L705="",0,1),0))</f>
        <v/>
      </c>
      <c r="M715" s="16" t="str">
        <f>IF(Data!L705="","",IF(ISNUMBER(MATCH(Data!M705,Data_Val!$A$2:$A$3,0)),0,1))</f>
        <v/>
      </c>
      <c r="N715" s="43" t="str">
        <f ca="1">IF(Data!L705="","",IF(ISNUMBER(Data!N705),IF(AND(Data!N705&gt;(TODAY()-(Data_Val!$L$3*365.25)),Data!N705&lt;=(TODAY()-(Data_Val!$L$2*365.25))),0,1),1))</f>
        <v/>
      </c>
      <c r="O715" s="18" t="str">
        <f>IF(Data!$G705="","",IF(Data!$G705=Data_Val!$C$2,IF(Data!O705="",0,1),0))</f>
        <v/>
      </c>
      <c r="P715" s="18" t="str">
        <f>IF(Data!O705="","",IF(ISNUMBER(MATCH(Data!P705,Data_Val!$A$2:$A$3,0)),0,1))</f>
        <v/>
      </c>
      <c r="Q715" s="44" t="str">
        <f ca="1">IF(Data!O705="","",IF(ISNUMBER(Data!Q705),IF(AND(Data!Q705&gt;(TODAY()-(Data_Val!$L$3*365.25)),Data!Q705&lt;=(TODAY()-(Data_Val!$L$2*365.25))),0,1),1))</f>
        <v/>
      </c>
    </row>
    <row r="716" spans="1:17" ht="12" customHeight="1" x14ac:dyDescent="0.25">
      <c r="A716" s="36" t="str">
        <f>IF(Data!B706="","",IF(COUNTIFS(Data!A$1:'Data'!A706,Data!A706)&lt;=1,0,1))</f>
        <v/>
      </c>
      <c r="B716" s="36"/>
      <c r="C716" s="36" t="str">
        <f>IF(Data!C706="","",(IF(ISNUMBER(MATCH("*@*.?*",Data!C706,0)),0,1)+IF(COUNTIFS(Data!C$1:'Data'!C706,Data!C706)&gt;1,1,0)))</f>
        <v/>
      </c>
      <c r="D716" s="36" t="str">
        <f>IF(Data!B706="","",IF(ISNUMBER(Data!D706),IF(AND(Data!D706&gt;999999999,Data!D706&lt;=9999999999),IF(COUNTIFS(Data!D$1:'Data'!D706,Data!D706)&lt;=1,0,1),1),1))</f>
        <v/>
      </c>
      <c r="E716" s="36" t="str">
        <f>IF(Data!B706="","",IF(ISNUMBER(MATCH(Data!E706,Data_Val!$A$2:$A$3,0)),0,1))</f>
        <v/>
      </c>
      <c r="F716" s="36" t="str">
        <f ca="1">IF(Data!B706="","",IF(ISNUMBER(Data!F706),IF(AND(Data!F706&gt;(TODAY()-(Data_Val!$H$3*365.25)),Data!F706&lt;=(TODAY()-(Data_Val!$H$2*365.25))),0,1),1))</f>
        <v/>
      </c>
      <c r="G716" s="12" t="str">
        <f>IF(Data!B706="","",IF(AND(Data!G706="",Data!H706&lt;&gt;""),1,IF(ISNUMBER(MATCH(Data!G706,Data_Val!$C$2:$C$5,0)),0,1)))</f>
        <v/>
      </c>
      <c r="H716" s="12" t="str">
        <f>IF(Data!B706="","",IF(AND(Data!G706&lt;&gt;"",Data!H706=""),1,IF(Data!G706="",1,IF(ISNUMBER(MATCH(Data!H706,Data_Val!$D$2:$D$35,0)),0,1))))</f>
        <v/>
      </c>
      <c r="I716" s="38" t="str">
        <f>IF(Data!G706="","",IF(Data!G706=Data_Val!$C$2,IF(Data!I706="",0,1),0))</f>
        <v/>
      </c>
      <c r="J716" s="38" t="str">
        <f>IF(Data!I706="","",IF(ISNUMBER(MATCH(Data!J706,Data_Val!$A$2:$A$3,0)),0,1))</f>
        <v/>
      </c>
      <c r="K716" s="38" t="str">
        <f ca="1">IF(Data!I706="","",IF(ISNUMBER(Data!K706),IF(AND(Data!K706&gt;(TODAY()-(Data_Val!$K$3*365.25)),Data!K706&lt;=(TODAY()-(Data_Val!$K$2*365.25))),0,1),1))</f>
        <v/>
      </c>
      <c r="L716" s="16" t="str">
        <f>IF(Data!G706="","",IF(Data!G706=Data_Val!$C$2,IF(Data!L706="",0,1),0))</f>
        <v/>
      </c>
      <c r="M716" s="16" t="str">
        <f>IF(Data!L706="","",IF(ISNUMBER(MATCH(Data!M706,Data_Val!$A$2:$A$3,0)),0,1))</f>
        <v/>
      </c>
      <c r="N716" s="43" t="str">
        <f ca="1">IF(Data!L706="","",IF(ISNUMBER(Data!N706),IF(AND(Data!N706&gt;(TODAY()-(Data_Val!$L$3*365.25)),Data!N706&lt;=(TODAY()-(Data_Val!$L$2*365.25))),0,1),1))</f>
        <v/>
      </c>
      <c r="O716" s="18" t="str">
        <f>IF(Data!$G706="","",IF(Data!$G706=Data_Val!$C$2,IF(Data!O706="",0,1),0))</f>
        <v/>
      </c>
      <c r="P716" s="18" t="str">
        <f>IF(Data!O706="","",IF(ISNUMBER(MATCH(Data!P706,Data_Val!$A$2:$A$3,0)),0,1))</f>
        <v/>
      </c>
      <c r="Q716" s="44" t="str">
        <f ca="1">IF(Data!O706="","",IF(ISNUMBER(Data!Q706),IF(AND(Data!Q706&gt;(TODAY()-(Data_Val!$L$3*365.25)),Data!Q706&lt;=(TODAY()-(Data_Val!$L$2*365.25))),0,1),1))</f>
        <v/>
      </c>
    </row>
    <row r="717" spans="1:17" ht="12" customHeight="1" x14ac:dyDescent="0.25">
      <c r="A717" s="36" t="str">
        <f>IF(Data!B707="","",IF(COUNTIFS(Data!A$1:'Data'!A707,Data!A707)&lt;=1,0,1))</f>
        <v/>
      </c>
      <c r="B717" s="36"/>
      <c r="C717" s="36" t="str">
        <f>IF(Data!C707="","",(IF(ISNUMBER(MATCH("*@*.?*",Data!C707,0)),0,1)+IF(COUNTIFS(Data!C$1:'Data'!C707,Data!C707)&gt;1,1,0)))</f>
        <v/>
      </c>
      <c r="D717" s="36" t="str">
        <f>IF(Data!B707="","",IF(ISNUMBER(Data!D707),IF(AND(Data!D707&gt;999999999,Data!D707&lt;=9999999999),IF(COUNTIFS(Data!D$1:'Data'!D707,Data!D707)&lt;=1,0,1),1),1))</f>
        <v/>
      </c>
      <c r="E717" s="36" t="str">
        <f>IF(Data!B707="","",IF(ISNUMBER(MATCH(Data!E707,Data_Val!$A$2:$A$3,0)),0,1))</f>
        <v/>
      </c>
      <c r="F717" s="36" t="str">
        <f ca="1">IF(Data!B707="","",IF(ISNUMBER(Data!F707),IF(AND(Data!F707&gt;(TODAY()-(Data_Val!$H$3*365.25)),Data!F707&lt;=(TODAY()-(Data_Val!$H$2*365.25))),0,1),1))</f>
        <v/>
      </c>
      <c r="G717" s="12" t="str">
        <f>IF(Data!B707="","",IF(AND(Data!G707="",Data!H707&lt;&gt;""),1,IF(ISNUMBER(MATCH(Data!G707,Data_Val!$C$2:$C$5,0)),0,1)))</f>
        <v/>
      </c>
      <c r="H717" s="12" t="str">
        <f>IF(Data!B707="","",IF(AND(Data!G707&lt;&gt;"",Data!H707=""),1,IF(Data!G707="",1,IF(ISNUMBER(MATCH(Data!H707,Data_Val!$D$2:$D$35,0)),0,1))))</f>
        <v/>
      </c>
      <c r="I717" s="38" t="str">
        <f>IF(Data!G707="","",IF(Data!G707=Data_Val!$C$2,IF(Data!I707="",0,1),0))</f>
        <v/>
      </c>
      <c r="J717" s="38" t="str">
        <f>IF(Data!I707="","",IF(ISNUMBER(MATCH(Data!J707,Data_Val!$A$2:$A$3,0)),0,1))</f>
        <v/>
      </c>
      <c r="K717" s="38" t="str">
        <f ca="1">IF(Data!I707="","",IF(ISNUMBER(Data!K707),IF(AND(Data!K707&gt;(TODAY()-(Data_Val!$K$3*365.25)),Data!K707&lt;=(TODAY()-(Data_Val!$K$2*365.25))),0,1),1))</f>
        <v/>
      </c>
      <c r="L717" s="16" t="str">
        <f>IF(Data!G707="","",IF(Data!G707=Data_Val!$C$2,IF(Data!L707="",0,1),0))</f>
        <v/>
      </c>
      <c r="M717" s="16" t="str">
        <f>IF(Data!L707="","",IF(ISNUMBER(MATCH(Data!M707,Data_Val!$A$2:$A$3,0)),0,1))</f>
        <v/>
      </c>
      <c r="N717" s="43" t="str">
        <f ca="1">IF(Data!L707="","",IF(ISNUMBER(Data!N707),IF(AND(Data!N707&gt;(TODAY()-(Data_Val!$L$3*365.25)),Data!N707&lt;=(TODAY()-(Data_Val!$L$2*365.25))),0,1),1))</f>
        <v/>
      </c>
      <c r="O717" s="18" t="str">
        <f>IF(Data!$G707="","",IF(Data!$G707=Data_Val!$C$2,IF(Data!O707="",0,1),0))</f>
        <v/>
      </c>
      <c r="P717" s="18" t="str">
        <f>IF(Data!O707="","",IF(ISNUMBER(MATCH(Data!P707,Data_Val!$A$2:$A$3,0)),0,1))</f>
        <v/>
      </c>
      <c r="Q717" s="44" t="str">
        <f ca="1">IF(Data!O707="","",IF(ISNUMBER(Data!Q707),IF(AND(Data!Q707&gt;(TODAY()-(Data_Val!$L$3*365.25)),Data!Q707&lt;=(TODAY()-(Data_Val!$L$2*365.25))),0,1),1))</f>
        <v/>
      </c>
    </row>
    <row r="718" spans="1:17" ht="12" customHeight="1" x14ac:dyDescent="0.25">
      <c r="A718" s="36" t="str">
        <f>IF(Data!B708="","",IF(COUNTIFS(Data!A$1:'Data'!A708,Data!A708)&lt;=1,0,1))</f>
        <v/>
      </c>
      <c r="B718" s="36"/>
      <c r="C718" s="36" t="str">
        <f>IF(Data!C708="","",(IF(ISNUMBER(MATCH("*@*.?*",Data!C708,0)),0,1)+IF(COUNTIFS(Data!C$1:'Data'!C708,Data!C708)&gt;1,1,0)))</f>
        <v/>
      </c>
      <c r="D718" s="36" t="str">
        <f>IF(Data!B708="","",IF(ISNUMBER(Data!D708),IF(AND(Data!D708&gt;999999999,Data!D708&lt;=9999999999),IF(COUNTIFS(Data!D$1:'Data'!D708,Data!D708)&lt;=1,0,1),1),1))</f>
        <v/>
      </c>
      <c r="E718" s="36" t="str">
        <f>IF(Data!B708="","",IF(ISNUMBER(MATCH(Data!E708,Data_Val!$A$2:$A$3,0)),0,1))</f>
        <v/>
      </c>
      <c r="F718" s="36" t="str">
        <f ca="1">IF(Data!B708="","",IF(ISNUMBER(Data!F708),IF(AND(Data!F708&gt;(TODAY()-(Data_Val!$H$3*365.25)),Data!F708&lt;=(TODAY()-(Data_Val!$H$2*365.25))),0,1),1))</f>
        <v/>
      </c>
      <c r="G718" s="12" t="str">
        <f>IF(Data!B708="","",IF(AND(Data!G708="",Data!H708&lt;&gt;""),1,IF(ISNUMBER(MATCH(Data!G708,Data_Val!$C$2:$C$5,0)),0,1)))</f>
        <v/>
      </c>
      <c r="H718" s="12" t="str">
        <f>IF(Data!B708="","",IF(AND(Data!G708&lt;&gt;"",Data!H708=""),1,IF(Data!G708="",1,IF(ISNUMBER(MATCH(Data!H708,Data_Val!$D$2:$D$35,0)),0,1))))</f>
        <v/>
      </c>
      <c r="I718" s="38" t="str">
        <f>IF(Data!G708="","",IF(Data!G708=Data_Val!$C$2,IF(Data!I708="",0,1),0))</f>
        <v/>
      </c>
      <c r="J718" s="38" t="str">
        <f>IF(Data!I708="","",IF(ISNUMBER(MATCH(Data!J708,Data_Val!$A$2:$A$3,0)),0,1))</f>
        <v/>
      </c>
      <c r="K718" s="38" t="str">
        <f ca="1">IF(Data!I708="","",IF(ISNUMBER(Data!K708),IF(AND(Data!K708&gt;(TODAY()-(Data_Val!$K$3*365.25)),Data!K708&lt;=(TODAY()-(Data_Val!$K$2*365.25))),0,1),1))</f>
        <v/>
      </c>
      <c r="L718" s="16" t="str">
        <f>IF(Data!G708="","",IF(Data!G708=Data_Val!$C$2,IF(Data!L708="",0,1),0))</f>
        <v/>
      </c>
      <c r="M718" s="16" t="str">
        <f>IF(Data!L708="","",IF(ISNUMBER(MATCH(Data!M708,Data_Val!$A$2:$A$3,0)),0,1))</f>
        <v/>
      </c>
      <c r="N718" s="43" t="str">
        <f ca="1">IF(Data!L708="","",IF(ISNUMBER(Data!N708),IF(AND(Data!N708&gt;(TODAY()-(Data_Val!$L$3*365.25)),Data!N708&lt;=(TODAY()-(Data_Val!$L$2*365.25))),0,1),1))</f>
        <v/>
      </c>
      <c r="O718" s="18" t="str">
        <f>IF(Data!$G708="","",IF(Data!$G708=Data_Val!$C$2,IF(Data!O708="",0,1),0))</f>
        <v/>
      </c>
      <c r="P718" s="18" t="str">
        <f>IF(Data!O708="","",IF(ISNUMBER(MATCH(Data!P708,Data_Val!$A$2:$A$3,0)),0,1))</f>
        <v/>
      </c>
      <c r="Q718" s="44" t="str">
        <f ca="1">IF(Data!O708="","",IF(ISNUMBER(Data!Q708),IF(AND(Data!Q708&gt;(TODAY()-(Data_Val!$L$3*365.25)),Data!Q708&lt;=(TODAY()-(Data_Val!$L$2*365.25))),0,1),1))</f>
        <v/>
      </c>
    </row>
    <row r="719" spans="1:17" ht="12" customHeight="1" x14ac:dyDescent="0.25">
      <c r="A719" s="36" t="str">
        <f>IF(Data!B709="","",IF(COUNTIFS(Data!A$1:'Data'!A709,Data!A709)&lt;=1,0,1))</f>
        <v/>
      </c>
      <c r="B719" s="36"/>
      <c r="C719" s="36" t="str">
        <f>IF(Data!C709="","",(IF(ISNUMBER(MATCH("*@*.?*",Data!C709,0)),0,1)+IF(COUNTIFS(Data!C$1:'Data'!C709,Data!C709)&gt;1,1,0)))</f>
        <v/>
      </c>
      <c r="D719" s="36" t="str">
        <f>IF(Data!B709="","",IF(ISNUMBER(Data!D709),IF(AND(Data!D709&gt;999999999,Data!D709&lt;=9999999999),IF(COUNTIFS(Data!D$1:'Data'!D709,Data!D709)&lt;=1,0,1),1),1))</f>
        <v/>
      </c>
      <c r="E719" s="36" t="str">
        <f>IF(Data!B709="","",IF(ISNUMBER(MATCH(Data!E709,Data_Val!$A$2:$A$3,0)),0,1))</f>
        <v/>
      </c>
      <c r="F719" s="36" t="str">
        <f ca="1">IF(Data!B709="","",IF(ISNUMBER(Data!F709),IF(AND(Data!F709&gt;(TODAY()-(Data_Val!$H$3*365.25)),Data!F709&lt;=(TODAY()-(Data_Val!$H$2*365.25))),0,1),1))</f>
        <v/>
      </c>
      <c r="G719" s="12" t="str">
        <f>IF(Data!B709="","",IF(AND(Data!G709="",Data!H709&lt;&gt;""),1,IF(ISNUMBER(MATCH(Data!G709,Data_Val!$C$2:$C$5,0)),0,1)))</f>
        <v/>
      </c>
      <c r="H719" s="12" t="str">
        <f>IF(Data!B709="","",IF(AND(Data!G709&lt;&gt;"",Data!H709=""),1,IF(Data!G709="",1,IF(ISNUMBER(MATCH(Data!H709,Data_Val!$D$2:$D$35,0)),0,1))))</f>
        <v/>
      </c>
      <c r="I719" s="38" t="str">
        <f>IF(Data!G709="","",IF(Data!G709=Data_Val!$C$2,IF(Data!I709="",0,1),0))</f>
        <v/>
      </c>
      <c r="J719" s="38" t="str">
        <f>IF(Data!I709="","",IF(ISNUMBER(MATCH(Data!J709,Data_Val!$A$2:$A$3,0)),0,1))</f>
        <v/>
      </c>
      <c r="K719" s="38" t="str">
        <f ca="1">IF(Data!I709="","",IF(ISNUMBER(Data!K709),IF(AND(Data!K709&gt;(TODAY()-(Data_Val!$K$3*365.25)),Data!K709&lt;=(TODAY()-(Data_Val!$K$2*365.25))),0,1),1))</f>
        <v/>
      </c>
      <c r="L719" s="16" t="str">
        <f>IF(Data!G709="","",IF(Data!G709=Data_Val!$C$2,IF(Data!L709="",0,1),0))</f>
        <v/>
      </c>
      <c r="M719" s="16" t="str">
        <f>IF(Data!L709="","",IF(ISNUMBER(MATCH(Data!M709,Data_Val!$A$2:$A$3,0)),0,1))</f>
        <v/>
      </c>
      <c r="N719" s="43" t="str">
        <f ca="1">IF(Data!L709="","",IF(ISNUMBER(Data!N709),IF(AND(Data!N709&gt;(TODAY()-(Data_Val!$L$3*365.25)),Data!N709&lt;=(TODAY()-(Data_Val!$L$2*365.25))),0,1),1))</f>
        <v/>
      </c>
      <c r="O719" s="18" t="str">
        <f>IF(Data!$G709="","",IF(Data!$G709=Data_Val!$C$2,IF(Data!O709="",0,1),0))</f>
        <v/>
      </c>
      <c r="P719" s="18" t="str">
        <f>IF(Data!O709="","",IF(ISNUMBER(MATCH(Data!P709,Data_Val!$A$2:$A$3,0)),0,1))</f>
        <v/>
      </c>
      <c r="Q719" s="44" t="str">
        <f ca="1">IF(Data!O709="","",IF(ISNUMBER(Data!Q709),IF(AND(Data!Q709&gt;(TODAY()-(Data_Val!$L$3*365.25)),Data!Q709&lt;=(TODAY()-(Data_Val!$L$2*365.25))),0,1),1))</f>
        <v/>
      </c>
    </row>
    <row r="720" spans="1:17" ht="12" customHeight="1" x14ac:dyDescent="0.25">
      <c r="A720" s="36" t="str">
        <f>IF(Data!B710="","",IF(COUNTIFS(Data!A$1:'Data'!A710,Data!A710)&lt;=1,0,1))</f>
        <v/>
      </c>
      <c r="B720" s="36"/>
      <c r="C720" s="36" t="str">
        <f>IF(Data!C710="","",(IF(ISNUMBER(MATCH("*@*.?*",Data!C710,0)),0,1)+IF(COUNTIFS(Data!C$1:'Data'!C710,Data!C710)&gt;1,1,0)))</f>
        <v/>
      </c>
      <c r="D720" s="36" t="str">
        <f>IF(Data!B710="","",IF(ISNUMBER(Data!D710),IF(AND(Data!D710&gt;999999999,Data!D710&lt;=9999999999),IF(COUNTIFS(Data!D$1:'Data'!D710,Data!D710)&lt;=1,0,1),1),1))</f>
        <v/>
      </c>
      <c r="E720" s="36" t="str">
        <f>IF(Data!B710="","",IF(ISNUMBER(MATCH(Data!E710,Data_Val!$A$2:$A$3,0)),0,1))</f>
        <v/>
      </c>
      <c r="F720" s="36" t="str">
        <f ca="1">IF(Data!B710="","",IF(ISNUMBER(Data!F710),IF(AND(Data!F710&gt;(TODAY()-(Data_Val!$H$3*365.25)),Data!F710&lt;=(TODAY()-(Data_Val!$H$2*365.25))),0,1),1))</f>
        <v/>
      </c>
      <c r="G720" s="12" t="str">
        <f>IF(Data!B710="","",IF(AND(Data!G710="",Data!H710&lt;&gt;""),1,IF(ISNUMBER(MATCH(Data!G710,Data_Val!$C$2:$C$5,0)),0,1)))</f>
        <v/>
      </c>
      <c r="H720" s="12" t="str">
        <f>IF(Data!B710="","",IF(AND(Data!G710&lt;&gt;"",Data!H710=""),1,IF(Data!G710="",1,IF(ISNUMBER(MATCH(Data!H710,Data_Val!$D$2:$D$35,0)),0,1))))</f>
        <v/>
      </c>
      <c r="I720" s="38" t="str">
        <f>IF(Data!G710="","",IF(Data!G710=Data_Val!$C$2,IF(Data!I710="",0,1),0))</f>
        <v/>
      </c>
      <c r="J720" s="38" t="str">
        <f>IF(Data!I710="","",IF(ISNUMBER(MATCH(Data!J710,Data_Val!$A$2:$A$3,0)),0,1))</f>
        <v/>
      </c>
      <c r="K720" s="38" t="str">
        <f ca="1">IF(Data!I710="","",IF(ISNUMBER(Data!K710),IF(AND(Data!K710&gt;(TODAY()-(Data_Val!$K$3*365.25)),Data!K710&lt;=(TODAY()-(Data_Val!$K$2*365.25))),0,1),1))</f>
        <v/>
      </c>
      <c r="L720" s="16" t="str">
        <f>IF(Data!G710="","",IF(Data!G710=Data_Val!$C$2,IF(Data!L710="",0,1),0))</f>
        <v/>
      </c>
      <c r="M720" s="16" t="str">
        <f>IF(Data!L710="","",IF(ISNUMBER(MATCH(Data!M710,Data_Val!$A$2:$A$3,0)),0,1))</f>
        <v/>
      </c>
      <c r="N720" s="43" t="str">
        <f ca="1">IF(Data!L710="","",IF(ISNUMBER(Data!N710),IF(AND(Data!N710&gt;(TODAY()-(Data_Val!$L$3*365.25)),Data!N710&lt;=(TODAY()-(Data_Val!$L$2*365.25))),0,1),1))</f>
        <v/>
      </c>
      <c r="O720" s="18" t="str">
        <f>IF(Data!$G710="","",IF(Data!$G710=Data_Val!$C$2,IF(Data!O710="",0,1),0))</f>
        <v/>
      </c>
      <c r="P720" s="18" t="str">
        <f>IF(Data!O710="","",IF(ISNUMBER(MATCH(Data!P710,Data_Val!$A$2:$A$3,0)),0,1))</f>
        <v/>
      </c>
      <c r="Q720" s="44" t="str">
        <f ca="1">IF(Data!O710="","",IF(ISNUMBER(Data!Q710),IF(AND(Data!Q710&gt;(TODAY()-(Data_Val!$L$3*365.25)),Data!Q710&lt;=(TODAY()-(Data_Val!$L$2*365.25))),0,1),1))</f>
        <v/>
      </c>
    </row>
    <row r="721" spans="1:17" ht="12" customHeight="1" x14ac:dyDescent="0.25">
      <c r="A721" s="36" t="str">
        <f>IF(Data!B711="","",IF(COUNTIFS(Data!A$1:'Data'!A711,Data!A711)&lt;=1,0,1))</f>
        <v/>
      </c>
      <c r="B721" s="36"/>
      <c r="C721" s="36" t="str">
        <f>IF(Data!C711="","",(IF(ISNUMBER(MATCH("*@*.?*",Data!C711,0)),0,1)+IF(COUNTIFS(Data!C$1:'Data'!C711,Data!C711)&gt;1,1,0)))</f>
        <v/>
      </c>
      <c r="D721" s="36" t="str">
        <f>IF(Data!B711="","",IF(ISNUMBER(Data!D711),IF(AND(Data!D711&gt;999999999,Data!D711&lt;=9999999999),IF(COUNTIFS(Data!D$1:'Data'!D711,Data!D711)&lt;=1,0,1),1),1))</f>
        <v/>
      </c>
      <c r="E721" s="36" t="str">
        <f>IF(Data!B711="","",IF(ISNUMBER(MATCH(Data!E711,Data_Val!$A$2:$A$3,0)),0,1))</f>
        <v/>
      </c>
      <c r="F721" s="36" t="str">
        <f ca="1">IF(Data!B711="","",IF(ISNUMBER(Data!F711),IF(AND(Data!F711&gt;(TODAY()-(Data_Val!$H$3*365.25)),Data!F711&lt;=(TODAY()-(Data_Val!$H$2*365.25))),0,1),1))</f>
        <v/>
      </c>
      <c r="G721" s="12" t="str">
        <f>IF(Data!B711="","",IF(AND(Data!G711="",Data!H711&lt;&gt;""),1,IF(ISNUMBER(MATCH(Data!G711,Data_Val!$C$2:$C$5,0)),0,1)))</f>
        <v/>
      </c>
      <c r="H721" s="12" t="str">
        <f>IF(Data!B711="","",IF(AND(Data!G711&lt;&gt;"",Data!H711=""),1,IF(Data!G711="",1,IF(ISNUMBER(MATCH(Data!H711,Data_Val!$D$2:$D$35,0)),0,1))))</f>
        <v/>
      </c>
      <c r="I721" s="38" t="str">
        <f>IF(Data!G711="","",IF(Data!G711=Data_Val!$C$2,IF(Data!I711="",0,1),0))</f>
        <v/>
      </c>
      <c r="J721" s="38" t="str">
        <f>IF(Data!I711="","",IF(ISNUMBER(MATCH(Data!J711,Data_Val!$A$2:$A$3,0)),0,1))</f>
        <v/>
      </c>
      <c r="K721" s="38" t="str">
        <f ca="1">IF(Data!I711="","",IF(ISNUMBER(Data!K711),IF(AND(Data!K711&gt;(TODAY()-(Data_Val!$K$3*365.25)),Data!K711&lt;=(TODAY()-(Data_Val!$K$2*365.25))),0,1),1))</f>
        <v/>
      </c>
      <c r="L721" s="16" t="str">
        <f>IF(Data!G711="","",IF(Data!G711=Data_Val!$C$2,IF(Data!L711="",0,1),0))</f>
        <v/>
      </c>
      <c r="M721" s="16" t="str">
        <f>IF(Data!L711="","",IF(ISNUMBER(MATCH(Data!M711,Data_Val!$A$2:$A$3,0)),0,1))</f>
        <v/>
      </c>
      <c r="N721" s="43" t="str">
        <f ca="1">IF(Data!L711="","",IF(ISNUMBER(Data!N711),IF(AND(Data!N711&gt;(TODAY()-(Data_Val!$L$3*365.25)),Data!N711&lt;=(TODAY()-(Data_Val!$L$2*365.25))),0,1),1))</f>
        <v/>
      </c>
      <c r="O721" s="18" t="str">
        <f>IF(Data!$G711="","",IF(Data!$G711=Data_Val!$C$2,IF(Data!O711="",0,1),0))</f>
        <v/>
      </c>
      <c r="P721" s="18" t="str">
        <f>IF(Data!O711="","",IF(ISNUMBER(MATCH(Data!P711,Data_Val!$A$2:$A$3,0)),0,1))</f>
        <v/>
      </c>
      <c r="Q721" s="44" t="str">
        <f ca="1">IF(Data!O711="","",IF(ISNUMBER(Data!Q711),IF(AND(Data!Q711&gt;(TODAY()-(Data_Val!$L$3*365.25)),Data!Q711&lt;=(TODAY()-(Data_Val!$L$2*365.25))),0,1),1))</f>
        <v/>
      </c>
    </row>
    <row r="722" spans="1:17" ht="12" customHeight="1" x14ac:dyDescent="0.25">
      <c r="A722" s="36" t="str">
        <f>IF(Data!B712="","",IF(COUNTIFS(Data!A$1:'Data'!A712,Data!A712)&lt;=1,0,1))</f>
        <v/>
      </c>
      <c r="B722" s="36"/>
      <c r="C722" s="36" t="str">
        <f>IF(Data!C712="","",(IF(ISNUMBER(MATCH("*@*.?*",Data!C712,0)),0,1)+IF(COUNTIFS(Data!C$1:'Data'!C712,Data!C712)&gt;1,1,0)))</f>
        <v/>
      </c>
      <c r="D722" s="36" t="str">
        <f>IF(Data!B712="","",IF(ISNUMBER(Data!D712),IF(AND(Data!D712&gt;999999999,Data!D712&lt;=9999999999),IF(COUNTIFS(Data!D$1:'Data'!D712,Data!D712)&lt;=1,0,1),1),1))</f>
        <v/>
      </c>
      <c r="E722" s="36" t="str">
        <f>IF(Data!B712="","",IF(ISNUMBER(MATCH(Data!E712,Data_Val!$A$2:$A$3,0)),0,1))</f>
        <v/>
      </c>
      <c r="F722" s="36" t="str">
        <f ca="1">IF(Data!B712="","",IF(ISNUMBER(Data!F712),IF(AND(Data!F712&gt;(TODAY()-(Data_Val!$H$3*365.25)),Data!F712&lt;=(TODAY()-(Data_Val!$H$2*365.25))),0,1),1))</f>
        <v/>
      </c>
      <c r="G722" s="12" t="str">
        <f>IF(Data!B712="","",IF(AND(Data!G712="",Data!H712&lt;&gt;""),1,IF(ISNUMBER(MATCH(Data!G712,Data_Val!$C$2:$C$5,0)),0,1)))</f>
        <v/>
      </c>
      <c r="H722" s="12" t="str">
        <f>IF(Data!B712="","",IF(AND(Data!G712&lt;&gt;"",Data!H712=""),1,IF(Data!G712="",1,IF(ISNUMBER(MATCH(Data!H712,Data_Val!$D$2:$D$35,0)),0,1))))</f>
        <v/>
      </c>
      <c r="I722" s="38" t="str">
        <f>IF(Data!G712="","",IF(Data!G712=Data_Val!$C$2,IF(Data!I712="",0,1),0))</f>
        <v/>
      </c>
      <c r="J722" s="38" t="str">
        <f>IF(Data!I712="","",IF(ISNUMBER(MATCH(Data!J712,Data_Val!$A$2:$A$3,0)),0,1))</f>
        <v/>
      </c>
      <c r="K722" s="38" t="str">
        <f ca="1">IF(Data!I712="","",IF(ISNUMBER(Data!K712),IF(AND(Data!K712&gt;(TODAY()-(Data_Val!$K$3*365.25)),Data!K712&lt;=(TODAY()-(Data_Val!$K$2*365.25))),0,1),1))</f>
        <v/>
      </c>
      <c r="L722" s="16" t="str">
        <f>IF(Data!G712="","",IF(Data!G712=Data_Val!$C$2,IF(Data!L712="",0,1),0))</f>
        <v/>
      </c>
      <c r="M722" s="16" t="str">
        <f>IF(Data!L712="","",IF(ISNUMBER(MATCH(Data!M712,Data_Val!$A$2:$A$3,0)),0,1))</f>
        <v/>
      </c>
      <c r="N722" s="43" t="str">
        <f ca="1">IF(Data!L712="","",IF(ISNUMBER(Data!N712),IF(AND(Data!N712&gt;(TODAY()-(Data_Val!$L$3*365.25)),Data!N712&lt;=(TODAY()-(Data_Val!$L$2*365.25))),0,1),1))</f>
        <v/>
      </c>
      <c r="O722" s="18" t="str">
        <f>IF(Data!$G712="","",IF(Data!$G712=Data_Val!$C$2,IF(Data!O712="",0,1),0))</f>
        <v/>
      </c>
      <c r="P722" s="18" t="str">
        <f>IF(Data!O712="","",IF(ISNUMBER(MATCH(Data!P712,Data_Val!$A$2:$A$3,0)),0,1))</f>
        <v/>
      </c>
      <c r="Q722" s="44" t="str">
        <f ca="1">IF(Data!O712="","",IF(ISNUMBER(Data!Q712),IF(AND(Data!Q712&gt;(TODAY()-(Data_Val!$L$3*365.25)),Data!Q712&lt;=(TODAY()-(Data_Val!$L$2*365.25))),0,1),1))</f>
        <v/>
      </c>
    </row>
    <row r="723" spans="1:17" ht="12" customHeight="1" x14ac:dyDescent="0.25">
      <c r="A723" s="36" t="str">
        <f>IF(Data!B713="","",IF(COUNTIFS(Data!A$1:'Data'!A713,Data!A713)&lt;=1,0,1))</f>
        <v/>
      </c>
      <c r="B723" s="36"/>
      <c r="C723" s="36" t="str">
        <f>IF(Data!C713="","",(IF(ISNUMBER(MATCH("*@*.?*",Data!C713,0)),0,1)+IF(COUNTIFS(Data!C$1:'Data'!C713,Data!C713)&gt;1,1,0)))</f>
        <v/>
      </c>
      <c r="D723" s="36" t="str">
        <f>IF(Data!B713="","",IF(ISNUMBER(Data!D713),IF(AND(Data!D713&gt;999999999,Data!D713&lt;=9999999999),IF(COUNTIFS(Data!D$1:'Data'!D713,Data!D713)&lt;=1,0,1),1),1))</f>
        <v/>
      </c>
      <c r="E723" s="36" t="str">
        <f>IF(Data!B713="","",IF(ISNUMBER(MATCH(Data!E713,Data_Val!$A$2:$A$3,0)),0,1))</f>
        <v/>
      </c>
      <c r="F723" s="36" t="str">
        <f ca="1">IF(Data!B713="","",IF(ISNUMBER(Data!F713),IF(AND(Data!F713&gt;(TODAY()-(Data_Val!$H$3*365.25)),Data!F713&lt;=(TODAY()-(Data_Val!$H$2*365.25))),0,1),1))</f>
        <v/>
      </c>
      <c r="G723" s="12" t="str">
        <f>IF(Data!B713="","",IF(AND(Data!G713="",Data!H713&lt;&gt;""),1,IF(ISNUMBER(MATCH(Data!G713,Data_Val!$C$2:$C$5,0)),0,1)))</f>
        <v/>
      </c>
      <c r="H723" s="12" t="str">
        <f>IF(Data!B713="","",IF(AND(Data!G713&lt;&gt;"",Data!H713=""),1,IF(Data!G713="",1,IF(ISNUMBER(MATCH(Data!H713,Data_Val!$D$2:$D$35,0)),0,1))))</f>
        <v/>
      </c>
      <c r="I723" s="38" t="str">
        <f>IF(Data!G713="","",IF(Data!G713=Data_Val!$C$2,IF(Data!I713="",0,1),0))</f>
        <v/>
      </c>
      <c r="J723" s="38" t="str">
        <f>IF(Data!I713="","",IF(ISNUMBER(MATCH(Data!J713,Data_Val!$A$2:$A$3,0)),0,1))</f>
        <v/>
      </c>
      <c r="K723" s="38" t="str">
        <f ca="1">IF(Data!I713="","",IF(ISNUMBER(Data!K713),IF(AND(Data!K713&gt;(TODAY()-(Data_Val!$K$3*365.25)),Data!K713&lt;=(TODAY()-(Data_Val!$K$2*365.25))),0,1),1))</f>
        <v/>
      </c>
      <c r="L723" s="16" t="str">
        <f>IF(Data!G713="","",IF(Data!G713=Data_Val!$C$2,IF(Data!L713="",0,1),0))</f>
        <v/>
      </c>
      <c r="M723" s="16" t="str">
        <f>IF(Data!L713="","",IF(ISNUMBER(MATCH(Data!M713,Data_Val!$A$2:$A$3,0)),0,1))</f>
        <v/>
      </c>
      <c r="N723" s="43" t="str">
        <f ca="1">IF(Data!L713="","",IF(ISNUMBER(Data!N713),IF(AND(Data!N713&gt;(TODAY()-(Data_Val!$L$3*365.25)),Data!N713&lt;=(TODAY()-(Data_Val!$L$2*365.25))),0,1),1))</f>
        <v/>
      </c>
      <c r="O723" s="18" t="str">
        <f>IF(Data!$G713="","",IF(Data!$G713=Data_Val!$C$2,IF(Data!O713="",0,1),0))</f>
        <v/>
      </c>
      <c r="P723" s="18" t="str">
        <f>IF(Data!O713="","",IF(ISNUMBER(MATCH(Data!P713,Data_Val!$A$2:$A$3,0)),0,1))</f>
        <v/>
      </c>
      <c r="Q723" s="44" t="str">
        <f ca="1">IF(Data!O713="","",IF(ISNUMBER(Data!Q713),IF(AND(Data!Q713&gt;(TODAY()-(Data_Val!$L$3*365.25)),Data!Q713&lt;=(TODAY()-(Data_Val!$L$2*365.25))),0,1),1))</f>
        <v/>
      </c>
    </row>
    <row r="724" spans="1:17" ht="12" customHeight="1" x14ac:dyDescent="0.25">
      <c r="A724" s="36" t="str">
        <f>IF(Data!B714="","",IF(COUNTIFS(Data!A$1:'Data'!A714,Data!A714)&lt;=1,0,1))</f>
        <v/>
      </c>
      <c r="B724" s="36"/>
      <c r="C724" s="36" t="str">
        <f>IF(Data!C714="","",(IF(ISNUMBER(MATCH("*@*.?*",Data!C714,0)),0,1)+IF(COUNTIFS(Data!C$1:'Data'!C714,Data!C714)&gt;1,1,0)))</f>
        <v/>
      </c>
      <c r="D724" s="36" t="str">
        <f>IF(Data!B714="","",IF(ISNUMBER(Data!D714),IF(AND(Data!D714&gt;999999999,Data!D714&lt;=9999999999),IF(COUNTIFS(Data!D$1:'Data'!D714,Data!D714)&lt;=1,0,1),1),1))</f>
        <v/>
      </c>
      <c r="E724" s="36" t="str">
        <f>IF(Data!B714="","",IF(ISNUMBER(MATCH(Data!E714,Data_Val!$A$2:$A$3,0)),0,1))</f>
        <v/>
      </c>
      <c r="F724" s="36" t="str">
        <f ca="1">IF(Data!B714="","",IF(ISNUMBER(Data!F714),IF(AND(Data!F714&gt;(TODAY()-(Data_Val!$H$3*365.25)),Data!F714&lt;=(TODAY()-(Data_Val!$H$2*365.25))),0,1),1))</f>
        <v/>
      </c>
      <c r="G724" s="12" t="str">
        <f>IF(Data!B714="","",IF(AND(Data!G714="",Data!H714&lt;&gt;""),1,IF(ISNUMBER(MATCH(Data!G714,Data_Val!$C$2:$C$5,0)),0,1)))</f>
        <v/>
      </c>
      <c r="H724" s="12" t="str">
        <f>IF(Data!B714="","",IF(AND(Data!G714&lt;&gt;"",Data!H714=""),1,IF(Data!G714="",1,IF(ISNUMBER(MATCH(Data!H714,Data_Val!$D$2:$D$35,0)),0,1))))</f>
        <v/>
      </c>
      <c r="I724" s="38" t="str">
        <f>IF(Data!G714="","",IF(Data!G714=Data_Val!$C$2,IF(Data!I714="",0,1),0))</f>
        <v/>
      </c>
      <c r="J724" s="38" t="str">
        <f>IF(Data!I714="","",IF(ISNUMBER(MATCH(Data!J714,Data_Val!$A$2:$A$3,0)),0,1))</f>
        <v/>
      </c>
      <c r="K724" s="38" t="str">
        <f ca="1">IF(Data!I714="","",IF(ISNUMBER(Data!K714),IF(AND(Data!K714&gt;(TODAY()-(Data_Val!$K$3*365.25)),Data!K714&lt;=(TODAY()-(Data_Val!$K$2*365.25))),0,1),1))</f>
        <v/>
      </c>
      <c r="L724" s="16" t="str">
        <f>IF(Data!G714="","",IF(Data!G714=Data_Val!$C$2,IF(Data!L714="",0,1),0))</f>
        <v/>
      </c>
      <c r="M724" s="16" t="str">
        <f>IF(Data!L714="","",IF(ISNUMBER(MATCH(Data!M714,Data_Val!$A$2:$A$3,0)),0,1))</f>
        <v/>
      </c>
      <c r="N724" s="43" t="str">
        <f ca="1">IF(Data!L714="","",IF(ISNUMBER(Data!N714),IF(AND(Data!N714&gt;(TODAY()-(Data_Val!$L$3*365.25)),Data!N714&lt;=(TODAY()-(Data_Val!$L$2*365.25))),0,1),1))</f>
        <v/>
      </c>
      <c r="O724" s="18" t="str">
        <f>IF(Data!$G714="","",IF(Data!$G714=Data_Val!$C$2,IF(Data!O714="",0,1),0))</f>
        <v/>
      </c>
      <c r="P724" s="18" t="str">
        <f>IF(Data!O714="","",IF(ISNUMBER(MATCH(Data!P714,Data_Val!$A$2:$A$3,0)),0,1))</f>
        <v/>
      </c>
      <c r="Q724" s="44" t="str">
        <f ca="1">IF(Data!O714="","",IF(ISNUMBER(Data!Q714),IF(AND(Data!Q714&gt;(TODAY()-(Data_Val!$L$3*365.25)),Data!Q714&lt;=(TODAY()-(Data_Val!$L$2*365.25))),0,1),1))</f>
        <v/>
      </c>
    </row>
    <row r="725" spans="1:17" ht="12" customHeight="1" x14ac:dyDescent="0.25">
      <c r="A725" s="36" t="str">
        <f>IF(Data!B715="","",IF(COUNTIFS(Data!A$1:'Data'!A715,Data!A715)&lt;=1,0,1))</f>
        <v/>
      </c>
      <c r="B725" s="36"/>
      <c r="C725" s="36" t="str">
        <f>IF(Data!C715="","",(IF(ISNUMBER(MATCH("*@*.?*",Data!C715,0)),0,1)+IF(COUNTIFS(Data!C$1:'Data'!C715,Data!C715)&gt;1,1,0)))</f>
        <v/>
      </c>
      <c r="D725" s="36" t="str">
        <f>IF(Data!B715="","",IF(ISNUMBER(Data!D715),IF(AND(Data!D715&gt;999999999,Data!D715&lt;=9999999999),IF(COUNTIFS(Data!D$1:'Data'!D715,Data!D715)&lt;=1,0,1),1),1))</f>
        <v/>
      </c>
      <c r="E725" s="36" t="str">
        <f>IF(Data!B715="","",IF(ISNUMBER(MATCH(Data!E715,Data_Val!$A$2:$A$3,0)),0,1))</f>
        <v/>
      </c>
      <c r="F725" s="36" t="str">
        <f ca="1">IF(Data!B715="","",IF(ISNUMBER(Data!F715),IF(AND(Data!F715&gt;(TODAY()-(Data_Val!$H$3*365.25)),Data!F715&lt;=(TODAY()-(Data_Val!$H$2*365.25))),0,1),1))</f>
        <v/>
      </c>
      <c r="G725" s="12" t="str">
        <f>IF(Data!B715="","",IF(AND(Data!G715="",Data!H715&lt;&gt;""),1,IF(ISNUMBER(MATCH(Data!G715,Data_Val!$C$2:$C$5,0)),0,1)))</f>
        <v/>
      </c>
      <c r="H725" s="12" t="str">
        <f>IF(Data!B715="","",IF(AND(Data!G715&lt;&gt;"",Data!H715=""),1,IF(Data!G715="",1,IF(ISNUMBER(MATCH(Data!H715,Data_Val!$D$2:$D$35,0)),0,1))))</f>
        <v/>
      </c>
      <c r="I725" s="38" t="str">
        <f>IF(Data!G715="","",IF(Data!G715=Data_Val!$C$2,IF(Data!I715="",0,1),0))</f>
        <v/>
      </c>
      <c r="J725" s="38" t="str">
        <f>IF(Data!I715="","",IF(ISNUMBER(MATCH(Data!J715,Data_Val!$A$2:$A$3,0)),0,1))</f>
        <v/>
      </c>
      <c r="K725" s="38" t="str">
        <f ca="1">IF(Data!I715="","",IF(ISNUMBER(Data!K715),IF(AND(Data!K715&gt;(TODAY()-(Data_Val!$K$3*365.25)),Data!K715&lt;=(TODAY()-(Data_Val!$K$2*365.25))),0,1),1))</f>
        <v/>
      </c>
      <c r="L725" s="16" t="str">
        <f>IF(Data!G715="","",IF(Data!G715=Data_Val!$C$2,IF(Data!L715="",0,1),0))</f>
        <v/>
      </c>
      <c r="M725" s="16" t="str">
        <f>IF(Data!L715="","",IF(ISNUMBER(MATCH(Data!M715,Data_Val!$A$2:$A$3,0)),0,1))</f>
        <v/>
      </c>
      <c r="N725" s="43" t="str">
        <f ca="1">IF(Data!L715="","",IF(ISNUMBER(Data!N715),IF(AND(Data!N715&gt;(TODAY()-(Data_Val!$L$3*365.25)),Data!N715&lt;=(TODAY()-(Data_Val!$L$2*365.25))),0,1),1))</f>
        <v/>
      </c>
      <c r="O725" s="18" t="str">
        <f>IF(Data!$G715="","",IF(Data!$G715=Data_Val!$C$2,IF(Data!O715="",0,1),0))</f>
        <v/>
      </c>
      <c r="P725" s="18" t="str">
        <f>IF(Data!O715="","",IF(ISNUMBER(MATCH(Data!P715,Data_Val!$A$2:$A$3,0)),0,1))</f>
        <v/>
      </c>
      <c r="Q725" s="44" t="str">
        <f ca="1">IF(Data!O715="","",IF(ISNUMBER(Data!Q715),IF(AND(Data!Q715&gt;(TODAY()-(Data_Val!$L$3*365.25)),Data!Q715&lt;=(TODAY()-(Data_Val!$L$2*365.25))),0,1),1))</f>
        <v/>
      </c>
    </row>
    <row r="726" spans="1:17" ht="12" customHeight="1" x14ac:dyDescent="0.25">
      <c r="A726" s="36" t="str">
        <f>IF(Data!B716="","",IF(COUNTIFS(Data!A$1:'Data'!A716,Data!A716)&lt;=1,0,1))</f>
        <v/>
      </c>
      <c r="B726" s="36"/>
      <c r="C726" s="36" t="str">
        <f>IF(Data!C716="","",(IF(ISNUMBER(MATCH("*@*.?*",Data!C716,0)),0,1)+IF(COUNTIFS(Data!C$1:'Data'!C716,Data!C716)&gt;1,1,0)))</f>
        <v/>
      </c>
      <c r="D726" s="36" t="str">
        <f>IF(Data!B716="","",IF(ISNUMBER(Data!D716),IF(AND(Data!D716&gt;999999999,Data!D716&lt;=9999999999),IF(COUNTIFS(Data!D$1:'Data'!D716,Data!D716)&lt;=1,0,1),1),1))</f>
        <v/>
      </c>
      <c r="E726" s="36" t="str">
        <f>IF(Data!B716="","",IF(ISNUMBER(MATCH(Data!E716,Data_Val!$A$2:$A$3,0)),0,1))</f>
        <v/>
      </c>
      <c r="F726" s="36" t="str">
        <f ca="1">IF(Data!B716="","",IF(ISNUMBER(Data!F716),IF(AND(Data!F716&gt;(TODAY()-(Data_Val!$H$3*365.25)),Data!F716&lt;=(TODAY()-(Data_Val!$H$2*365.25))),0,1),1))</f>
        <v/>
      </c>
      <c r="G726" s="12" t="str">
        <f>IF(Data!B716="","",IF(AND(Data!G716="",Data!H716&lt;&gt;""),1,IF(ISNUMBER(MATCH(Data!G716,Data_Val!$C$2:$C$5,0)),0,1)))</f>
        <v/>
      </c>
      <c r="H726" s="12" t="str">
        <f>IF(Data!B716="","",IF(AND(Data!G716&lt;&gt;"",Data!H716=""),1,IF(Data!G716="",1,IF(ISNUMBER(MATCH(Data!H716,Data_Val!$D$2:$D$35,0)),0,1))))</f>
        <v/>
      </c>
      <c r="I726" s="38" t="str">
        <f>IF(Data!G716="","",IF(Data!G716=Data_Val!$C$2,IF(Data!I716="",0,1),0))</f>
        <v/>
      </c>
      <c r="J726" s="38" t="str">
        <f>IF(Data!I716="","",IF(ISNUMBER(MATCH(Data!J716,Data_Val!$A$2:$A$3,0)),0,1))</f>
        <v/>
      </c>
      <c r="K726" s="38" t="str">
        <f ca="1">IF(Data!I716="","",IF(ISNUMBER(Data!K716),IF(AND(Data!K716&gt;(TODAY()-(Data_Val!$K$3*365.25)),Data!K716&lt;=(TODAY()-(Data_Val!$K$2*365.25))),0,1),1))</f>
        <v/>
      </c>
      <c r="L726" s="16" t="str">
        <f>IF(Data!G716="","",IF(Data!G716=Data_Val!$C$2,IF(Data!L716="",0,1),0))</f>
        <v/>
      </c>
      <c r="M726" s="16" t="str">
        <f>IF(Data!L716="","",IF(ISNUMBER(MATCH(Data!M716,Data_Val!$A$2:$A$3,0)),0,1))</f>
        <v/>
      </c>
      <c r="N726" s="43" t="str">
        <f ca="1">IF(Data!L716="","",IF(ISNUMBER(Data!N716),IF(AND(Data!N716&gt;(TODAY()-(Data_Val!$L$3*365.25)),Data!N716&lt;=(TODAY()-(Data_Val!$L$2*365.25))),0,1),1))</f>
        <v/>
      </c>
      <c r="O726" s="18" t="str">
        <f>IF(Data!$G716="","",IF(Data!$G716=Data_Val!$C$2,IF(Data!O716="",0,1),0))</f>
        <v/>
      </c>
      <c r="P726" s="18" t="str">
        <f>IF(Data!O716="","",IF(ISNUMBER(MATCH(Data!P716,Data_Val!$A$2:$A$3,0)),0,1))</f>
        <v/>
      </c>
      <c r="Q726" s="44" t="str">
        <f ca="1">IF(Data!O716="","",IF(ISNUMBER(Data!Q716),IF(AND(Data!Q716&gt;(TODAY()-(Data_Val!$L$3*365.25)),Data!Q716&lt;=(TODAY()-(Data_Val!$L$2*365.25))),0,1),1))</f>
        <v/>
      </c>
    </row>
    <row r="727" spans="1:17" ht="12" customHeight="1" x14ac:dyDescent="0.25">
      <c r="A727" s="36" t="str">
        <f>IF(Data!B717="","",IF(COUNTIFS(Data!A$1:'Data'!A717,Data!A717)&lt;=1,0,1))</f>
        <v/>
      </c>
      <c r="B727" s="36"/>
      <c r="C727" s="36" t="str">
        <f>IF(Data!C717="","",(IF(ISNUMBER(MATCH("*@*.?*",Data!C717,0)),0,1)+IF(COUNTIFS(Data!C$1:'Data'!C717,Data!C717)&gt;1,1,0)))</f>
        <v/>
      </c>
      <c r="D727" s="36" t="str">
        <f>IF(Data!B717="","",IF(ISNUMBER(Data!D717),IF(AND(Data!D717&gt;999999999,Data!D717&lt;=9999999999),IF(COUNTIFS(Data!D$1:'Data'!D717,Data!D717)&lt;=1,0,1),1),1))</f>
        <v/>
      </c>
      <c r="E727" s="36" t="str">
        <f>IF(Data!B717="","",IF(ISNUMBER(MATCH(Data!E717,Data_Val!$A$2:$A$3,0)),0,1))</f>
        <v/>
      </c>
      <c r="F727" s="36" t="str">
        <f ca="1">IF(Data!B717="","",IF(ISNUMBER(Data!F717),IF(AND(Data!F717&gt;(TODAY()-(Data_Val!$H$3*365.25)),Data!F717&lt;=(TODAY()-(Data_Val!$H$2*365.25))),0,1),1))</f>
        <v/>
      </c>
      <c r="G727" s="12" t="str">
        <f>IF(Data!B717="","",IF(AND(Data!G717="",Data!H717&lt;&gt;""),1,IF(ISNUMBER(MATCH(Data!G717,Data_Val!$C$2:$C$5,0)),0,1)))</f>
        <v/>
      </c>
      <c r="H727" s="12" t="str">
        <f>IF(Data!B717="","",IF(AND(Data!G717&lt;&gt;"",Data!H717=""),1,IF(Data!G717="",1,IF(ISNUMBER(MATCH(Data!H717,Data_Val!$D$2:$D$35,0)),0,1))))</f>
        <v/>
      </c>
      <c r="I727" s="38" t="str">
        <f>IF(Data!G717="","",IF(Data!G717=Data_Val!$C$2,IF(Data!I717="",0,1),0))</f>
        <v/>
      </c>
      <c r="J727" s="38" t="str">
        <f>IF(Data!I717="","",IF(ISNUMBER(MATCH(Data!J717,Data_Val!$A$2:$A$3,0)),0,1))</f>
        <v/>
      </c>
      <c r="K727" s="38" t="str">
        <f ca="1">IF(Data!I717="","",IF(ISNUMBER(Data!K717),IF(AND(Data!K717&gt;(TODAY()-(Data_Val!$K$3*365.25)),Data!K717&lt;=(TODAY()-(Data_Val!$K$2*365.25))),0,1),1))</f>
        <v/>
      </c>
      <c r="L727" s="16" t="str">
        <f>IF(Data!G717="","",IF(Data!G717=Data_Val!$C$2,IF(Data!L717="",0,1),0))</f>
        <v/>
      </c>
      <c r="M727" s="16" t="str">
        <f>IF(Data!L717="","",IF(ISNUMBER(MATCH(Data!M717,Data_Val!$A$2:$A$3,0)),0,1))</f>
        <v/>
      </c>
      <c r="N727" s="43" t="str">
        <f ca="1">IF(Data!L717="","",IF(ISNUMBER(Data!N717),IF(AND(Data!N717&gt;(TODAY()-(Data_Val!$L$3*365.25)),Data!N717&lt;=(TODAY()-(Data_Val!$L$2*365.25))),0,1),1))</f>
        <v/>
      </c>
      <c r="O727" s="18" t="str">
        <f>IF(Data!$G717="","",IF(Data!$G717=Data_Val!$C$2,IF(Data!O717="",0,1),0))</f>
        <v/>
      </c>
      <c r="P727" s="18" t="str">
        <f>IF(Data!O717="","",IF(ISNUMBER(MATCH(Data!P717,Data_Val!$A$2:$A$3,0)),0,1))</f>
        <v/>
      </c>
      <c r="Q727" s="44" t="str">
        <f ca="1">IF(Data!O717="","",IF(ISNUMBER(Data!Q717),IF(AND(Data!Q717&gt;(TODAY()-(Data_Val!$L$3*365.25)),Data!Q717&lt;=(TODAY()-(Data_Val!$L$2*365.25))),0,1),1))</f>
        <v/>
      </c>
    </row>
    <row r="728" spans="1:17" ht="12" customHeight="1" x14ac:dyDescent="0.25">
      <c r="A728" s="36" t="str">
        <f>IF(Data!B718="","",IF(COUNTIFS(Data!A$1:'Data'!A718,Data!A718)&lt;=1,0,1))</f>
        <v/>
      </c>
      <c r="B728" s="36"/>
      <c r="C728" s="36" t="str">
        <f>IF(Data!C718="","",(IF(ISNUMBER(MATCH("*@*.?*",Data!C718,0)),0,1)+IF(COUNTIFS(Data!C$1:'Data'!C718,Data!C718)&gt;1,1,0)))</f>
        <v/>
      </c>
      <c r="D728" s="36" t="str">
        <f>IF(Data!B718="","",IF(ISNUMBER(Data!D718),IF(AND(Data!D718&gt;999999999,Data!D718&lt;=9999999999),IF(COUNTIFS(Data!D$1:'Data'!D718,Data!D718)&lt;=1,0,1),1),1))</f>
        <v/>
      </c>
      <c r="E728" s="36" t="str">
        <f>IF(Data!B718="","",IF(ISNUMBER(MATCH(Data!E718,Data_Val!$A$2:$A$3,0)),0,1))</f>
        <v/>
      </c>
      <c r="F728" s="36" t="str">
        <f ca="1">IF(Data!B718="","",IF(ISNUMBER(Data!F718),IF(AND(Data!F718&gt;(TODAY()-(Data_Val!$H$3*365.25)),Data!F718&lt;=(TODAY()-(Data_Val!$H$2*365.25))),0,1),1))</f>
        <v/>
      </c>
      <c r="G728" s="12" t="str">
        <f>IF(Data!B718="","",IF(AND(Data!G718="",Data!H718&lt;&gt;""),1,IF(ISNUMBER(MATCH(Data!G718,Data_Val!$C$2:$C$5,0)),0,1)))</f>
        <v/>
      </c>
      <c r="H728" s="12" t="str">
        <f>IF(Data!B718="","",IF(AND(Data!G718&lt;&gt;"",Data!H718=""),1,IF(Data!G718="",1,IF(ISNUMBER(MATCH(Data!H718,Data_Val!$D$2:$D$35,0)),0,1))))</f>
        <v/>
      </c>
      <c r="I728" s="38" t="str">
        <f>IF(Data!G718="","",IF(Data!G718=Data_Val!$C$2,IF(Data!I718="",0,1),0))</f>
        <v/>
      </c>
      <c r="J728" s="38" t="str">
        <f>IF(Data!I718="","",IF(ISNUMBER(MATCH(Data!J718,Data_Val!$A$2:$A$3,0)),0,1))</f>
        <v/>
      </c>
      <c r="K728" s="38" t="str">
        <f ca="1">IF(Data!I718="","",IF(ISNUMBER(Data!K718),IF(AND(Data!K718&gt;(TODAY()-(Data_Val!$K$3*365.25)),Data!K718&lt;=(TODAY()-(Data_Val!$K$2*365.25))),0,1),1))</f>
        <v/>
      </c>
      <c r="L728" s="16" t="str">
        <f>IF(Data!G718="","",IF(Data!G718=Data_Val!$C$2,IF(Data!L718="",0,1),0))</f>
        <v/>
      </c>
      <c r="M728" s="16" t="str">
        <f>IF(Data!L718="","",IF(ISNUMBER(MATCH(Data!M718,Data_Val!$A$2:$A$3,0)),0,1))</f>
        <v/>
      </c>
      <c r="N728" s="43" t="str">
        <f ca="1">IF(Data!L718="","",IF(ISNUMBER(Data!N718),IF(AND(Data!N718&gt;(TODAY()-(Data_Val!$L$3*365.25)),Data!N718&lt;=(TODAY()-(Data_Val!$L$2*365.25))),0,1),1))</f>
        <v/>
      </c>
      <c r="O728" s="18" t="str">
        <f>IF(Data!$G718="","",IF(Data!$G718=Data_Val!$C$2,IF(Data!O718="",0,1),0))</f>
        <v/>
      </c>
      <c r="P728" s="18" t="str">
        <f>IF(Data!O718="","",IF(ISNUMBER(MATCH(Data!P718,Data_Val!$A$2:$A$3,0)),0,1))</f>
        <v/>
      </c>
      <c r="Q728" s="44" t="str">
        <f ca="1">IF(Data!O718="","",IF(ISNUMBER(Data!Q718),IF(AND(Data!Q718&gt;(TODAY()-(Data_Val!$L$3*365.25)),Data!Q718&lt;=(TODAY()-(Data_Val!$L$2*365.25))),0,1),1))</f>
        <v/>
      </c>
    </row>
    <row r="729" spans="1:17" ht="12" customHeight="1" x14ac:dyDescent="0.25">
      <c r="A729" s="36" t="str">
        <f>IF(Data!B719="","",IF(COUNTIFS(Data!A$1:'Data'!A719,Data!A719)&lt;=1,0,1))</f>
        <v/>
      </c>
      <c r="B729" s="36"/>
      <c r="C729" s="36" t="str">
        <f>IF(Data!C719="","",(IF(ISNUMBER(MATCH("*@*.?*",Data!C719,0)),0,1)+IF(COUNTIFS(Data!C$1:'Data'!C719,Data!C719)&gt;1,1,0)))</f>
        <v/>
      </c>
      <c r="D729" s="36" t="str">
        <f>IF(Data!B719="","",IF(ISNUMBER(Data!D719),IF(AND(Data!D719&gt;999999999,Data!D719&lt;=9999999999),IF(COUNTIFS(Data!D$1:'Data'!D719,Data!D719)&lt;=1,0,1),1),1))</f>
        <v/>
      </c>
      <c r="E729" s="36" t="str">
        <f>IF(Data!B719="","",IF(ISNUMBER(MATCH(Data!E719,Data_Val!$A$2:$A$3,0)),0,1))</f>
        <v/>
      </c>
      <c r="F729" s="36" t="str">
        <f ca="1">IF(Data!B719="","",IF(ISNUMBER(Data!F719),IF(AND(Data!F719&gt;(TODAY()-(Data_Val!$H$3*365.25)),Data!F719&lt;=(TODAY()-(Data_Val!$H$2*365.25))),0,1),1))</f>
        <v/>
      </c>
      <c r="G729" s="12" t="str">
        <f>IF(Data!B719="","",IF(AND(Data!G719="",Data!H719&lt;&gt;""),1,IF(ISNUMBER(MATCH(Data!G719,Data_Val!$C$2:$C$5,0)),0,1)))</f>
        <v/>
      </c>
      <c r="H729" s="12" t="str">
        <f>IF(Data!B719="","",IF(AND(Data!G719&lt;&gt;"",Data!H719=""),1,IF(Data!G719="",1,IF(ISNUMBER(MATCH(Data!H719,Data_Val!$D$2:$D$35,0)),0,1))))</f>
        <v/>
      </c>
      <c r="I729" s="38" t="str">
        <f>IF(Data!G719="","",IF(Data!G719=Data_Val!$C$2,IF(Data!I719="",0,1),0))</f>
        <v/>
      </c>
      <c r="J729" s="38" t="str">
        <f>IF(Data!I719="","",IF(ISNUMBER(MATCH(Data!J719,Data_Val!$A$2:$A$3,0)),0,1))</f>
        <v/>
      </c>
      <c r="K729" s="38" t="str">
        <f ca="1">IF(Data!I719="","",IF(ISNUMBER(Data!K719),IF(AND(Data!K719&gt;(TODAY()-(Data_Val!$K$3*365.25)),Data!K719&lt;=(TODAY()-(Data_Val!$K$2*365.25))),0,1),1))</f>
        <v/>
      </c>
      <c r="L729" s="16" t="str">
        <f>IF(Data!G719="","",IF(Data!G719=Data_Val!$C$2,IF(Data!L719="",0,1),0))</f>
        <v/>
      </c>
      <c r="M729" s="16" t="str">
        <f>IF(Data!L719="","",IF(ISNUMBER(MATCH(Data!M719,Data_Val!$A$2:$A$3,0)),0,1))</f>
        <v/>
      </c>
      <c r="N729" s="43" t="str">
        <f ca="1">IF(Data!L719="","",IF(ISNUMBER(Data!N719),IF(AND(Data!N719&gt;(TODAY()-(Data_Val!$L$3*365.25)),Data!N719&lt;=(TODAY()-(Data_Val!$L$2*365.25))),0,1),1))</f>
        <v/>
      </c>
      <c r="O729" s="18" t="str">
        <f>IF(Data!$G719="","",IF(Data!$G719=Data_Val!$C$2,IF(Data!O719="",0,1),0))</f>
        <v/>
      </c>
      <c r="P729" s="18" t="str">
        <f>IF(Data!O719="","",IF(ISNUMBER(MATCH(Data!P719,Data_Val!$A$2:$A$3,0)),0,1))</f>
        <v/>
      </c>
      <c r="Q729" s="44" t="str">
        <f ca="1">IF(Data!O719="","",IF(ISNUMBER(Data!Q719),IF(AND(Data!Q719&gt;(TODAY()-(Data_Val!$L$3*365.25)),Data!Q719&lt;=(TODAY()-(Data_Val!$L$2*365.25))),0,1),1))</f>
        <v/>
      </c>
    </row>
    <row r="730" spans="1:17" ht="12" customHeight="1" x14ac:dyDescent="0.25">
      <c r="A730" s="36" t="str">
        <f>IF(Data!B720="","",IF(COUNTIFS(Data!A$1:'Data'!A720,Data!A720)&lt;=1,0,1))</f>
        <v/>
      </c>
      <c r="B730" s="36"/>
      <c r="C730" s="36" t="str">
        <f>IF(Data!C720="","",(IF(ISNUMBER(MATCH("*@*.?*",Data!C720,0)),0,1)+IF(COUNTIFS(Data!C$1:'Data'!C720,Data!C720)&gt;1,1,0)))</f>
        <v/>
      </c>
      <c r="D730" s="36" t="str">
        <f>IF(Data!B720="","",IF(ISNUMBER(Data!D720),IF(AND(Data!D720&gt;999999999,Data!D720&lt;=9999999999),IF(COUNTIFS(Data!D$1:'Data'!D720,Data!D720)&lt;=1,0,1),1),1))</f>
        <v/>
      </c>
      <c r="E730" s="36" t="str">
        <f>IF(Data!B720="","",IF(ISNUMBER(MATCH(Data!E720,Data_Val!$A$2:$A$3,0)),0,1))</f>
        <v/>
      </c>
      <c r="F730" s="36" t="str">
        <f ca="1">IF(Data!B720="","",IF(ISNUMBER(Data!F720),IF(AND(Data!F720&gt;(TODAY()-(Data_Val!$H$3*365.25)),Data!F720&lt;=(TODAY()-(Data_Val!$H$2*365.25))),0,1),1))</f>
        <v/>
      </c>
      <c r="G730" s="12" t="str">
        <f>IF(Data!B720="","",IF(AND(Data!G720="",Data!H720&lt;&gt;""),1,IF(ISNUMBER(MATCH(Data!G720,Data_Val!$C$2:$C$5,0)),0,1)))</f>
        <v/>
      </c>
      <c r="H730" s="12" t="str">
        <f>IF(Data!B720="","",IF(AND(Data!G720&lt;&gt;"",Data!H720=""),1,IF(Data!G720="",1,IF(ISNUMBER(MATCH(Data!H720,Data_Val!$D$2:$D$35,0)),0,1))))</f>
        <v/>
      </c>
      <c r="I730" s="38" t="str">
        <f>IF(Data!G720="","",IF(Data!G720=Data_Val!$C$2,IF(Data!I720="",0,1),0))</f>
        <v/>
      </c>
      <c r="J730" s="38" t="str">
        <f>IF(Data!I720="","",IF(ISNUMBER(MATCH(Data!J720,Data_Val!$A$2:$A$3,0)),0,1))</f>
        <v/>
      </c>
      <c r="K730" s="38" t="str">
        <f ca="1">IF(Data!I720="","",IF(ISNUMBER(Data!K720),IF(AND(Data!K720&gt;(TODAY()-(Data_Val!$K$3*365.25)),Data!K720&lt;=(TODAY()-(Data_Val!$K$2*365.25))),0,1),1))</f>
        <v/>
      </c>
      <c r="L730" s="16" t="str">
        <f>IF(Data!G720="","",IF(Data!G720=Data_Val!$C$2,IF(Data!L720="",0,1),0))</f>
        <v/>
      </c>
      <c r="M730" s="16" t="str">
        <f>IF(Data!L720="","",IF(ISNUMBER(MATCH(Data!M720,Data_Val!$A$2:$A$3,0)),0,1))</f>
        <v/>
      </c>
      <c r="N730" s="43" t="str">
        <f ca="1">IF(Data!L720="","",IF(ISNUMBER(Data!N720),IF(AND(Data!N720&gt;(TODAY()-(Data_Val!$L$3*365.25)),Data!N720&lt;=(TODAY()-(Data_Val!$L$2*365.25))),0,1),1))</f>
        <v/>
      </c>
      <c r="O730" s="18" t="str">
        <f>IF(Data!$G720="","",IF(Data!$G720=Data_Val!$C$2,IF(Data!O720="",0,1),0))</f>
        <v/>
      </c>
      <c r="P730" s="18" t="str">
        <f>IF(Data!O720="","",IF(ISNUMBER(MATCH(Data!P720,Data_Val!$A$2:$A$3,0)),0,1))</f>
        <v/>
      </c>
      <c r="Q730" s="44" t="str">
        <f ca="1">IF(Data!O720="","",IF(ISNUMBER(Data!Q720),IF(AND(Data!Q720&gt;(TODAY()-(Data_Val!$L$3*365.25)),Data!Q720&lt;=(TODAY()-(Data_Val!$L$2*365.25))),0,1),1))</f>
        <v/>
      </c>
    </row>
    <row r="731" spans="1:17" ht="12" customHeight="1" x14ac:dyDescent="0.25">
      <c r="A731" s="36" t="str">
        <f>IF(Data!B721="","",IF(COUNTIFS(Data!A$1:'Data'!A721,Data!A721)&lt;=1,0,1))</f>
        <v/>
      </c>
      <c r="B731" s="36"/>
      <c r="C731" s="36" t="str">
        <f>IF(Data!C721="","",(IF(ISNUMBER(MATCH("*@*.?*",Data!C721,0)),0,1)+IF(COUNTIFS(Data!C$1:'Data'!C721,Data!C721)&gt;1,1,0)))</f>
        <v/>
      </c>
      <c r="D731" s="36" t="str">
        <f>IF(Data!B721="","",IF(ISNUMBER(Data!D721),IF(AND(Data!D721&gt;999999999,Data!D721&lt;=9999999999),IF(COUNTIFS(Data!D$1:'Data'!D721,Data!D721)&lt;=1,0,1),1),1))</f>
        <v/>
      </c>
      <c r="E731" s="36" t="str">
        <f>IF(Data!B721="","",IF(ISNUMBER(MATCH(Data!E721,Data_Val!$A$2:$A$3,0)),0,1))</f>
        <v/>
      </c>
      <c r="F731" s="36" t="str">
        <f ca="1">IF(Data!B721="","",IF(ISNUMBER(Data!F721),IF(AND(Data!F721&gt;(TODAY()-(Data_Val!$H$3*365.25)),Data!F721&lt;=(TODAY()-(Data_Val!$H$2*365.25))),0,1),1))</f>
        <v/>
      </c>
      <c r="G731" s="12" t="str">
        <f>IF(Data!B721="","",IF(AND(Data!G721="",Data!H721&lt;&gt;""),1,IF(ISNUMBER(MATCH(Data!G721,Data_Val!$C$2:$C$5,0)),0,1)))</f>
        <v/>
      </c>
      <c r="H731" s="12" t="str">
        <f>IF(Data!B721="","",IF(AND(Data!G721&lt;&gt;"",Data!H721=""),1,IF(Data!G721="",1,IF(ISNUMBER(MATCH(Data!H721,Data_Val!$D$2:$D$35,0)),0,1))))</f>
        <v/>
      </c>
      <c r="I731" s="38" t="str">
        <f>IF(Data!G721="","",IF(Data!G721=Data_Val!$C$2,IF(Data!I721="",0,1),0))</f>
        <v/>
      </c>
      <c r="J731" s="38" t="str">
        <f>IF(Data!I721="","",IF(ISNUMBER(MATCH(Data!J721,Data_Val!$A$2:$A$3,0)),0,1))</f>
        <v/>
      </c>
      <c r="K731" s="38" t="str">
        <f ca="1">IF(Data!I721="","",IF(ISNUMBER(Data!K721),IF(AND(Data!K721&gt;(TODAY()-(Data_Val!$K$3*365.25)),Data!K721&lt;=(TODAY()-(Data_Val!$K$2*365.25))),0,1),1))</f>
        <v/>
      </c>
      <c r="L731" s="16" t="str">
        <f>IF(Data!G721="","",IF(Data!G721=Data_Val!$C$2,IF(Data!L721="",0,1),0))</f>
        <v/>
      </c>
      <c r="M731" s="16" t="str">
        <f>IF(Data!L721="","",IF(ISNUMBER(MATCH(Data!M721,Data_Val!$A$2:$A$3,0)),0,1))</f>
        <v/>
      </c>
      <c r="N731" s="43" t="str">
        <f ca="1">IF(Data!L721="","",IF(ISNUMBER(Data!N721),IF(AND(Data!N721&gt;(TODAY()-(Data_Val!$L$3*365.25)),Data!N721&lt;=(TODAY()-(Data_Val!$L$2*365.25))),0,1),1))</f>
        <v/>
      </c>
      <c r="O731" s="18" t="str">
        <f>IF(Data!$G721="","",IF(Data!$G721=Data_Val!$C$2,IF(Data!O721="",0,1),0))</f>
        <v/>
      </c>
      <c r="P731" s="18" t="str">
        <f>IF(Data!O721="","",IF(ISNUMBER(MATCH(Data!P721,Data_Val!$A$2:$A$3,0)),0,1))</f>
        <v/>
      </c>
      <c r="Q731" s="44" t="str">
        <f ca="1">IF(Data!O721="","",IF(ISNUMBER(Data!Q721),IF(AND(Data!Q721&gt;(TODAY()-(Data_Val!$L$3*365.25)),Data!Q721&lt;=(TODAY()-(Data_Val!$L$2*365.25))),0,1),1))</f>
        <v/>
      </c>
    </row>
    <row r="732" spans="1:17" ht="12" customHeight="1" x14ac:dyDescent="0.25">
      <c r="A732" s="36" t="str">
        <f>IF(Data!B722="","",IF(COUNTIFS(Data!A$1:'Data'!A722,Data!A722)&lt;=1,0,1))</f>
        <v/>
      </c>
      <c r="B732" s="36"/>
      <c r="C732" s="36" t="str">
        <f>IF(Data!C722="","",(IF(ISNUMBER(MATCH("*@*.?*",Data!C722,0)),0,1)+IF(COUNTIFS(Data!C$1:'Data'!C722,Data!C722)&gt;1,1,0)))</f>
        <v/>
      </c>
      <c r="D732" s="36" t="str">
        <f>IF(Data!B722="","",IF(ISNUMBER(Data!D722),IF(AND(Data!D722&gt;999999999,Data!D722&lt;=9999999999),IF(COUNTIFS(Data!D$1:'Data'!D722,Data!D722)&lt;=1,0,1),1),1))</f>
        <v/>
      </c>
      <c r="E732" s="36" t="str">
        <f>IF(Data!B722="","",IF(ISNUMBER(MATCH(Data!E722,Data_Val!$A$2:$A$3,0)),0,1))</f>
        <v/>
      </c>
      <c r="F732" s="36" t="str">
        <f ca="1">IF(Data!B722="","",IF(ISNUMBER(Data!F722),IF(AND(Data!F722&gt;(TODAY()-(Data_Val!$H$3*365.25)),Data!F722&lt;=(TODAY()-(Data_Val!$H$2*365.25))),0,1),1))</f>
        <v/>
      </c>
      <c r="G732" s="12" t="str">
        <f>IF(Data!B722="","",IF(AND(Data!G722="",Data!H722&lt;&gt;""),1,IF(ISNUMBER(MATCH(Data!G722,Data_Val!$C$2:$C$5,0)),0,1)))</f>
        <v/>
      </c>
      <c r="H732" s="12" t="str">
        <f>IF(Data!B722="","",IF(AND(Data!G722&lt;&gt;"",Data!H722=""),1,IF(Data!G722="",1,IF(ISNUMBER(MATCH(Data!H722,Data_Val!$D$2:$D$35,0)),0,1))))</f>
        <v/>
      </c>
      <c r="I732" s="38" t="str">
        <f>IF(Data!G722="","",IF(Data!G722=Data_Val!$C$2,IF(Data!I722="",0,1),0))</f>
        <v/>
      </c>
      <c r="J732" s="38" t="str">
        <f>IF(Data!I722="","",IF(ISNUMBER(MATCH(Data!J722,Data_Val!$A$2:$A$3,0)),0,1))</f>
        <v/>
      </c>
      <c r="K732" s="38" t="str">
        <f ca="1">IF(Data!I722="","",IF(ISNUMBER(Data!K722),IF(AND(Data!K722&gt;(TODAY()-(Data_Val!$K$3*365.25)),Data!K722&lt;=(TODAY()-(Data_Val!$K$2*365.25))),0,1),1))</f>
        <v/>
      </c>
      <c r="L732" s="16" t="str">
        <f>IF(Data!G722="","",IF(Data!G722=Data_Val!$C$2,IF(Data!L722="",0,1),0))</f>
        <v/>
      </c>
      <c r="M732" s="16" t="str">
        <f>IF(Data!L722="","",IF(ISNUMBER(MATCH(Data!M722,Data_Val!$A$2:$A$3,0)),0,1))</f>
        <v/>
      </c>
      <c r="N732" s="43" t="str">
        <f ca="1">IF(Data!L722="","",IF(ISNUMBER(Data!N722),IF(AND(Data!N722&gt;(TODAY()-(Data_Val!$L$3*365.25)),Data!N722&lt;=(TODAY()-(Data_Val!$L$2*365.25))),0,1),1))</f>
        <v/>
      </c>
      <c r="O732" s="18" t="str">
        <f>IF(Data!$G722="","",IF(Data!$G722=Data_Val!$C$2,IF(Data!O722="",0,1),0))</f>
        <v/>
      </c>
      <c r="P732" s="18" t="str">
        <f>IF(Data!O722="","",IF(ISNUMBER(MATCH(Data!P722,Data_Val!$A$2:$A$3,0)),0,1))</f>
        <v/>
      </c>
      <c r="Q732" s="44" t="str">
        <f ca="1">IF(Data!O722="","",IF(ISNUMBER(Data!Q722),IF(AND(Data!Q722&gt;(TODAY()-(Data_Val!$L$3*365.25)),Data!Q722&lt;=(TODAY()-(Data_Val!$L$2*365.25))),0,1),1))</f>
        <v/>
      </c>
    </row>
    <row r="733" spans="1:17" ht="12" customHeight="1" x14ac:dyDescent="0.25">
      <c r="A733" s="36" t="str">
        <f>IF(Data!B723="","",IF(COUNTIFS(Data!A$1:'Data'!A723,Data!A723)&lt;=1,0,1))</f>
        <v/>
      </c>
      <c r="B733" s="36"/>
      <c r="C733" s="36" t="str">
        <f>IF(Data!C723="","",(IF(ISNUMBER(MATCH("*@*.?*",Data!C723,0)),0,1)+IF(COUNTIFS(Data!C$1:'Data'!C723,Data!C723)&gt;1,1,0)))</f>
        <v/>
      </c>
      <c r="D733" s="36" t="str">
        <f>IF(Data!B723="","",IF(ISNUMBER(Data!D723),IF(AND(Data!D723&gt;999999999,Data!D723&lt;=9999999999),IF(COUNTIFS(Data!D$1:'Data'!D723,Data!D723)&lt;=1,0,1),1),1))</f>
        <v/>
      </c>
      <c r="E733" s="36" t="str">
        <f>IF(Data!B723="","",IF(ISNUMBER(MATCH(Data!E723,Data_Val!$A$2:$A$3,0)),0,1))</f>
        <v/>
      </c>
      <c r="F733" s="36" t="str">
        <f ca="1">IF(Data!B723="","",IF(ISNUMBER(Data!F723),IF(AND(Data!F723&gt;(TODAY()-(Data_Val!$H$3*365.25)),Data!F723&lt;=(TODAY()-(Data_Val!$H$2*365.25))),0,1),1))</f>
        <v/>
      </c>
      <c r="G733" s="12" t="str">
        <f>IF(Data!B723="","",IF(AND(Data!G723="",Data!H723&lt;&gt;""),1,IF(ISNUMBER(MATCH(Data!G723,Data_Val!$C$2:$C$5,0)),0,1)))</f>
        <v/>
      </c>
      <c r="H733" s="12" t="str">
        <f>IF(Data!B723="","",IF(AND(Data!G723&lt;&gt;"",Data!H723=""),1,IF(Data!G723="",1,IF(ISNUMBER(MATCH(Data!H723,Data_Val!$D$2:$D$35,0)),0,1))))</f>
        <v/>
      </c>
      <c r="I733" s="38" t="str">
        <f>IF(Data!G723="","",IF(Data!G723=Data_Val!$C$2,IF(Data!I723="",0,1),0))</f>
        <v/>
      </c>
      <c r="J733" s="38" t="str">
        <f>IF(Data!I723="","",IF(ISNUMBER(MATCH(Data!J723,Data_Val!$A$2:$A$3,0)),0,1))</f>
        <v/>
      </c>
      <c r="K733" s="38" t="str">
        <f ca="1">IF(Data!I723="","",IF(ISNUMBER(Data!K723),IF(AND(Data!K723&gt;(TODAY()-(Data_Val!$K$3*365.25)),Data!K723&lt;=(TODAY()-(Data_Val!$K$2*365.25))),0,1),1))</f>
        <v/>
      </c>
      <c r="L733" s="16" t="str">
        <f>IF(Data!G723="","",IF(Data!G723=Data_Val!$C$2,IF(Data!L723="",0,1),0))</f>
        <v/>
      </c>
      <c r="M733" s="16" t="str">
        <f>IF(Data!L723="","",IF(ISNUMBER(MATCH(Data!M723,Data_Val!$A$2:$A$3,0)),0,1))</f>
        <v/>
      </c>
      <c r="N733" s="43" t="str">
        <f ca="1">IF(Data!L723="","",IF(ISNUMBER(Data!N723),IF(AND(Data!N723&gt;(TODAY()-(Data_Val!$L$3*365.25)),Data!N723&lt;=(TODAY()-(Data_Val!$L$2*365.25))),0,1),1))</f>
        <v/>
      </c>
      <c r="O733" s="18" t="str">
        <f>IF(Data!$G723="","",IF(Data!$G723=Data_Val!$C$2,IF(Data!O723="",0,1),0))</f>
        <v/>
      </c>
      <c r="P733" s="18" t="str">
        <f>IF(Data!O723="","",IF(ISNUMBER(MATCH(Data!P723,Data_Val!$A$2:$A$3,0)),0,1))</f>
        <v/>
      </c>
      <c r="Q733" s="44" t="str">
        <f ca="1">IF(Data!O723="","",IF(ISNUMBER(Data!Q723),IF(AND(Data!Q723&gt;(TODAY()-(Data_Val!$L$3*365.25)),Data!Q723&lt;=(TODAY()-(Data_Val!$L$2*365.25))),0,1),1))</f>
        <v/>
      </c>
    </row>
    <row r="734" spans="1:17" ht="12" customHeight="1" x14ac:dyDescent="0.25">
      <c r="A734" s="36" t="str">
        <f>IF(Data!B724="","",IF(COUNTIFS(Data!A$1:'Data'!A724,Data!A724)&lt;=1,0,1))</f>
        <v/>
      </c>
      <c r="B734" s="36"/>
      <c r="C734" s="36" t="str">
        <f>IF(Data!C724="","",(IF(ISNUMBER(MATCH("*@*.?*",Data!C724,0)),0,1)+IF(COUNTIFS(Data!C$1:'Data'!C724,Data!C724)&gt;1,1,0)))</f>
        <v/>
      </c>
      <c r="D734" s="36" t="str">
        <f>IF(Data!B724="","",IF(ISNUMBER(Data!D724),IF(AND(Data!D724&gt;999999999,Data!D724&lt;=9999999999),IF(COUNTIFS(Data!D$1:'Data'!D724,Data!D724)&lt;=1,0,1),1),1))</f>
        <v/>
      </c>
      <c r="E734" s="36" t="str">
        <f>IF(Data!B724="","",IF(ISNUMBER(MATCH(Data!E724,Data_Val!$A$2:$A$3,0)),0,1))</f>
        <v/>
      </c>
      <c r="F734" s="36" t="str">
        <f ca="1">IF(Data!B724="","",IF(ISNUMBER(Data!F724),IF(AND(Data!F724&gt;(TODAY()-(Data_Val!$H$3*365.25)),Data!F724&lt;=(TODAY()-(Data_Val!$H$2*365.25))),0,1),1))</f>
        <v/>
      </c>
      <c r="G734" s="12" t="str">
        <f>IF(Data!B724="","",IF(AND(Data!G724="",Data!H724&lt;&gt;""),1,IF(ISNUMBER(MATCH(Data!G724,Data_Val!$C$2:$C$5,0)),0,1)))</f>
        <v/>
      </c>
      <c r="H734" s="12" t="str">
        <f>IF(Data!B724="","",IF(AND(Data!G724&lt;&gt;"",Data!H724=""),1,IF(Data!G724="",1,IF(ISNUMBER(MATCH(Data!H724,Data_Val!$D$2:$D$35,0)),0,1))))</f>
        <v/>
      </c>
      <c r="I734" s="38" t="str">
        <f>IF(Data!G724="","",IF(Data!G724=Data_Val!$C$2,IF(Data!I724="",0,1),0))</f>
        <v/>
      </c>
      <c r="J734" s="38" t="str">
        <f>IF(Data!I724="","",IF(ISNUMBER(MATCH(Data!J724,Data_Val!$A$2:$A$3,0)),0,1))</f>
        <v/>
      </c>
      <c r="K734" s="38" t="str">
        <f ca="1">IF(Data!I724="","",IF(ISNUMBER(Data!K724),IF(AND(Data!K724&gt;(TODAY()-(Data_Val!$K$3*365.25)),Data!K724&lt;=(TODAY()-(Data_Val!$K$2*365.25))),0,1),1))</f>
        <v/>
      </c>
      <c r="L734" s="16" t="str">
        <f>IF(Data!G724="","",IF(Data!G724=Data_Val!$C$2,IF(Data!L724="",0,1),0))</f>
        <v/>
      </c>
      <c r="M734" s="16" t="str">
        <f>IF(Data!L724="","",IF(ISNUMBER(MATCH(Data!M724,Data_Val!$A$2:$A$3,0)),0,1))</f>
        <v/>
      </c>
      <c r="N734" s="43" t="str">
        <f ca="1">IF(Data!L724="","",IF(ISNUMBER(Data!N724),IF(AND(Data!N724&gt;(TODAY()-(Data_Val!$L$3*365.25)),Data!N724&lt;=(TODAY()-(Data_Val!$L$2*365.25))),0,1),1))</f>
        <v/>
      </c>
      <c r="O734" s="18" t="str">
        <f>IF(Data!$G724="","",IF(Data!$G724=Data_Val!$C$2,IF(Data!O724="",0,1),0))</f>
        <v/>
      </c>
      <c r="P734" s="18" t="str">
        <f>IF(Data!O724="","",IF(ISNUMBER(MATCH(Data!P724,Data_Val!$A$2:$A$3,0)),0,1))</f>
        <v/>
      </c>
      <c r="Q734" s="44" t="str">
        <f ca="1">IF(Data!O724="","",IF(ISNUMBER(Data!Q724),IF(AND(Data!Q724&gt;(TODAY()-(Data_Val!$L$3*365.25)),Data!Q724&lt;=(TODAY()-(Data_Val!$L$2*365.25))),0,1),1))</f>
        <v/>
      </c>
    </row>
    <row r="735" spans="1:17" ht="12" customHeight="1" x14ac:dyDescent="0.25">
      <c r="A735" s="36" t="str">
        <f>IF(Data!B725="","",IF(COUNTIFS(Data!A$1:'Data'!A725,Data!A725)&lt;=1,0,1))</f>
        <v/>
      </c>
      <c r="B735" s="36"/>
      <c r="C735" s="36" t="str">
        <f>IF(Data!C725="","",(IF(ISNUMBER(MATCH("*@*.?*",Data!C725,0)),0,1)+IF(COUNTIFS(Data!C$1:'Data'!C725,Data!C725)&gt;1,1,0)))</f>
        <v/>
      </c>
      <c r="D735" s="36" t="str">
        <f>IF(Data!B725="","",IF(ISNUMBER(Data!D725),IF(AND(Data!D725&gt;999999999,Data!D725&lt;=9999999999),IF(COUNTIFS(Data!D$1:'Data'!D725,Data!D725)&lt;=1,0,1),1),1))</f>
        <v/>
      </c>
      <c r="E735" s="36" t="str">
        <f>IF(Data!B725="","",IF(ISNUMBER(MATCH(Data!E725,Data_Val!$A$2:$A$3,0)),0,1))</f>
        <v/>
      </c>
      <c r="F735" s="36" t="str">
        <f ca="1">IF(Data!B725="","",IF(ISNUMBER(Data!F725),IF(AND(Data!F725&gt;(TODAY()-(Data_Val!$H$3*365.25)),Data!F725&lt;=(TODAY()-(Data_Val!$H$2*365.25))),0,1),1))</f>
        <v/>
      </c>
      <c r="G735" s="12" t="str">
        <f>IF(Data!B725="","",IF(AND(Data!G725="",Data!H725&lt;&gt;""),1,IF(ISNUMBER(MATCH(Data!G725,Data_Val!$C$2:$C$5,0)),0,1)))</f>
        <v/>
      </c>
      <c r="H735" s="12" t="str">
        <f>IF(Data!B725="","",IF(AND(Data!G725&lt;&gt;"",Data!H725=""),1,IF(Data!G725="",1,IF(ISNUMBER(MATCH(Data!H725,Data_Val!$D$2:$D$35,0)),0,1))))</f>
        <v/>
      </c>
      <c r="I735" s="38" t="str">
        <f>IF(Data!G725="","",IF(Data!G725=Data_Val!$C$2,IF(Data!I725="",0,1),0))</f>
        <v/>
      </c>
      <c r="J735" s="38" t="str">
        <f>IF(Data!I725="","",IF(ISNUMBER(MATCH(Data!J725,Data_Val!$A$2:$A$3,0)),0,1))</f>
        <v/>
      </c>
      <c r="K735" s="38" t="str">
        <f ca="1">IF(Data!I725="","",IF(ISNUMBER(Data!K725),IF(AND(Data!K725&gt;(TODAY()-(Data_Val!$K$3*365.25)),Data!K725&lt;=(TODAY()-(Data_Val!$K$2*365.25))),0,1),1))</f>
        <v/>
      </c>
      <c r="L735" s="16" t="str">
        <f>IF(Data!G725="","",IF(Data!G725=Data_Val!$C$2,IF(Data!L725="",0,1),0))</f>
        <v/>
      </c>
      <c r="M735" s="16" t="str">
        <f>IF(Data!L725="","",IF(ISNUMBER(MATCH(Data!M725,Data_Val!$A$2:$A$3,0)),0,1))</f>
        <v/>
      </c>
      <c r="N735" s="43" t="str">
        <f ca="1">IF(Data!L725="","",IF(ISNUMBER(Data!N725),IF(AND(Data!N725&gt;(TODAY()-(Data_Val!$L$3*365.25)),Data!N725&lt;=(TODAY()-(Data_Val!$L$2*365.25))),0,1),1))</f>
        <v/>
      </c>
      <c r="O735" s="18" t="str">
        <f>IF(Data!$G725="","",IF(Data!$G725=Data_Val!$C$2,IF(Data!O725="",0,1),0))</f>
        <v/>
      </c>
      <c r="P735" s="18" t="str">
        <f>IF(Data!O725="","",IF(ISNUMBER(MATCH(Data!P725,Data_Val!$A$2:$A$3,0)),0,1))</f>
        <v/>
      </c>
      <c r="Q735" s="44" t="str">
        <f ca="1">IF(Data!O725="","",IF(ISNUMBER(Data!Q725),IF(AND(Data!Q725&gt;(TODAY()-(Data_Val!$L$3*365.25)),Data!Q725&lt;=(TODAY()-(Data_Val!$L$2*365.25))),0,1),1))</f>
        <v/>
      </c>
    </row>
    <row r="736" spans="1:17" ht="12" customHeight="1" x14ac:dyDescent="0.25">
      <c r="A736" s="36" t="str">
        <f>IF(Data!B726="","",IF(COUNTIFS(Data!A$1:'Data'!A726,Data!A726)&lt;=1,0,1))</f>
        <v/>
      </c>
      <c r="B736" s="36"/>
      <c r="C736" s="36" t="str">
        <f>IF(Data!C726="","",(IF(ISNUMBER(MATCH("*@*.?*",Data!C726,0)),0,1)+IF(COUNTIFS(Data!C$1:'Data'!C726,Data!C726)&gt;1,1,0)))</f>
        <v/>
      </c>
      <c r="D736" s="36" t="str">
        <f>IF(Data!B726="","",IF(ISNUMBER(Data!D726),IF(AND(Data!D726&gt;999999999,Data!D726&lt;=9999999999),IF(COUNTIFS(Data!D$1:'Data'!D726,Data!D726)&lt;=1,0,1),1),1))</f>
        <v/>
      </c>
      <c r="E736" s="36" t="str">
        <f>IF(Data!B726="","",IF(ISNUMBER(MATCH(Data!E726,Data_Val!$A$2:$A$3,0)),0,1))</f>
        <v/>
      </c>
      <c r="F736" s="36" t="str">
        <f ca="1">IF(Data!B726="","",IF(ISNUMBER(Data!F726),IF(AND(Data!F726&gt;(TODAY()-(Data_Val!$H$3*365.25)),Data!F726&lt;=(TODAY()-(Data_Val!$H$2*365.25))),0,1),1))</f>
        <v/>
      </c>
      <c r="G736" s="12" t="str">
        <f>IF(Data!B726="","",IF(AND(Data!G726="",Data!H726&lt;&gt;""),1,IF(ISNUMBER(MATCH(Data!G726,Data_Val!$C$2:$C$5,0)),0,1)))</f>
        <v/>
      </c>
      <c r="H736" s="12" t="str">
        <f>IF(Data!B726="","",IF(AND(Data!G726&lt;&gt;"",Data!H726=""),1,IF(Data!G726="",1,IF(ISNUMBER(MATCH(Data!H726,Data_Val!$D$2:$D$35,0)),0,1))))</f>
        <v/>
      </c>
      <c r="I736" s="38" t="str">
        <f>IF(Data!G726="","",IF(Data!G726=Data_Val!$C$2,IF(Data!I726="",0,1),0))</f>
        <v/>
      </c>
      <c r="J736" s="38" t="str">
        <f>IF(Data!I726="","",IF(ISNUMBER(MATCH(Data!J726,Data_Val!$A$2:$A$3,0)),0,1))</f>
        <v/>
      </c>
      <c r="K736" s="38" t="str">
        <f ca="1">IF(Data!I726="","",IF(ISNUMBER(Data!K726),IF(AND(Data!K726&gt;(TODAY()-(Data_Val!$K$3*365.25)),Data!K726&lt;=(TODAY()-(Data_Val!$K$2*365.25))),0,1),1))</f>
        <v/>
      </c>
      <c r="L736" s="16" t="str">
        <f>IF(Data!G726="","",IF(Data!G726=Data_Val!$C$2,IF(Data!L726="",0,1),0))</f>
        <v/>
      </c>
      <c r="M736" s="16" t="str">
        <f>IF(Data!L726="","",IF(ISNUMBER(MATCH(Data!M726,Data_Val!$A$2:$A$3,0)),0,1))</f>
        <v/>
      </c>
      <c r="N736" s="43" t="str">
        <f ca="1">IF(Data!L726="","",IF(ISNUMBER(Data!N726),IF(AND(Data!N726&gt;(TODAY()-(Data_Val!$L$3*365.25)),Data!N726&lt;=(TODAY()-(Data_Val!$L$2*365.25))),0,1),1))</f>
        <v/>
      </c>
      <c r="O736" s="18" t="str">
        <f>IF(Data!$G726="","",IF(Data!$G726=Data_Val!$C$2,IF(Data!O726="",0,1),0))</f>
        <v/>
      </c>
      <c r="P736" s="18" t="str">
        <f>IF(Data!O726="","",IF(ISNUMBER(MATCH(Data!P726,Data_Val!$A$2:$A$3,0)),0,1))</f>
        <v/>
      </c>
      <c r="Q736" s="44" t="str">
        <f ca="1">IF(Data!O726="","",IF(ISNUMBER(Data!Q726),IF(AND(Data!Q726&gt;(TODAY()-(Data_Val!$L$3*365.25)),Data!Q726&lt;=(TODAY()-(Data_Val!$L$2*365.25))),0,1),1))</f>
        <v/>
      </c>
    </row>
    <row r="737" spans="1:17" ht="12" customHeight="1" x14ac:dyDescent="0.25">
      <c r="A737" s="36" t="str">
        <f>IF(Data!B727="","",IF(COUNTIFS(Data!A$1:'Data'!A727,Data!A727)&lt;=1,0,1))</f>
        <v/>
      </c>
      <c r="B737" s="36"/>
      <c r="C737" s="36" t="str">
        <f>IF(Data!C727="","",(IF(ISNUMBER(MATCH("*@*.?*",Data!C727,0)),0,1)+IF(COUNTIFS(Data!C$1:'Data'!C727,Data!C727)&gt;1,1,0)))</f>
        <v/>
      </c>
      <c r="D737" s="36" t="str">
        <f>IF(Data!B727="","",IF(ISNUMBER(Data!D727),IF(AND(Data!D727&gt;999999999,Data!D727&lt;=9999999999),IF(COUNTIFS(Data!D$1:'Data'!D727,Data!D727)&lt;=1,0,1),1),1))</f>
        <v/>
      </c>
      <c r="E737" s="36" t="str">
        <f>IF(Data!B727="","",IF(ISNUMBER(MATCH(Data!E727,Data_Val!$A$2:$A$3,0)),0,1))</f>
        <v/>
      </c>
      <c r="F737" s="36" t="str">
        <f ca="1">IF(Data!B727="","",IF(ISNUMBER(Data!F727),IF(AND(Data!F727&gt;(TODAY()-(Data_Val!$H$3*365.25)),Data!F727&lt;=(TODAY()-(Data_Val!$H$2*365.25))),0,1),1))</f>
        <v/>
      </c>
      <c r="G737" s="12" t="str">
        <f>IF(Data!B727="","",IF(AND(Data!G727="",Data!H727&lt;&gt;""),1,IF(ISNUMBER(MATCH(Data!G727,Data_Val!$C$2:$C$5,0)),0,1)))</f>
        <v/>
      </c>
      <c r="H737" s="12" t="str">
        <f>IF(Data!B727="","",IF(AND(Data!G727&lt;&gt;"",Data!H727=""),1,IF(Data!G727="",1,IF(ISNUMBER(MATCH(Data!H727,Data_Val!$D$2:$D$35,0)),0,1))))</f>
        <v/>
      </c>
      <c r="I737" s="38" t="str">
        <f>IF(Data!G727="","",IF(Data!G727=Data_Val!$C$2,IF(Data!I727="",0,1),0))</f>
        <v/>
      </c>
      <c r="J737" s="38" t="str">
        <f>IF(Data!I727="","",IF(ISNUMBER(MATCH(Data!J727,Data_Val!$A$2:$A$3,0)),0,1))</f>
        <v/>
      </c>
      <c r="K737" s="38" t="str">
        <f ca="1">IF(Data!I727="","",IF(ISNUMBER(Data!K727),IF(AND(Data!K727&gt;(TODAY()-(Data_Val!$K$3*365.25)),Data!K727&lt;=(TODAY()-(Data_Val!$K$2*365.25))),0,1),1))</f>
        <v/>
      </c>
      <c r="L737" s="16" t="str">
        <f>IF(Data!G727="","",IF(Data!G727=Data_Val!$C$2,IF(Data!L727="",0,1),0))</f>
        <v/>
      </c>
      <c r="M737" s="16" t="str">
        <f>IF(Data!L727="","",IF(ISNUMBER(MATCH(Data!M727,Data_Val!$A$2:$A$3,0)),0,1))</f>
        <v/>
      </c>
      <c r="N737" s="43" t="str">
        <f ca="1">IF(Data!L727="","",IF(ISNUMBER(Data!N727),IF(AND(Data!N727&gt;(TODAY()-(Data_Val!$L$3*365.25)),Data!N727&lt;=(TODAY()-(Data_Val!$L$2*365.25))),0,1),1))</f>
        <v/>
      </c>
      <c r="O737" s="18" t="str">
        <f>IF(Data!$G727="","",IF(Data!$G727=Data_Val!$C$2,IF(Data!O727="",0,1),0))</f>
        <v/>
      </c>
      <c r="P737" s="18" t="str">
        <f>IF(Data!O727="","",IF(ISNUMBER(MATCH(Data!P727,Data_Val!$A$2:$A$3,0)),0,1))</f>
        <v/>
      </c>
      <c r="Q737" s="44" t="str">
        <f ca="1">IF(Data!O727="","",IF(ISNUMBER(Data!Q727),IF(AND(Data!Q727&gt;(TODAY()-(Data_Val!$L$3*365.25)),Data!Q727&lt;=(TODAY()-(Data_Val!$L$2*365.25))),0,1),1))</f>
        <v/>
      </c>
    </row>
    <row r="738" spans="1:17" ht="12" customHeight="1" x14ac:dyDescent="0.25">
      <c r="A738" s="36" t="str">
        <f>IF(Data!B728="","",IF(COUNTIFS(Data!A$1:'Data'!A728,Data!A728)&lt;=1,0,1))</f>
        <v/>
      </c>
      <c r="B738" s="36"/>
      <c r="C738" s="36" t="str">
        <f>IF(Data!C728="","",(IF(ISNUMBER(MATCH("*@*.?*",Data!C728,0)),0,1)+IF(COUNTIFS(Data!C$1:'Data'!C728,Data!C728)&gt;1,1,0)))</f>
        <v/>
      </c>
      <c r="D738" s="36" t="str">
        <f>IF(Data!B728="","",IF(ISNUMBER(Data!D728),IF(AND(Data!D728&gt;999999999,Data!D728&lt;=9999999999),IF(COUNTIFS(Data!D$1:'Data'!D728,Data!D728)&lt;=1,0,1),1),1))</f>
        <v/>
      </c>
      <c r="E738" s="36" t="str">
        <f>IF(Data!B728="","",IF(ISNUMBER(MATCH(Data!E728,Data_Val!$A$2:$A$3,0)),0,1))</f>
        <v/>
      </c>
      <c r="F738" s="36" t="str">
        <f ca="1">IF(Data!B728="","",IF(ISNUMBER(Data!F728),IF(AND(Data!F728&gt;(TODAY()-(Data_Val!$H$3*365.25)),Data!F728&lt;=(TODAY()-(Data_Val!$H$2*365.25))),0,1),1))</f>
        <v/>
      </c>
      <c r="G738" s="12" t="str">
        <f>IF(Data!B728="","",IF(AND(Data!G728="",Data!H728&lt;&gt;""),1,IF(ISNUMBER(MATCH(Data!G728,Data_Val!$C$2:$C$5,0)),0,1)))</f>
        <v/>
      </c>
      <c r="H738" s="12" t="str">
        <f>IF(Data!B728="","",IF(AND(Data!G728&lt;&gt;"",Data!H728=""),1,IF(Data!G728="",1,IF(ISNUMBER(MATCH(Data!H728,Data_Val!$D$2:$D$35,0)),0,1))))</f>
        <v/>
      </c>
      <c r="I738" s="38" t="str">
        <f>IF(Data!G728="","",IF(Data!G728=Data_Val!$C$2,IF(Data!I728="",0,1),0))</f>
        <v/>
      </c>
      <c r="J738" s="38" t="str">
        <f>IF(Data!I728="","",IF(ISNUMBER(MATCH(Data!J728,Data_Val!$A$2:$A$3,0)),0,1))</f>
        <v/>
      </c>
      <c r="K738" s="38" t="str">
        <f ca="1">IF(Data!I728="","",IF(ISNUMBER(Data!K728),IF(AND(Data!K728&gt;(TODAY()-(Data_Val!$K$3*365.25)),Data!K728&lt;=(TODAY()-(Data_Val!$K$2*365.25))),0,1),1))</f>
        <v/>
      </c>
      <c r="L738" s="16" t="str">
        <f>IF(Data!G728="","",IF(Data!G728=Data_Val!$C$2,IF(Data!L728="",0,1),0))</f>
        <v/>
      </c>
      <c r="M738" s="16" t="str">
        <f>IF(Data!L728="","",IF(ISNUMBER(MATCH(Data!M728,Data_Val!$A$2:$A$3,0)),0,1))</f>
        <v/>
      </c>
      <c r="N738" s="43" t="str">
        <f ca="1">IF(Data!L728="","",IF(ISNUMBER(Data!N728),IF(AND(Data!N728&gt;(TODAY()-(Data_Val!$L$3*365.25)),Data!N728&lt;=(TODAY()-(Data_Val!$L$2*365.25))),0,1),1))</f>
        <v/>
      </c>
      <c r="O738" s="18" t="str">
        <f>IF(Data!$G728="","",IF(Data!$G728=Data_Val!$C$2,IF(Data!O728="",0,1),0))</f>
        <v/>
      </c>
      <c r="P738" s="18" t="str">
        <f>IF(Data!O728="","",IF(ISNUMBER(MATCH(Data!P728,Data_Val!$A$2:$A$3,0)),0,1))</f>
        <v/>
      </c>
      <c r="Q738" s="44" t="str">
        <f ca="1">IF(Data!O728="","",IF(ISNUMBER(Data!Q728),IF(AND(Data!Q728&gt;(TODAY()-(Data_Val!$L$3*365.25)),Data!Q728&lt;=(TODAY()-(Data_Val!$L$2*365.25))),0,1),1))</f>
        <v/>
      </c>
    </row>
    <row r="739" spans="1:17" ht="12" customHeight="1" x14ac:dyDescent="0.25">
      <c r="A739" s="36" t="str">
        <f>IF(Data!B729="","",IF(COUNTIFS(Data!A$1:'Data'!A729,Data!A729)&lt;=1,0,1))</f>
        <v/>
      </c>
      <c r="B739" s="36"/>
      <c r="C739" s="36" t="str">
        <f>IF(Data!C729="","",(IF(ISNUMBER(MATCH("*@*.?*",Data!C729,0)),0,1)+IF(COUNTIFS(Data!C$1:'Data'!C729,Data!C729)&gt;1,1,0)))</f>
        <v/>
      </c>
      <c r="D739" s="36" t="str">
        <f>IF(Data!B729="","",IF(ISNUMBER(Data!D729),IF(AND(Data!D729&gt;999999999,Data!D729&lt;=9999999999),IF(COUNTIFS(Data!D$1:'Data'!D729,Data!D729)&lt;=1,0,1),1),1))</f>
        <v/>
      </c>
      <c r="E739" s="36" t="str">
        <f>IF(Data!B729="","",IF(ISNUMBER(MATCH(Data!E729,Data_Val!$A$2:$A$3,0)),0,1))</f>
        <v/>
      </c>
      <c r="F739" s="36" t="str">
        <f ca="1">IF(Data!B729="","",IF(ISNUMBER(Data!F729),IF(AND(Data!F729&gt;(TODAY()-(Data_Val!$H$3*365.25)),Data!F729&lt;=(TODAY()-(Data_Val!$H$2*365.25))),0,1),1))</f>
        <v/>
      </c>
      <c r="G739" s="12" t="str">
        <f>IF(Data!B729="","",IF(AND(Data!G729="",Data!H729&lt;&gt;""),1,IF(ISNUMBER(MATCH(Data!G729,Data_Val!$C$2:$C$5,0)),0,1)))</f>
        <v/>
      </c>
      <c r="H739" s="12" t="str">
        <f>IF(Data!B729="","",IF(AND(Data!G729&lt;&gt;"",Data!H729=""),1,IF(Data!G729="",1,IF(ISNUMBER(MATCH(Data!H729,Data_Val!$D$2:$D$35,0)),0,1))))</f>
        <v/>
      </c>
      <c r="I739" s="38" t="str">
        <f>IF(Data!G729="","",IF(Data!G729=Data_Val!$C$2,IF(Data!I729="",0,1),0))</f>
        <v/>
      </c>
      <c r="J739" s="38" t="str">
        <f>IF(Data!I729="","",IF(ISNUMBER(MATCH(Data!J729,Data_Val!$A$2:$A$3,0)),0,1))</f>
        <v/>
      </c>
      <c r="K739" s="38" t="str">
        <f ca="1">IF(Data!I729="","",IF(ISNUMBER(Data!K729),IF(AND(Data!K729&gt;(TODAY()-(Data_Val!$K$3*365.25)),Data!K729&lt;=(TODAY()-(Data_Val!$K$2*365.25))),0,1),1))</f>
        <v/>
      </c>
      <c r="L739" s="16" t="str">
        <f>IF(Data!G729="","",IF(Data!G729=Data_Val!$C$2,IF(Data!L729="",0,1),0))</f>
        <v/>
      </c>
      <c r="M739" s="16" t="str">
        <f>IF(Data!L729="","",IF(ISNUMBER(MATCH(Data!M729,Data_Val!$A$2:$A$3,0)),0,1))</f>
        <v/>
      </c>
      <c r="N739" s="43" t="str">
        <f ca="1">IF(Data!L729="","",IF(ISNUMBER(Data!N729),IF(AND(Data!N729&gt;(TODAY()-(Data_Val!$L$3*365.25)),Data!N729&lt;=(TODAY()-(Data_Val!$L$2*365.25))),0,1),1))</f>
        <v/>
      </c>
      <c r="O739" s="18" t="str">
        <f>IF(Data!$G729="","",IF(Data!$G729=Data_Val!$C$2,IF(Data!O729="",0,1),0))</f>
        <v/>
      </c>
      <c r="P739" s="18" t="str">
        <f>IF(Data!O729="","",IF(ISNUMBER(MATCH(Data!P729,Data_Val!$A$2:$A$3,0)),0,1))</f>
        <v/>
      </c>
      <c r="Q739" s="44" t="str">
        <f ca="1">IF(Data!O729="","",IF(ISNUMBER(Data!Q729),IF(AND(Data!Q729&gt;(TODAY()-(Data_Val!$L$3*365.25)),Data!Q729&lt;=(TODAY()-(Data_Val!$L$2*365.25))),0,1),1))</f>
        <v/>
      </c>
    </row>
    <row r="740" spans="1:17" ht="12" customHeight="1" x14ac:dyDescent="0.25">
      <c r="A740" s="36" t="str">
        <f>IF(Data!B730="","",IF(COUNTIFS(Data!A$1:'Data'!A730,Data!A730)&lt;=1,0,1))</f>
        <v/>
      </c>
      <c r="B740" s="36"/>
      <c r="C740" s="36" t="str">
        <f>IF(Data!C730="","",(IF(ISNUMBER(MATCH("*@*.?*",Data!C730,0)),0,1)+IF(COUNTIFS(Data!C$1:'Data'!C730,Data!C730)&gt;1,1,0)))</f>
        <v/>
      </c>
      <c r="D740" s="36" t="str">
        <f>IF(Data!B730="","",IF(ISNUMBER(Data!D730),IF(AND(Data!D730&gt;999999999,Data!D730&lt;=9999999999),IF(COUNTIFS(Data!D$1:'Data'!D730,Data!D730)&lt;=1,0,1),1),1))</f>
        <v/>
      </c>
      <c r="E740" s="36" t="str">
        <f>IF(Data!B730="","",IF(ISNUMBER(MATCH(Data!E730,Data_Val!$A$2:$A$3,0)),0,1))</f>
        <v/>
      </c>
      <c r="F740" s="36" t="str">
        <f ca="1">IF(Data!B730="","",IF(ISNUMBER(Data!F730),IF(AND(Data!F730&gt;(TODAY()-(Data_Val!$H$3*365.25)),Data!F730&lt;=(TODAY()-(Data_Val!$H$2*365.25))),0,1),1))</f>
        <v/>
      </c>
      <c r="G740" s="12" t="str">
        <f>IF(Data!B730="","",IF(AND(Data!G730="",Data!H730&lt;&gt;""),1,IF(ISNUMBER(MATCH(Data!G730,Data_Val!$C$2:$C$5,0)),0,1)))</f>
        <v/>
      </c>
      <c r="H740" s="12" t="str">
        <f>IF(Data!B730="","",IF(AND(Data!G730&lt;&gt;"",Data!H730=""),1,IF(Data!G730="",1,IF(ISNUMBER(MATCH(Data!H730,Data_Val!$D$2:$D$35,0)),0,1))))</f>
        <v/>
      </c>
      <c r="I740" s="38" t="str">
        <f>IF(Data!G730="","",IF(Data!G730=Data_Val!$C$2,IF(Data!I730="",0,1),0))</f>
        <v/>
      </c>
      <c r="J740" s="38" t="str">
        <f>IF(Data!I730="","",IF(ISNUMBER(MATCH(Data!J730,Data_Val!$A$2:$A$3,0)),0,1))</f>
        <v/>
      </c>
      <c r="K740" s="38" t="str">
        <f ca="1">IF(Data!I730="","",IF(ISNUMBER(Data!K730),IF(AND(Data!K730&gt;(TODAY()-(Data_Val!$K$3*365.25)),Data!K730&lt;=(TODAY()-(Data_Val!$K$2*365.25))),0,1),1))</f>
        <v/>
      </c>
      <c r="L740" s="16" t="str">
        <f>IF(Data!G730="","",IF(Data!G730=Data_Val!$C$2,IF(Data!L730="",0,1),0))</f>
        <v/>
      </c>
      <c r="M740" s="16" t="str">
        <f>IF(Data!L730="","",IF(ISNUMBER(MATCH(Data!M730,Data_Val!$A$2:$A$3,0)),0,1))</f>
        <v/>
      </c>
      <c r="N740" s="43" t="str">
        <f ca="1">IF(Data!L730="","",IF(ISNUMBER(Data!N730),IF(AND(Data!N730&gt;(TODAY()-(Data_Val!$L$3*365.25)),Data!N730&lt;=(TODAY()-(Data_Val!$L$2*365.25))),0,1),1))</f>
        <v/>
      </c>
      <c r="O740" s="18" t="str">
        <f>IF(Data!$G730="","",IF(Data!$G730=Data_Val!$C$2,IF(Data!O730="",0,1),0))</f>
        <v/>
      </c>
      <c r="P740" s="18" t="str">
        <f>IF(Data!O730="","",IF(ISNUMBER(MATCH(Data!P730,Data_Val!$A$2:$A$3,0)),0,1))</f>
        <v/>
      </c>
      <c r="Q740" s="44" t="str">
        <f ca="1">IF(Data!O730="","",IF(ISNUMBER(Data!Q730),IF(AND(Data!Q730&gt;(TODAY()-(Data_Val!$L$3*365.25)),Data!Q730&lt;=(TODAY()-(Data_Val!$L$2*365.25))),0,1),1))</f>
        <v/>
      </c>
    </row>
    <row r="741" spans="1:17" ht="12" customHeight="1" x14ac:dyDescent="0.25">
      <c r="A741" s="36" t="str">
        <f>IF(Data!B731="","",IF(COUNTIFS(Data!A$1:'Data'!A731,Data!A731)&lt;=1,0,1))</f>
        <v/>
      </c>
      <c r="B741" s="36"/>
      <c r="C741" s="36" t="str">
        <f>IF(Data!C731="","",(IF(ISNUMBER(MATCH("*@*.?*",Data!C731,0)),0,1)+IF(COUNTIFS(Data!C$1:'Data'!C731,Data!C731)&gt;1,1,0)))</f>
        <v/>
      </c>
      <c r="D741" s="36" t="str">
        <f>IF(Data!B731="","",IF(ISNUMBER(Data!D731),IF(AND(Data!D731&gt;999999999,Data!D731&lt;=9999999999),IF(COUNTIFS(Data!D$1:'Data'!D731,Data!D731)&lt;=1,0,1),1),1))</f>
        <v/>
      </c>
      <c r="E741" s="36" t="str">
        <f>IF(Data!B731="","",IF(ISNUMBER(MATCH(Data!E731,Data_Val!$A$2:$A$3,0)),0,1))</f>
        <v/>
      </c>
      <c r="F741" s="36" t="str">
        <f ca="1">IF(Data!B731="","",IF(ISNUMBER(Data!F731),IF(AND(Data!F731&gt;(TODAY()-(Data_Val!$H$3*365.25)),Data!F731&lt;=(TODAY()-(Data_Val!$H$2*365.25))),0,1),1))</f>
        <v/>
      </c>
      <c r="G741" s="12" t="str">
        <f>IF(Data!B731="","",IF(AND(Data!G731="",Data!H731&lt;&gt;""),1,IF(ISNUMBER(MATCH(Data!G731,Data_Val!$C$2:$C$5,0)),0,1)))</f>
        <v/>
      </c>
      <c r="H741" s="12" t="str">
        <f>IF(Data!B731="","",IF(AND(Data!G731&lt;&gt;"",Data!H731=""),1,IF(Data!G731="",1,IF(ISNUMBER(MATCH(Data!H731,Data_Val!$D$2:$D$35,0)),0,1))))</f>
        <v/>
      </c>
      <c r="I741" s="38" t="str">
        <f>IF(Data!G731="","",IF(Data!G731=Data_Val!$C$2,IF(Data!I731="",0,1),0))</f>
        <v/>
      </c>
      <c r="J741" s="38" t="str">
        <f>IF(Data!I731="","",IF(ISNUMBER(MATCH(Data!J731,Data_Val!$A$2:$A$3,0)),0,1))</f>
        <v/>
      </c>
      <c r="K741" s="38" t="str">
        <f ca="1">IF(Data!I731="","",IF(ISNUMBER(Data!K731),IF(AND(Data!K731&gt;(TODAY()-(Data_Val!$K$3*365.25)),Data!K731&lt;=(TODAY()-(Data_Val!$K$2*365.25))),0,1),1))</f>
        <v/>
      </c>
      <c r="L741" s="16" t="str">
        <f>IF(Data!G731="","",IF(Data!G731=Data_Val!$C$2,IF(Data!L731="",0,1),0))</f>
        <v/>
      </c>
      <c r="M741" s="16" t="str">
        <f>IF(Data!L731="","",IF(ISNUMBER(MATCH(Data!M731,Data_Val!$A$2:$A$3,0)),0,1))</f>
        <v/>
      </c>
      <c r="N741" s="43" t="str">
        <f ca="1">IF(Data!L731="","",IF(ISNUMBER(Data!N731),IF(AND(Data!N731&gt;(TODAY()-(Data_Val!$L$3*365.25)),Data!N731&lt;=(TODAY()-(Data_Val!$L$2*365.25))),0,1),1))</f>
        <v/>
      </c>
      <c r="O741" s="18" t="str">
        <f>IF(Data!$G731="","",IF(Data!$G731=Data_Val!$C$2,IF(Data!O731="",0,1),0))</f>
        <v/>
      </c>
      <c r="P741" s="18" t="str">
        <f>IF(Data!O731="","",IF(ISNUMBER(MATCH(Data!P731,Data_Val!$A$2:$A$3,0)),0,1))</f>
        <v/>
      </c>
      <c r="Q741" s="44" t="str">
        <f ca="1">IF(Data!O731="","",IF(ISNUMBER(Data!Q731),IF(AND(Data!Q731&gt;(TODAY()-(Data_Val!$L$3*365.25)),Data!Q731&lt;=(TODAY()-(Data_Val!$L$2*365.25))),0,1),1))</f>
        <v/>
      </c>
    </row>
    <row r="742" spans="1:17" ht="12" customHeight="1" x14ac:dyDescent="0.25">
      <c r="A742" s="36" t="str">
        <f>IF(Data!B732="","",IF(COUNTIFS(Data!A$1:'Data'!A732,Data!A732)&lt;=1,0,1))</f>
        <v/>
      </c>
      <c r="B742" s="36"/>
      <c r="C742" s="36" t="str">
        <f>IF(Data!C732="","",(IF(ISNUMBER(MATCH("*@*.?*",Data!C732,0)),0,1)+IF(COUNTIFS(Data!C$1:'Data'!C732,Data!C732)&gt;1,1,0)))</f>
        <v/>
      </c>
      <c r="D742" s="36" t="str">
        <f>IF(Data!B732="","",IF(ISNUMBER(Data!D732),IF(AND(Data!D732&gt;999999999,Data!D732&lt;=9999999999),IF(COUNTIFS(Data!D$1:'Data'!D732,Data!D732)&lt;=1,0,1),1),1))</f>
        <v/>
      </c>
      <c r="E742" s="36" t="str">
        <f>IF(Data!B732="","",IF(ISNUMBER(MATCH(Data!E732,Data_Val!$A$2:$A$3,0)),0,1))</f>
        <v/>
      </c>
      <c r="F742" s="36" t="str">
        <f ca="1">IF(Data!B732="","",IF(ISNUMBER(Data!F732),IF(AND(Data!F732&gt;(TODAY()-(Data_Val!$H$3*365.25)),Data!F732&lt;=(TODAY()-(Data_Val!$H$2*365.25))),0,1),1))</f>
        <v/>
      </c>
      <c r="G742" s="12" t="str">
        <f>IF(Data!B732="","",IF(AND(Data!G732="",Data!H732&lt;&gt;""),1,IF(ISNUMBER(MATCH(Data!G732,Data_Val!$C$2:$C$5,0)),0,1)))</f>
        <v/>
      </c>
      <c r="H742" s="12" t="str">
        <f>IF(Data!B732="","",IF(AND(Data!G732&lt;&gt;"",Data!H732=""),1,IF(Data!G732="",1,IF(ISNUMBER(MATCH(Data!H732,Data_Val!$D$2:$D$35,0)),0,1))))</f>
        <v/>
      </c>
      <c r="I742" s="38" t="str">
        <f>IF(Data!G732="","",IF(Data!G732=Data_Val!$C$2,IF(Data!I732="",0,1),0))</f>
        <v/>
      </c>
      <c r="J742" s="38" t="str">
        <f>IF(Data!I732="","",IF(ISNUMBER(MATCH(Data!J732,Data_Val!$A$2:$A$3,0)),0,1))</f>
        <v/>
      </c>
      <c r="K742" s="38" t="str">
        <f ca="1">IF(Data!I732="","",IF(ISNUMBER(Data!K732),IF(AND(Data!K732&gt;(TODAY()-(Data_Val!$K$3*365.25)),Data!K732&lt;=(TODAY()-(Data_Val!$K$2*365.25))),0,1),1))</f>
        <v/>
      </c>
      <c r="L742" s="16" t="str">
        <f>IF(Data!G732="","",IF(Data!G732=Data_Val!$C$2,IF(Data!L732="",0,1),0))</f>
        <v/>
      </c>
      <c r="M742" s="16" t="str">
        <f>IF(Data!L732="","",IF(ISNUMBER(MATCH(Data!M732,Data_Val!$A$2:$A$3,0)),0,1))</f>
        <v/>
      </c>
      <c r="N742" s="43" t="str">
        <f ca="1">IF(Data!L732="","",IF(ISNUMBER(Data!N732),IF(AND(Data!N732&gt;(TODAY()-(Data_Val!$L$3*365.25)),Data!N732&lt;=(TODAY()-(Data_Val!$L$2*365.25))),0,1),1))</f>
        <v/>
      </c>
      <c r="O742" s="18" t="str">
        <f>IF(Data!$G732="","",IF(Data!$G732=Data_Val!$C$2,IF(Data!O732="",0,1),0))</f>
        <v/>
      </c>
      <c r="P742" s="18" t="str">
        <f>IF(Data!O732="","",IF(ISNUMBER(MATCH(Data!P732,Data_Val!$A$2:$A$3,0)),0,1))</f>
        <v/>
      </c>
      <c r="Q742" s="44" t="str">
        <f ca="1">IF(Data!O732="","",IF(ISNUMBER(Data!Q732),IF(AND(Data!Q732&gt;(TODAY()-(Data_Val!$L$3*365.25)),Data!Q732&lt;=(TODAY()-(Data_Val!$L$2*365.25))),0,1),1))</f>
        <v/>
      </c>
    </row>
    <row r="743" spans="1:17" ht="12" customHeight="1" x14ac:dyDescent="0.25">
      <c r="A743" s="36" t="str">
        <f>IF(Data!B733="","",IF(COUNTIFS(Data!A$1:'Data'!A733,Data!A733)&lt;=1,0,1))</f>
        <v/>
      </c>
      <c r="B743" s="36"/>
      <c r="C743" s="36" t="str">
        <f>IF(Data!C733="","",(IF(ISNUMBER(MATCH("*@*.?*",Data!C733,0)),0,1)+IF(COUNTIFS(Data!C$1:'Data'!C733,Data!C733)&gt;1,1,0)))</f>
        <v/>
      </c>
      <c r="D743" s="36" t="str">
        <f>IF(Data!B733="","",IF(ISNUMBER(Data!D733),IF(AND(Data!D733&gt;999999999,Data!D733&lt;=9999999999),IF(COUNTIFS(Data!D$1:'Data'!D733,Data!D733)&lt;=1,0,1),1),1))</f>
        <v/>
      </c>
      <c r="E743" s="36" t="str">
        <f>IF(Data!B733="","",IF(ISNUMBER(MATCH(Data!E733,Data_Val!$A$2:$A$3,0)),0,1))</f>
        <v/>
      </c>
      <c r="F743" s="36" t="str">
        <f ca="1">IF(Data!B733="","",IF(ISNUMBER(Data!F733),IF(AND(Data!F733&gt;(TODAY()-(Data_Val!$H$3*365.25)),Data!F733&lt;=(TODAY()-(Data_Val!$H$2*365.25))),0,1),1))</f>
        <v/>
      </c>
      <c r="G743" s="12" t="str">
        <f>IF(Data!B733="","",IF(AND(Data!G733="",Data!H733&lt;&gt;""),1,IF(ISNUMBER(MATCH(Data!G733,Data_Val!$C$2:$C$5,0)),0,1)))</f>
        <v/>
      </c>
      <c r="H743" s="12" t="str">
        <f>IF(Data!B733="","",IF(AND(Data!G733&lt;&gt;"",Data!H733=""),1,IF(Data!G733="",1,IF(ISNUMBER(MATCH(Data!H733,Data_Val!$D$2:$D$35,0)),0,1))))</f>
        <v/>
      </c>
      <c r="I743" s="38" t="str">
        <f>IF(Data!G733="","",IF(Data!G733=Data_Val!$C$2,IF(Data!I733="",0,1),0))</f>
        <v/>
      </c>
      <c r="J743" s="38" t="str">
        <f>IF(Data!I733="","",IF(ISNUMBER(MATCH(Data!J733,Data_Val!$A$2:$A$3,0)),0,1))</f>
        <v/>
      </c>
      <c r="K743" s="38" t="str">
        <f ca="1">IF(Data!I733="","",IF(ISNUMBER(Data!K733),IF(AND(Data!K733&gt;(TODAY()-(Data_Val!$K$3*365.25)),Data!K733&lt;=(TODAY()-(Data_Val!$K$2*365.25))),0,1),1))</f>
        <v/>
      </c>
      <c r="L743" s="16" t="str">
        <f>IF(Data!G733="","",IF(Data!G733=Data_Val!$C$2,IF(Data!L733="",0,1),0))</f>
        <v/>
      </c>
      <c r="M743" s="16" t="str">
        <f>IF(Data!L733="","",IF(ISNUMBER(MATCH(Data!M733,Data_Val!$A$2:$A$3,0)),0,1))</f>
        <v/>
      </c>
      <c r="N743" s="43" t="str">
        <f ca="1">IF(Data!L733="","",IF(ISNUMBER(Data!N733),IF(AND(Data!N733&gt;(TODAY()-(Data_Val!$L$3*365.25)),Data!N733&lt;=(TODAY()-(Data_Val!$L$2*365.25))),0,1),1))</f>
        <v/>
      </c>
      <c r="O743" s="18" t="str">
        <f>IF(Data!$G733="","",IF(Data!$G733=Data_Val!$C$2,IF(Data!O733="",0,1),0))</f>
        <v/>
      </c>
      <c r="P743" s="18" t="str">
        <f>IF(Data!O733="","",IF(ISNUMBER(MATCH(Data!P733,Data_Val!$A$2:$A$3,0)),0,1))</f>
        <v/>
      </c>
      <c r="Q743" s="44" t="str">
        <f ca="1">IF(Data!O733="","",IF(ISNUMBER(Data!Q733),IF(AND(Data!Q733&gt;(TODAY()-(Data_Val!$L$3*365.25)),Data!Q733&lt;=(TODAY()-(Data_Val!$L$2*365.25))),0,1),1))</f>
        <v/>
      </c>
    </row>
    <row r="744" spans="1:17" ht="12" customHeight="1" x14ac:dyDescent="0.25">
      <c r="A744" s="36" t="str">
        <f>IF(Data!B734="","",IF(COUNTIFS(Data!A$1:'Data'!A734,Data!A734)&lt;=1,0,1))</f>
        <v/>
      </c>
      <c r="B744" s="36"/>
      <c r="C744" s="36" t="str">
        <f>IF(Data!C734="","",(IF(ISNUMBER(MATCH("*@*.?*",Data!C734,0)),0,1)+IF(COUNTIFS(Data!C$1:'Data'!C734,Data!C734)&gt;1,1,0)))</f>
        <v/>
      </c>
      <c r="D744" s="36" t="str">
        <f>IF(Data!B734="","",IF(ISNUMBER(Data!D734),IF(AND(Data!D734&gt;999999999,Data!D734&lt;=9999999999),IF(COUNTIFS(Data!D$1:'Data'!D734,Data!D734)&lt;=1,0,1),1),1))</f>
        <v/>
      </c>
      <c r="E744" s="36" t="str">
        <f>IF(Data!B734="","",IF(ISNUMBER(MATCH(Data!E734,Data_Val!$A$2:$A$3,0)),0,1))</f>
        <v/>
      </c>
      <c r="F744" s="36" t="str">
        <f ca="1">IF(Data!B734="","",IF(ISNUMBER(Data!F734),IF(AND(Data!F734&gt;(TODAY()-(Data_Val!$H$3*365.25)),Data!F734&lt;=(TODAY()-(Data_Val!$H$2*365.25))),0,1),1))</f>
        <v/>
      </c>
      <c r="G744" s="12" t="str">
        <f>IF(Data!B734="","",IF(AND(Data!G734="",Data!H734&lt;&gt;""),1,IF(ISNUMBER(MATCH(Data!G734,Data_Val!$C$2:$C$5,0)),0,1)))</f>
        <v/>
      </c>
      <c r="H744" s="12" t="str">
        <f>IF(Data!B734="","",IF(AND(Data!G734&lt;&gt;"",Data!H734=""),1,IF(Data!G734="",1,IF(ISNUMBER(MATCH(Data!H734,Data_Val!$D$2:$D$35,0)),0,1))))</f>
        <v/>
      </c>
      <c r="I744" s="38" t="str">
        <f>IF(Data!G734="","",IF(Data!G734=Data_Val!$C$2,IF(Data!I734="",0,1),0))</f>
        <v/>
      </c>
      <c r="J744" s="38" t="str">
        <f>IF(Data!I734="","",IF(ISNUMBER(MATCH(Data!J734,Data_Val!$A$2:$A$3,0)),0,1))</f>
        <v/>
      </c>
      <c r="K744" s="38" t="str">
        <f ca="1">IF(Data!I734="","",IF(ISNUMBER(Data!K734),IF(AND(Data!K734&gt;(TODAY()-(Data_Val!$K$3*365.25)),Data!K734&lt;=(TODAY()-(Data_Val!$K$2*365.25))),0,1),1))</f>
        <v/>
      </c>
      <c r="L744" s="16" t="str">
        <f>IF(Data!G734="","",IF(Data!G734=Data_Val!$C$2,IF(Data!L734="",0,1),0))</f>
        <v/>
      </c>
      <c r="M744" s="16" t="str">
        <f>IF(Data!L734="","",IF(ISNUMBER(MATCH(Data!M734,Data_Val!$A$2:$A$3,0)),0,1))</f>
        <v/>
      </c>
      <c r="N744" s="43" t="str">
        <f ca="1">IF(Data!L734="","",IF(ISNUMBER(Data!N734),IF(AND(Data!N734&gt;(TODAY()-(Data_Val!$L$3*365.25)),Data!N734&lt;=(TODAY()-(Data_Val!$L$2*365.25))),0,1),1))</f>
        <v/>
      </c>
      <c r="O744" s="18" t="str">
        <f>IF(Data!$G734="","",IF(Data!$G734=Data_Val!$C$2,IF(Data!O734="",0,1),0))</f>
        <v/>
      </c>
      <c r="P744" s="18" t="str">
        <f>IF(Data!O734="","",IF(ISNUMBER(MATCH(Data!P734,Data_Val!$A$2:$A$3,0)),0,1))</f>
        <v/>
      </c>
      <c r="Q744" s="44" t="str">
        <f ca="1">IF(Data!O734="","",IF(ISNUMBER(Data!Q734),IF(AND(Data!Q734&gt;(TODAY()-(Data_Val!$L$3*365.25)),Data!Q734&lt;=(TODAY()-(Data_Val!$L$2*365.25))),0,1),1))</f>
        <v/>
      </c>
    </row>
    <row r="745" spans="1:17" ht="12" customHeight="1" x14ac:dyDescent="0.25">
      <c r="A745" s="36" t="str">
        <f>IF(Data!B735="","",IF(COUNTIFS(Data!A$1:'Data'!A735,Data!A735)&lt;=1,0,1))</f>
        <v/>
      </c>
      <c r="B745" s="36"/>
      <c r="C745" s="36" t="str">
        <f>IF(Data!C735="","",(IF(ISNUMBER(MATCH("*@*.?*",Data!C735,0)),0,1)+IF(COUNTIFS(Data!C$1:'Data'!C735,Data!C735)&gt;1,1,0)))</f>
        <v/>
      </c>
      <c r="D745" s="36" t="str">
        <f>IF(Data!B735="","",IF(ISNUMBER(Data!D735),IF(AND(Data!D735&gt;999999999,Data!D735&lt;=9999999999),IF(COUNTIFS(Data!D$1:'Data'!D735,Data!D735)&lt;=1,0,1),1),1))</f>
        <v/>
      </c>
      <c r="E745" s="36" t="str">
        <f>IF(Data!B735="","",IF(ISNUMBER(MATCH(Data!E735,Data_Val!$A$2:$A$3,0)),0,1))</f>
        <v/>
      </c>
      <c r="F745" s="36" t="str">
        <f ca="1">IF(Data!B735="","",IF(ISNUMBER(Data!F735),IF(AND(Data!F735&gt;(TODAY()-(Data_Val!$H$3*365.25)),Data!F735&lt;=(TODAY()-(Data_Val!$H$2*365.25))),0,1),1))</f>
        <v/>
      </c>
      <c r="G745" s="12" t="str">
        <f>IF(Data!B735="","",IF(AND(Data!G735="",Data!H735&lt;&gt;""),1,IF(ISNUMBER(MATCH(Data!G735,Data_Val!$C$2:$C$5,0)),0,1)))</f>
        <v/>
      </c>
      <c r="H745" s="12" t="str">
        <f>IF(Data!B735="","",IF(AND(Data!G735&lt;&gt;"",Data!H735=""),1,IF(Data!G735="",1,IF(ISNUMBER(MATCH(Data!H735,Data_Val!$D$2:$D$35,0)),0,1))))</f>
        <v/>
      </c>
      <c r="I745" s="38" t="str">
        <f>IF(Data!G735="","",IF(Data!G735=Data_Val!$C$2,IF(Data!I735="",0,1),0))</f>
        <v/>
      </c>
      <c r="J745" s="38" t="str">
        <f>IF(Data!I735="","",IF(ISNUMBER(MATCH(Data!J735,Data_Val!$A$2:$A$3,0)),0,1))</f>
        <v/>
      </c>
      <c r="K745" s="38" t="str">
        <f ca="1">IF(Data!I735="","",IF(ISNUMBER(Data!K735),IF(AND(Data!K735&gt;(TODAY()-(Data_Val!$K$3*365.25)),Data!K735&lt;=(TODAY()-(Data_Val!$K$2*365.25))),0,1),1))</f>
        <v/>
      </c>
      <c r="L745" s="16" t="str">
        <f>IF(Data!G735="","",IF(Data!G735=Data_Val!$C$2,IF(Data!L735="",0,1),0))</f>
        <v/>
      </c>
      <c r="M745" s="16" t="str">
        <f>IF(Data!L735="","",IF(ISNUMBER(MATCH(Data!M735,Data_Val!$A$2:$A$3,0)),0,1))</f>
        <v/>
      </c>
      <c r="N745" s="43" t="str">
        <f ca="1">IF(Data!L735="","",IF(ISNUMBER(Data!N735),IF(AND(Data!N735&gt;(TODAY()-(Data_Val!$L$3*365.25)),Data!N735&lt;=(TODAY()-(Data_Val!$L$2*365.25))),0,1),1))</f>
        <v/>
      </c>
      <c r="O745" s="18" t="str">
        <f>IF(Data!$G735="","",IF(Data!$G735=Data_Val!$C$2,IF(Data!O735="",0,1),0))</f>
        <v/>
      </c>
      <c r="P745" s="18" t="str">
        <f>IF(Data!O735="","",IF(ISNUMBER(MATCH(Data!P735,Data_Val!$A$2:$A$3,0)),0,1))</f>
        <v/>
      </c>
      <c r="Q745" s="44" t="str">
        <f ca="1">IF(Data!O735="","",IF(ISNUMBER(Data!Q735),IF(AND(Data!Q735&gt;(TODAY()-(Data_Val!$L$3*365.25)),Data!Q735&lt;=(TODAY()-(Data_Val!$L$2*365.25))),0,1),1))</f>
        <v/>
      </c>
    </row>
    <row r="746" spans="1:17" ht="12" customHeight="1" x14ac:dyDescent="0.25">
      <c r="A746" s="36" t="str">
        <f>IF(Data!B736="","",IF(COUNTIFS(Data!A$1:'Data'!A736,Data!A736)&lt;=1,0,1))</f>
        <v/>
      </c>
      <c r="B746" s="36"/>
      <c r="C746" s="36" t="str">
        <f>IF(Data!C736="","",(IF(ISNUMBER(MATCH("*@*.?*",Data!C736,0)),0,1)+IF(COUNTIFS(Data!C$1:'Data'!C736,Data!C736)&gt;1,1,0)))</f>
        <v/>
      </c>
      <c r="D746" s="36" t="str">
        <f>IF(Data!B736="","",IF(ISNUMBER(Data!D736),IF(AND(Data!D736&gt;999999999,Data!D736&lt;=9999999999),IF(COUNTIFS(Data!D$1:'Data'!D736,Data!D736)&lt;=1,0,1),1),1))</f>
        <v/>
      </c>
      <c r="E746" s="36" t="str">
        <f>IF(Data!B736="","",IF(ISNUMBER(MATCH(Data!E736,Data_Val!$A$2:$A$3,0)),0,1))</f>
        <v/>
      </c>
      <c r="F746" s="36" t="str">
        <f ca="1">IF(Data!B736="","",IF(ISNUMBER(Data!F736),IF(AND(Data!F736&gt;(TODAY()-(Data_Val!$H$3*365.25)),Data!F736&lt;=(TODAY()-(Data_Val!$H$2*365.25))),0,1),1))</f>
        <v/>
      </c>
      <c r="G746" s="12" t="str">
        <f>IF(Data!B736="","",IF(AND(Data!G736="",Data!H736&lt;&gt;""),1,IF(ISNUMBER(MATCH(Data!G736,Data_Val!$C$2:$C$5,0)),0,1)))</f>
        <v/>
      </c>
      <c r="H746" s="12" t="str">
        <f>IF(Data!B736="","",IF(AND(Data!G736&lt;&gt;"",Data!H736=""),1,IF(Data!G736="",1,IF(ISNUMBER(MATCH(Data!H736,Data_Val!$D$2:$D$35,0)),0,1))))</f>
        <v/>
      </c>
      <c r="I746" s="38" t="str">
        <f>IF(Data!G736="","",IF(Data!G736=Data_Val!$C$2,IF(Data!I736="",0,1),0))</f>
        <v/>
      </c>
      <c r="J746" s="38" t="str">
        <f>IF(Data!I736="","",IF(ISNUMBER(MATCH(Data!J736,Data_Val!$A$2:$A$3,0)),0,1))</f>
        <v/>
      </c>
      <c r="K746" s="38" t="str">
        <f ca="1">IF(Data!I736="","",IF(ISNUMBER(Data!K736),IF(AND(Data!K736&gt;(TODAY()-(Data_Val!$K$3*365.25)),Data!K736&lt;=(TODAY()-(Data_Val!$K$2*365.25))),0,1),1))</f>
        <v/>
      </c>
      <c r="L746" s="16" t="str">
        <f>IF(Data!G736="","",IF(Data!G736=Data_Val!$C$2,IF(Data!L736="",0,1),0))</f>
        <v/>
      </c>
      <c r="M746" s="16" t="str">
        <f>IF(Data!L736="","",IF(ISNUMBER(MATCH(Data!M736,Data_Val!$A$2:$A$3,0)),0,1))</f>
        <v/>
      </c>
      <c r="N746" s="43" t="str">
        <f ca="1">IF(Data!L736="","",IF(ISNUMBER(Data!N736),IF(AND(Data!N736&gt;(TODAY()-(Data_Val!$L$3*365.25)),Data!N736&lt;=(TODAY()-(Data_Val!$L$2*365.25))),0,1),1))</f>
        <v/>
      </c>
      <c r="O746" s="18" t="str">
        <f>IF(Data!$G736="","",IF(Data!$G736=Data_Val!$C$2,IF(Data!O736="",0,1),0))</f>
        <v/>
      </c>
      <c r="P746" s="18" t="str">
        <f>IF(Data!O736="","",IF(ISNUMBER(MATCH(Data!P736,Data_Val!$A$2:$A$3,0)),0,1))</f>
        <v/>
      </c>
      <c r="Q746" s="44" t="str">
        <f ca="1">IF(Data!O736="","",IF(ISNUMBER(Data!Q736),IF(AND(Data!Q736&gt;(TODAY()-(Data_Val!$L$3*365.25)),Data!Q736&lt;=(TODAY()-(Data_Val!$L$2*365.25))),0,1),1))</f>
        <v/>
      </c>
    </row>
    <row r="747" spans="1:17" ht="12" customHeight="1" x14ac:dyDescent="0.25">
      <c r="A747" s="36" t="str">
        <f>IF(Data!B737="","",IF(COUNTIFS(Data!A$1:'Data'!A737,Data!A737)&lt;=1,0,1))</f>
        <v/>
      </c>
      <c r="B747" s="36"/>
      <c r="C747" s="36" t="str">
        <f>IF(Data!C737="","",(IF(ISNUMBER(MATCH("*@*.?*",Data!C737,0)),0,1)+IF(COUNTIFS(Data!C$1:'Data'!C737,Data!C737)&gt;1,1,0)))</f>
        <v/>
      </c>
      <c r="D747" s="36" t="str">
        <f>IF(Data!B737="","",IF(ISNUMBER(Data!D737),IF(AND(Data!D737&gt;999999999,Data!D737&lt;=9999999999),IF(COUNTIFS(Data!D$1:'Data'!D737,Data!D737)&lt;=1,0,1),1),1))</f>
        <v/>
      </c>
      <c r="E747" s="36" t="str">
        <f>IF(Data!B737="","",IF(ISNUMBER(MATCH(Data!E737,Data_Val!$A$2:$A$3,0)),0,1))</f>
        <v/>
      </c>
      <c r="F747" s="36" t="str">
        <f ca="1">IF(Data!B737="","",IF(ISNUMBER(Data!F737),IF(AND(Data!F737&gt;(TODAY()-(Data_Val!$H$3*365.25)),Data!F737&lt;=(TODAY()-(Data_Val!$H$2*365.25))),0,1),1))</f>
        <v/>
      </c>
      <c r="G747" s="12" t="str">
        <f>IF(Data!B737="","",IF(AND(Data!G737="",Data!H737&lt;&gt;""),1,IF(ISNUMBER(MATCH(Data!G737,Data_Val!$C$2:$C$5,0)),0,1)))</f>
        <v/>
      </c>
      <c r="H747" s="12" t="str">
        <f>IF(Data!B737="","",IF(AND(Data!G737&lt;&gt;"",Data!H737=""),1,IF(Data!G737="",1,IF(ISNUMBER(MATCH(Data!H737,Data_Val!$D$2:$D$35,0)),0,1))))</f>
        <v/>
      </c>
      <c r="I747" s="38" t="str">
        <f>IF(Data!G737="","",IF(Data!G737=Data_Val!$C$2,IF(Data!I737="",0,1),0))</f>
        <v/>
      </c>
      <c r="J747" s="38" t="str">
        <f>IF(Data!I737="","",IF(ISNUMBER(MATCH(Data!J737,Data_Val!$A$2:$A$3,0)),0,1))</f>
        <v/>
      </c>
      <c r="K747" s="38" t="str">
        <f ca="1">IF(Data!I737="","",IF(ISNUMBER(Data!K737),IF(AND(Data!K737&gt;(TODAY()-(Data_Val!$K$3*365.25)),Data!K737&lt;=(TODAY()-(Data_Val!$K$2*365.25))),0,1),1))</f>
        <v/>
      </c>
      <c r="L747" s="16" t="str">
        <f>IF(Data!G737="","",IF(Data!G737=Data_Val!$C$2,IF(Data!L737="",0,1),0))</f>
        <v/>
      </c>
      <c r="M747" s="16" t="str">
        <f>IF(Data!L737="","",IF(ISNUMBER(MATCH(Data!M737,Data_Val!$A$2:$A$3,0)),0,1))</f>
        <v/>
      </c>
      <c r="N747" s="43" t="str">
        <f ca="1">IF(Data!L737="","",IF(ISNUMBER(Data!N737),IF(AND(Data!N737&gt;(TODAY()-(Data_Val!$L$3*365.25)),Data!N737&lt;=(TODAY()-(Data_Val!$L$2*365.25))),0,1),1))</f>
        <v/>
      </c>
      <c r="O747" s="18" t="str">
        <f>IF(Data!$G737="","",IF(Data!$G737=Data_Val!$C$2,IF(Data!O737="",0,1),0))</f>
        <v/>
      </c>
      <c r="P747" s="18" t="str">
        <f>IF(Data!O737="","",IF(ISNUMBER(MATCH(Data!P737,Data_Val!$A$2:$A$3,0)),0,1))</f>
        <v/>
      </c>
      <c r="Q747" s="44" t="str">
        <f ca="1">IF(Data!O737="","",IF(ISNUMBER(Data!Q737),IF(AND(Data!Q737&gt;(TODAY()-(Data_Val!$L$3*365.25)),Data!Q737&lt;=(TODAY()-(Data_Val!$L$2*365.25))),0,1),1))</f>
        <v/>
      </c>
    </row>
    <row r="748" spans="1:17" ht="12" customHeight="1" x14ac:dyDescent="0.25">
      <c r="A748" s="36" t="str">
        <f>IF(Data!B738="","",IF(COUNTIFS(Data!A$1:'Data'!A738,Data!A738)&lt;=1,0,1))</f>
        <v/>
      </c>
      <c r="B748" s="36"/>
      <c r="C748" s="36" t="str">
        <f>IF(Data!C738="","",(IF(ISNUMBER(MATCH("*@*.?*",Data!C738,0)),0,1)+IF(COUNTIFS(Data!C$1:'Data'!C738,Data!C738)&gt;1,1,0)))</f>
        <v/>
      </c>
      <c r="D748" s="36" t="str">
        <f>IF(Data!B738="","",IF(ISNUMBER(Data!D738),IF(AND(Data!D738&gt;999999999,Data!D738&lt;=9999999999),IF(COUNTIFS(Data!D$1:'Data'!D738,Data!D738)&lt;=1,0,1),1),1))</f>
        <v/>
      </c>
      <c r="E748" s="36" t="str">
        <f>IF(Data!B738="","",IF(ISNUMBER(MATCH(Data!E738,Data_Val!$A$2:$A$3,0)),0,1))</f>
        <v/>
      </c>
      <c r="F748" s="36" t="str">
        <f ca="1">IF(Data!B738="","",IF(ISNUMBER(Data!F738),IF(AND(Data!F738&gt;(TODAY()-(Data_Val!$H$3*365.25)),Data!F738&lt;=(TODAY()-(Data_Val!$H$2*365.25))),0,1),1))</f>
        <v/>
      </c>
      <c r="G748" s="12" t="str">
        <f>IF(Data!B738="","",IF(AND(Data!G738="",Data!H738&lt;&gt;""),1,IF(ISNUMBER(MATCH(Data!G738,Data_Val!$C$2:$C$5,0)),0,1)))</f>
        <v/>
      </c>
      <c r="H748" s="12" t="str">
        <f>IF(Data!B738="","",IF(AND(Data!G738&lt;&gt;"",Data!H738=""),1,IF(Data!G738="",1,IF(ISNUMBER(MATCH(Data!H738,Data_Val!$D$2:$D$35,0)),0,1))))</f>
        <v/>
      </c>
      <c r="I748" s="38" t="str">
        <f>IF(Data!G738="","",IF(Data!G738=Data_Val!$C$2,IF(Data!I738="",0,1),0))</f>
        <v/>
      </c>
      <c r="J748" s="38" t="str">
        <f>IF(Data!I738="","",IF(ISNUMBER(MATCH(Data!J738,Data_Val!$A$2:$A$3,0)),0,1))</f>
        <v/>
      </c>
      <c r="K748" s="38" t="str">
        <f ca="1">IF(Data!I738="","",IF(ISNUMBER(Data!K738),IF(AND(Data!K738&gt;(TODAY()-(Data_Val!$K$3*365.25)),Data!K738&lt;=(TODAY()-(Data_Val!$K$2*365.25))),0,1),1))</f>
        <v/>
      </c>
      <c r="L748" s="16" t="str">
        <f>IF(Data!G738="","",IF(Data!G738=Data_Val!$C$2,IF(Data!L738="",0,1),0))</f>
        <v/>
      </c>
      <c r="M748" s="16" t="str">
        <f>IF(Data!L738="","",IF(ISNUMBER(MATCH(Data!M738,Data_Val!$A$2:$A$3,0)),0,1))</f>
        <v/>
      </c>
      <c r="N748" s="43" t="str">
        <f ca="1">IF(Data!L738="","",IF(ISNUMBER(Data!N738),IF(AND(Data!N738&gt;(TODAY()-(Data_Val!$L$3*365.25)),Data!N738&lt;=(TODAY()-(Data_Val!$L$2*365.25))),0,1),1))</f>
        <v/>
      </c>
      <c r="O748" s="18" t="str">
        <f>IF(Data!$G738="","",IF(Data!$G738=Data_Val!$C$2,IF(Data!O738="",0,1),0))</f>
        <v/>
      </c>
      <c r="P748" s="18" t="str">
        <f>IF(Data!O738="","",IF(ISNUMBER(MATCH(Data!P738,Data_Val!$A$2:$A$3,0)),0,1))</f>
        <v/>
      </c>
      <c r="Q748" s="44" t="str">
        <f ca="1">IF(Data!O738="","",IF(ISNUMBER(Data!Q738),IF(AND(Data!Q738&gt;(TODAY()-(Data_Val!$L$3*365.25)),Data!Q738&lt;=(TODAY()-(Data_Val!$L$2*365.25))),0,1),1))</f>
        <v/>
      </c>
    </row>
    <row r="749" spans="1:17" ht="12" customHeight="1" x14ac:dyDescent="0.25">
      <c r="A749" s="36" t="str">
        <f>IF(Data!B739="","",IF(COUNTIFS(Data!A$1:'Data'!A739,Data!A739)&lt;=1,0,1))</f>
        <v/>
      </c>
      <c r="B749" s="36"/>
      <c r="C749" s="36" t="str">
        <f>IF(Data!C739="","",(IF(ISNUMBER(MATCH("*@*.?*",Data!C739,0)),0,1)+IF(COUNTIFS(Data!C$1:'Data'!C739,Data!C739)&gt;1,1,0)))</f>
        <v/>
      </c>
      <c r="D749" s="36" t="str">
        <f>IF(Data!B739="","",IF(ISNUMBER(Data!D739),IF(AND(Data!D739&gt;999999999,Data!D739&lt;=9999999999),IF(COUNTIFS(Data!D$1:'Data'!D739,Data!D739)&lt;=1,0,1),1),1))</f>
        <v/>
      </c>
      <c r="E749" s="36" t="str">
        <f>IF(Data!B739="","",IF(ISNUMBER(MATCH(Data!E739,Data_Val!$A$2:$A$3,0)),0,1))</f>
        <v/>
      </c>
      <c r="F749" s="36" t="str">
        <f ca="1">IF(Data!B739="","",IF(ISNUMBER(Data!F739),IF(AND(Data!F739&gt;(TODAY()-(Data_Val!$H$3*365.25)),Data!F739&lt;=(TODAY()-(Data_Val!$H$2*365.25))),0,1),1))</f>
        <v/>
      </c>
      <c r="G749" s="12" t="str">
        <f>IF(Data!B739="","",IF(AND(Data!G739="",Data!H739&lt;&gt;""),1,IF(ISNUMBER(MATCH(Data!G739,Data_Val!$C$2:$C$5,0)),0,1)))</f>
        <v/>
      </c>
      <c r="H749" s="12" t="str">
        <f>IF(Data!B739="","",IF(AND(Data!G739&lt;&gt;"",Data!H739=""),1,IF(Data!G739="",1,IF(ISNUMBER(MATCH(Data!H739,Data_Val!$D$2:$D$35,0)),0,1))))</f>
        <v/>
      </c>
      <c r="I749" s="38" t="str">
        <f>IF(Data!G739="","",IF(Data!G739=Data_Val!$C$2,IF(Data!I739="",0,1),0))</f>
        <v/>
      </c>
      <c r="J749" s="38" t="str">
        <f>IF(Data!I739="","",IF(ISNUMBER(MATCH(Data!J739,Data_Val!$A$2:$A$3,0)),0,1))</f>
        <v/>
      </c>
      <c r="K749" s="38" t="str">
        <f ca="1">IF(Data!I739="","",IF(ISNUMBER(Data!K739),IF(AND(Data!K739&gt;(TODAY()-(Data_Val!$K$3*365.25)),Data!K739&lt;=(TODAY()-(Data_Val!$K$2*365.25))),0,1),1))</f>
        <v/>
      </c>
      <c r="L749" s="16" t="str">
        <f>IF(Data!G739="","",IF(Data!G739=Data_Val!$C$2,IF(Data!L739="",0,1),0))</f>
        <v/>
      </c>
      <c r="M749" s="16" t="str">
        <f>IF(Data!L739="","",IF(ISNUMBER(MATCH(Data!M739,Data_Val!$A$2:$A$3,0)),0,1))</f>
        <v/>
      </c>
      <c r="N749" s="43" t="str">
        <f ca="1">IF(Data!L739="","",IF(ISNUMBER(Data!N739),IF(AND(Data!N739&gt;(TODAY()-(Data_Val!$L$3*365.25)),Data!N739&lt;=(TODAY()-(Data_Val!$L$2*365.25))),0,1),1))</f>
        <v/>
      </c>
      <c r="O749" s="18" t="str">
        <f>IF(Data!$G739="","",IF(Data!$G739=Data_Val!$C$2,IF(Data!O739="",0,1),0))</f>
        <v/>
      </c>
      <c r="P749" s="18" t="str">
        <f>IF(Data!O739="","",IF(ISNUMBER(MATCH(Data!P739,Data_Val!$A$2:$A$3,0)),0,1))</f>
        <v/>
      </c>
      <c r="Q749" s="44" t="str">
        <f ca="1">IF(Data!O739="","",IF(ISNUMBER(Data!Q739),IF(AND(Data!Q739&gt;(TODAY()-(Data_Val!$L$3*365.25)),Data!Q739&lt;=(TODAY()-(Data_Val!$L$2*365.25))),0,1),1))</f>
        <v/>
      </c>
    </row>
    <row r="750" spans="1:17" ht="12" customHeight="1" x14ac:dyDescent="0.25">
      <c r="A750" s="36" t="str">
        <f>IF(Data!B740="","",IF(COUNTIFS(Data!A$1:'Data'!A740,Data!A740)&lt;=1,0,1))</f>
        <v/>
      </c>
      <c r="B750" s="36"/>
      <c r="C750" s="36" t="str">
        <f>IF(Data!C740="","",(IF(ISNUMBER(MATCH("*@*.?*",Data!C740,0)),0,1)+IF(COUNTIFS(Data!C$1:'Data'!C740,Data!C740)&gt;1,1,0)))</f>
        <v/>
      </c>
      <c r="D750" s="36" t="str">
        <f>IF(Data!B740="","",IF(ISNUMBER(Data!D740),IF(AND(Data!D740&gt;999999999,Data!D740&lt;=9999999999),IF(COUNTIFS(Data!D$1:'Data'!D740,Data!D740)&lt;=1,0,1),1),1))</f>
        <v/>
      </c>
      <c r="E750" s="36" t="str">
        <f>IF(Data!B740="","",IF(ISNUMBER(MATCH(Data!E740,Data_Val!$A$2:$A$3,0)),0,1))</f>
        <v/>
      </c>
      <c r="F750" s="36" t="str">
        <f ca="1">IF(Data!B740="","",IF(ISNUMBER(Data!F740),IF(AND(Data!F740&gt;(TODAY()-(Data_Val!$H$3*365.25)),Data!F740&lt;=(TODAY()-(Data_Val!$H$2*365.25))),0,1),1))</f>
        <v/>
      </c>
      <c r="G750" s="12" t="str">
        <f>IF(Data!B740="","",IF(AND(Data!G740="",Data!H740&lt;&gt;""),1,IF(ISNUMBER(MATCH(Data!G740,Data_Val!$C$2:$C$5,0)),0,1)))</f>
        <v/>
      </c>
      <c r="H750" s="12" t="str">
        <f>IF(Data!B740="","",IF(AND(Data!G740&lt;&gt;"",Data!H740=""),1,IF(Data!G740="",1,IF(ISNUMBER(MATCH(Data!H740,Data_Val!$D$2:$D$35,0)),0,1))))</f>
        <v/>
      </c>
      <c r="I750" s="38" t="str">
        <f>IF(Data!G740="","",IF(Data!G740=Data_Val!$C$2,IF(Data!I740="",0,1),0))</f>
        <v/>
      </c>
      <c r="J750" s="38" t="str">
        <f>IF(Data!I740="","",IF(ISNUMBER(MATCH(Data!J740,Data_Val!$A$2:$A$3,0)),0,1))</f>
        <v/>
      </c>
      <c r="K750" s="38" t="str">
        <f ca="1">IF(Data!I740="","",IF(ISNUMBER(Data!K740),IF(AND(Data!K740&gt;(TODAY()-(Data_Val!$K$3*365.25)),Data!K740&lt;=(TODAY()-(Data_Val!$K$2*365.25))),0,1),1))</f>
        <v/>
      </c>
      <c r="L750" s="16" t="str">
        <f>IF(Data!G740="","",IF(Data!G740=Data_Val!$C$2,IF(Data!L740="",0,1),0))</f>
        <v/>
      </c>
      <c r="M750" s="16" t="str">
        <f>IF(Data!L740="","",IF(ISNUMBER(MATCH(Data!M740,Data_Val!$A$2:$A$3,0)),0,1))</f>
        <v/>
      </c>
      <c r="N750" s="43" t="str">
        <f ca="1">IF(Data!L740="","",IF(ISNUMBER(Data!N740),IF(AND(Data!N740&gt;(TODAY()-(Data_Val!$L$3*365.25)),Data!N740&lt;=(TODAY()-(Data_Val!$L$2*365.25))),0,1),1))</f>
        <v/>
      </c>
      <c r="O750" s="18" t="str">
        <f>IF(Data!$G740="","",IF(Data!$G740=Data_Val!$C$2,IF(Data!O740="",0,1),0))</f>
        <v/>
      </c>
      <c r="P750" s="18" t="str">
        <f>IF(Data!O740="","",IF(ISNUMBER(MATCH(Data!P740,Data_Val!$A$2:$A$3,0)),0,1))</f>
        <v/>
      </c>
      <c r="Q750" s="44" t="str">
        <f ca="1">IF(Data!O740="","",IF(ISNUMBER(Data!Q740),IF(AND(Data!Q740&gt;(TODAY()-(Data_Val!$L$3*365.25)),Data!Q740&lt;=(TODAY()-(Data_Val!$L$2*365.25))),0,1),1))</f>
        <v/>
      </c>
    </row>
    <row r="751" spans="1:17" ht="12" customHeight="1" x14ac:dyDescent="0.25">
      <c r="A751" s="36" t="str">
        <f>IF(Data!B741="","",IF(COUNTIFS(Data!A$1:'Data'!A741,Data!A741)&lt;=1,0,1))</f>
        <v/>
      </c>
      <c r="B751" s="36"/>
      <c r="C751" s="36" t="str">
        <f>IF(Data!C741="","",(IF(ISNUMBER(MATCH("*@*.?*",Data!C741,0)),0,1)+IF(COUNTIFS(Data!C$1:'Data'!C741,Data!C741)&gt;1,1,0)))</f>
        <v/>
      </c>
      <c r="D751" s="36" t="str">
        <f>IF(Data!B741="","",IF(ISNUMBER(Data!D741),IF(AND(Data!D741&gt;999999999,Data!D741&lt;=9999999999),IF(COUNTIFS(Data!D$1:'Data'!D741,Data!D741)&lt;=1,0,1),1),1))</f>
        <v/>
      </c>
      <c r="E751" s="36" t="str">
        <f>IF(Data!B741="","",IF(ISNUMBER(MATCH(Data!E741,Data_Val!$A$2:$A$3,0)),0,1))</f>
        <v/>
      </c>
      <c r="F751" s="36" t="str">
        <f ca="1">IF(Data!B741="","",IF(ISNUMBER(Data!F741),IF(AND(Data!F741&gt;(TODAY()-(Data_Val!$H$3*365.25)),Data!F741&lt;=(TODAY()-(Data_Val!$H$2*365.25))),0,1),1))</f>
        <v/>
      </c>
      <c r="G751" s="12" t="str">
        <f>IF(Data!B741="","",IF(AND(Data!G741="",Data!H741&lt;&gt;""),1,IF(ISNUMBER(MATCH(Data!G741,Data_Val!$C$2:$C$5,0)),0,1)))</f>
        <v/>
      </c>
      <c r="H751" s="12" t="str">
        <f>IF(Data!B741="","",IF(AND(Data!G741&lt;&gt;"",Data!H741=""),1,IF(Data!G741="",1,IF(ISNUMBER(MATCH(Data!H741,Data_Val!$D$2:$D$35,0)),0,1))))</f>
        <v/>
      </c>
      <c r="I751" s="38" t="str">
        <f>IF(Data!G741="","",IF(Data!G741=Data_Val!$C$2,IF(Data!I741="",0,1),0))</f>
        <v/>
      </c>
      <c r="J751" s="38" t="str">
        <f>IF(Data!I741="","",IF(ISNUMBER(MATCH(Data!J741,Data_Val!$A$2:$A$3,0)),0,1))</f>
        <v/>
      </c>
      <c r="K751" s="38" t="str">
        <f ca="1">IF(Data!I741="","",IF(ISNUMBER(Data!K741),IF(AND(Data!K741&gt;(TODAY()-(Data_Val!$K$3*365.25)),Data!K741&lt;=(TODAY()-(Data_Val!$K$2*365.25))),0,1),1))</f>
        <v/>
      </c>
      <c r="L751" s="16" t="str">
        <f>IF(Data!G741="","",IF(Data!G741=Data_Val!$C$2,IF(Data!L741="",0,1),0))</f>
        <v/>
      </c>
      <c r="M751" s="16" t="str">
        <f>IF(Data!L741="","",IF(ISNUMBER(MATCH(Data!M741,Data_Val!$A$2:$A$3,0)),0,1))</f>
        <v/>
      </c>
      <c r="N751" s="43" t="str">
        <f ca="1">IF(Data!L741="","",IF(ISNUMBER(Data!N741),IF(AND(Data!N741&gt;(TODAY()-(Data_Val!$L$3*365.25)),Data!N741&lt;=(TODAY()-(Data_Val!$L$2*365.25))),0,1),1))</f>
        <v/>
      </c>
      <c r="O751" s="18" t="str">
        <f>IF(Data!$G741="","",IF(Data!$G741=Data_Val!$C$2,IF(Data!O741="",0,1),0))</f>
        <v/>
      </c>
      <c r="P751" s="18" t="str">
        <f>IF(Data!O741="","",IF(ISNUMBER(MATCH(Data!P741,Data_Val!$A$2:$A$3,0)),0,1))</f>
        <v/>
      </c>
      <c r="Q751" s="44" t="str">
        <f ca="1">IF(Data!O741="","",IF(ISNUMBER(Data!Q741),IF(AND(Data!Q741&gt;(TODAY()-(Data_Val!$L$3*365.25)),Data!Q741&lt;=(TODAY()-(Data_Val!$L$2*365.25))),0,1),1))</f>
        <v/>
      </c>
    </row>
    <row r="752" spans="1:17" ht="12" customHeight="1" x14ac:dyDescent="0.25">
      <c r="A752" s="36" t="str">
        <f>IF(Data!B742="","",IF(COUNTIFS(Data!A$1:'Data'!A742,Data!A742)&lt;=1,0,1))</f>
        <v/>
      </c>
      <c r="B752" s="36"/>
      <c r="C752" s="36" t="str">
        <f>IF(Data!C742="","",(IF(ISNUMBER(MATCH("*@*.?*",Data!C742,0)),0,1)+IF(COUNTIFS(Data!C$1:'Data'!C742,Data!C742)&gt;1,1,0)))</f>
        <v/>
      </c>
      <c r="D752" s="36" t="str">
        <f>IF(Data!B742="","",IF(ISNUMBER(Data!D742),IF(AND(Data!D742&gt;999999999,Data!D742&lt;=9999999999),IF(COUNTIFS(Data!D$1:'Data'!D742,Data!D742)&lt;=1,0,1),1),1))</f>
        <v/>
      </c>
      <c r="E752" s="36" t="str">
        <f>IF(Data!B742="","",IF(ISNUMBER(MATCH(Data!E742,Data_Val!$A$2:$A$3,0)),0,1))</f>
        <v/>
      </c>
      <c r="F752" s="36" t="str">
        <f ca="1">IF(Data!B742="","",IF(ISNUMBER(Data!F742),IF(AND(Data!F742&gt;(TODAY()-(Data_Val!$H$3*365.25)),Data!F742&lt;=(TODAY()-(Data_Val!$H$2*365.25))),0,1),1))</f>
        <v/>
      </c>
      <c r="G752" s="12" t="str">
        <f>IF(Data!B742="","",IF(AND(Data!G742="",Data!H742&lt;&gt;""),1,IF(ISNUMBER(MATCH(Data!G742,Data_Val!$C$2:$C$5,0)),0,1)))</f>
        <v/>
      </c>
      <c r="H752" s="12" t="str">
        <f>IF(Data!B742="","",IF(AND(Data!G742&lt;&gt;"",Data!H742=""),1,IF(Data!G742="",1,IF(ISNUMBER(MATCH(Data!H742,Data_Val!$D$2:$D$35,0)),0,1))))</f>
        <v/>
      </c>
      <c r="I752" s="38" t="str">
        <f>IF(Data!G742="","",IF(Data!G742=Data_Val!$C$2,IF(Data!I742="",0,1),0))</f>
        <v/>
      </c>
      <c r="J752" s="38" t="str">
        <f>IF(Data!I742="","",IF(ISNUMBER(MATCH(Data!J742,Data_Val!$A$2:$A$3,0)),0,1))</f>
        <v/>
      </c>
      <c r="K752" s="38" t="str">
        <f ca="1">IF(Data!I742="","",IF(ISNUMBER(Data!K742),IF(AND(Data!K742&gt;(TODAY()-(Data_Val!$K$3*365.25)),Data!K742&lt;=(TODAY()-(Data_Val!$K$2*365.25))),0,1),1))</f>
        <v/>
      </c>
      <c r="L752" s="16" t="str">
        <f>IF(Data!G742="","",IF(Data!G742=Data_Val!$C$2,IF(Data!L742="",0,1),0))</f>
        <v/>
      </c>
      <c r="M752" s="16" t="str">
        <f>IF(Data!L742="","",IF(ISNUMBER(MATCH(Data!M742,Data_Val!$A$2:$A$3,0)),0,1))</f>
        <v/>
      </c>
      <c r="N752" s="43" t="str">
        <f ca="1">IF(Data!L742="","",IF(ISNUMBER(Data!N742),IF(AND(Data!N742&gt;(TODAY()-(Data_Val!$L$3*365.25)),Data!N742&lt;=(TODAY()-(Data_Val!$L$2*365.25))),0,1),1))</f>
        <v/>
      </c>
      <c r="O752" s="18" t="str">
        <f>IF(Data!$G742="","",IF(Data!$G742=Data_Val!$C$2,IF(Data!O742="",0,1),0))</f>
        <v/>
      </c>
      <c r="P752" s="18" t="str">
        <f>IF(Data!O742="","",IF(ISNUMBER(MATCH(Data!P742,Data_Val!$A$2:$A$3,0)),0,1))</f>
        <v/>
      </c>
      <c r="Q752" s="44" t="str">
        <f ca="1">IF(Data!O742="","",IF(ISNUMBER(Data!Q742),IF(AND(Data!Q742&gt;(TODAY()-(Data_Val!$L$3*365.25)),Data!Q742&lt;=(TODAY()-(Data_Val!$L$2*365.25))),0,1),1))</f>
        <v/>
      </c>
    </row>
    <row r="753" spans="1:17" ht="12" customHeight="1" x14ac:dyDescent="0.25">
      <c r="A753" s="36" t="str">
        <f>IF(Data!B743="","",IF(COUNTIFS(Data!A$1:'Data'!A743,Data!A743)&lt;=1,0,1))</f>
        <v/>
      </c>
      <c r="B753" s="36"/>
      <c r="C753" s="36" t="str">
        <f>IF(Data!C743="","",(IF(ISNUMBER(MATCH("*@*.?*",Data!C743,0)),0,1)+IF(COUNTIFS(Data!C$1:'Data'!C743,Data!C743)&gt;1,1,0)))</f>
        <v/>
      </c>
      <c r="D753" s="36" t="str">
        <f>IF(Data!B743="","",IF(ISNUMBER(Data!D743),IF(AND(Data!D743&gt;999999999,Data!D743&lt;=9999999999),IF(COUNTIFS(Data!D$1:'Data'!D743,Data!D743)&lt;=1,0,1),1),1))</f>
        <v/>
      </c>
      <c r="E753" s="36" t="str">
        <f>IF(Data!B743="","",IF(ISNUMBER(MATCH(Data!E743,Data_Val!$A$2:$A$3,0)),0,1))</f>
        <v/>
      </c>
      <c r="F753" s="36" t="str">
        <f ca="1">IF(Data!B743="","",IF(ISNUMBER(Data!F743),IF(AND(Data!F743&gt;(TODAY()-(Data_Val!$H$3*365.25)),Data!F743&lt;=(TODAY()-(Data_Val!$H$2*365.25))),0,1),1))</f>
        <v/>
      </c>
      <c r="G753" s="12" t="str">
        <f>IF(Data!B743="","",IF(AND(Data!G743="",Data!H743&lt;&gt;""),1,IF(ISNUMBER(MATCH(Data!G743,Data_Val!$C$2:$C$5,0)),0,1)))</f>
        <v/>
      </c>
      <c r="H753" s="12" t="str">
        <f>IF(Data!B743="","",IF(AND(Data!G743&lt;&gt;"",Data!H743=""),1,IF(Data!G743="",1,IF(ISNUMBER(MATCH(Data!H743,Data_Val!$D$2:$D$35,0)),0,1))))</f>
        <v/>
      </c>
      <c r="I753" s="38" t="str">
        <f>IF(Data!G743="","",IF(Data!G743=Data_Val!$C$2,IF(Data!I743="",0,1),0))</f>
        <v/>
      </c>
      <c r="J753" s="38" t="str">
        <f>IF(Data!I743="","",IF(ISNUMBER(MATCH(Data!J743,Data_Val!$A$2:$A$3,0)),0,1))</f>
        <v/>
      </c>
      <c r="K753" s="38" t="str">
        <f ca="1">IF(Data!I743="","",IF(ISNUMBER(Data!K743),IF(AND(Data!K743&gt;(TODAY()-(Data_Val!$K$3*365.25)),Data!K743&lt;=(TODAY()-(Data_Val!$K$2*365.25))),0,1),1))</f>
        <v/>
      </c>
      <c r="L753" s="16" t="str">
        <f>IF(Data!G743="","",IF(Data!G743=Data_Val!$C$2,IF(Data!L743="",0,1),0))</f>
        <v/>
      </c>
      <c r="M753" s="16" t="str">
        <f>IF(Data!L743="","",IF(ISNUMBER(MATCH(Data!M743,Data_Val!$A$2:$A$3,0)),0,1))</f>
        <v/>
      </c>
      <c r="N753" s="43" t="str">
        <f ca="1">IF(Data!L743="","",IF(ISNUMBER(Data!N743),IF(AND(Data!N743&gt;(TODAY()-(Data_Val!$L$3*365.25)),Data!N743&lt;=(TODAY()-(Data_Val!$L$2*365.25))),0,1),1))</f>
        <v/>
      </c>
      <c r="O753" s="18" t="str">
        <f>IF(Data!$G743="","",IF(Data!$G743=Data_Val!$C$2,IF(Data!O743="",0,1),0))</f>
        <v/>
      </c>
      <c r="P753" s="18" t="str">
        <f>IF(Data!O743="","",IF(ISNUMBER(MATCH(Data!P743,Data_Val!$A$2:$A$3,0)),0,1))</f>
        <v/>
      </c>
      <c r="Q753" s="44" t="str">
        <f ca="1">IF(Data!O743="","",IF(ISNUMBER(Data!Q743),IF(AND(Data!Q743&gt;(TODAY()-(Data_Val!$L$3*365.25)),Data!Q743&lt;=(TODAY()-(Data_Val!$L$2*365.25))),0,1),1))</f>
        <v/>
      </c>
    </row>
    <row r="754" spans="1:17" ht="12" customHeight="1" x14ac:dyDescent="0.25">
      <c r="A754" s="36" t="str">
        <f>IF(Data!B744="","",IF(COUNTIFS(Data!A$1:'Data'!A744,Data!A744)&lt;=1,0,1))</f>
        <v/>
      </c>
      <c r="B754" s="36"/>
      <c r="C754" s="36" t="str">
        <f>IF(Data!C744="","",(IF(ISNUMBER(MATCH("*@*.?*",Data!C744,0)),0,1)+IF(COUNTIFS(Data!C$1:'Data'!C744,Data!C744)&gt;1,1,0)))</f>
        <v/>
      </c>
      <c r="D754" s="36" t="str">
        <f>IF(Data!B744="","",IF(ISNUMBER(Data!D744),IF(AND(Data!D744&gt;999999999,Data!D744&lt;=9999999999),IF(COUNTIFS(Data!D$1:'Data'!D744,Data!D744)&lt;=1,0,1),1),1))</f>
        <v/>
      </c>
      <c r="E754" s="36" t="str">
        <f>IF(Data!B744="","",IF(ISNUMBER(MATCH(Data!E744,Data_Val!$A$2:$A$3,0)),0,1))</f>
        <v/>
      </c>
      <c r="F754" s="36" t="str">
        <f ca="1">IF(Data!B744="","",IF(ISNUMBER(Data!F744),IF(AND(Data!F744&gt;(TODAY()-(Data_Val!$H$3*365.25)),Data!F744&lt;=(TODAY()-(Data_Val!$H$2*365.25))),0,1),1))</f>
        <v/>
      </c>
      <c r="G754" s="12" t="str">
        <f>IF(Data!B744="","",IF(AND(Data!G744="",Data!H744&lt;&gt;""),1,IF(ISNUMBER(MATCH(Data!G744,Data_Val!$C$2:$C$5,0)),0,1)))</f>
        <v/>
      </c>
      <c r="H754" s="12" t="str">
        <f>IF(Data!B744="","",IF(AND(Data!G744&lt;&gt;"",Data!H744=""),1,IF(Data!G744="",1,IF(ISNUMBER(MATCH(Data!H744,Data_Val!$D$2:$D$35,0)),0,1))))</f>
        <v/>
      </c>
      <c r="I754" s="38" t="str">
        <f>IF(Data!G744="","",IF(Data!G744=Data_Val!$C$2,IF(Data!I744="",0,1),0))</f>
        <v/>
      </c>
      <c r="J754" s="38" t="str">
        <f>IF(Data!I744="","",IF(ISNUMBER(MATCH(Data!J744,Data_Val!$A$2:$A$3,0)),0,1))</f>
        <v/>
      </c>
      <c r="K754" s="38" t="str">
        <f ca="1">IF(Data!I744="","",IF(ISNUMBER(Data!K744),IF(AND(Data!K744&gt;(TODAY()-(Data_Val!$K$3*365.25)),Data!K744&lt;=(TODAY()-(Data_Val!$K$2*365.25))),0,1),1))</f>
        <v/>
      </c>
      <c r="L754" s="16" t="str">
        <f>IF(Data!G744="","",IF(Data!G744=Data_Val!$C$2,IF(Data!L744="",0,1),0))</f>
        <v/>
      </c>
      <c r="M754" s="16" t="str">
        <f>IF(Data!L744="","",IF(ISNUMBER(MATCH(Data!M744,Data_Val!$A$2:$A$3,0)),0,1))</f>
        <v/>
      </c>
      <c r="N754" s="43" t="str">
        <f ca="1">IF(Data!L744="","",IF(ISNUMBER(Data!N744),IF(AND(Data!N744&gt;(TODAY()-(Data_Val!$L$3*365.25)),Data!N744&lt;=(TODAY()-(Data_Val!$L$2*365.25))),0,1),1))</f>
        <v/>
      </c>
      <c r="O754" s="18" t="str">
        <f>IF(Data!$G744="","",IF(Data!$G744=Data_Val!$C$2,IF(Data!O744="",0,1),0))</f>
        <v/>
      </c>
      <c r="P754" s="18" t="str">
        <f>IF(Data!O744="","",IF(ISNUMBER(MATCH(Data!P744,Data_Val!$A$2:$A$3,0)),0,1))</f>
        <v/>
      </c>
      <c r="Q754" s="44" t="str">
        <f ca="1">IF(Data!O744="","",IF(ISNUMBER(Data!Q744),IF(AND(Data!Q744&gt;(TODAY()-(Data_Val!$L$3*365.25)),Data!Q744&lt;=(TODAY()-(Data_Val!$L$2*365.25))),0,1),1))</f>
        <v/>
      </c>
    </row>
    <row r="755" spans="1:17" ht="12" customHeight="1" x14ac:dyDescent="0.25">
      <c r="A755" s="36" t="str">
        <f>IF(Data!B745="","",IF(COUNTIFS(Data!A$1:'Data'!A745,Data!A745)&lt;=1,0,1))</f>
        <v/>
      </c>
      <c r="B755" s="36"/>
      <c r="C755" s="36" t="str">
        <f>IF(Data!C745="","",(IF(ISNUMBER(MATCH("*@*.?*",Data!C745,0)),0,1)+IF(COUNTIFS(Data!C$1:'Data'!C745,Data!C745)&gt;1,1,0)))</f>
        <v/>
      </c>
      <c r="D755" s="36" t="str">
        <f>IF(Data!B745="","",IF(ISNUMBER(Data!D745),IF(AND(Data!D745&gt;999999999,Data!D745&lt;=9999999999),IF(COUNTIFS(Data!D$1:'Data'!D745,Data!D745)&lt;=1,0,1),1),1))</f>
        <v/>
      </c>
      <c r="E755" s="36" t="str">
        <f>IF(Data!B745="","",IF(ISNUMBER(MATCH(Data!E745,Data_Val!$A$2:$A$3,0)),0,1))</f>
        <v/>
      </c>
      <c r="F755" s="36" t="str">
        <f ca="1">IF(Data!B745="","",IF(ISNUMBER(Data!F745),IF(AND(Data!F745&gt;(TODAY()-(Data_Val!$H$3*365.25)),Data!F745&lt;=(TODAY()-(Data_Val!$H$2*365.25))),0,1),1))</f>
        <v/>
      </c>
      <c r="G755" s="12" t="str">
        <f>IF(Data!B745="","",IF(AND(Data!G745="",Data!H745&lt;&gt;""),1,IF(ISNUMBER(MATCH(Data!G745,Data_Val!$C$2:$C$5,0)),0,1)))</f>
        <v/>
      </c>
      <c r="H755" s="12" t="str">
        <f>IF(Data!B745="","",IF(AND(Data!G745&lt;&gt;"",Data!H745=""),1,IF(Data!G745="",1,IF(ISNUMBER(MATCH(Data!H745,Data_Val!$D$2:$D$35,0)),0,1))))</f>
        <v/>
      </c>
      <c r="I755" s="38" t="str">
        <f>IF(Data!G745="","",IF(Data!G745=Data_Val!$C$2,IF(Data!I745="",0,1),0))</f>
        <v/>
      </c>
      <c r="J755" s="38" t="str">
        <f>IF(Data!I745="","",IF(ISNUMBER(MATCH(Data!J745,Data_Val!$A$2:$A$3,0)),0,1))</f>
        <v/>
      </c>
      <c r="K755" s="38" t="str">
        <f ca="1">IF(Data!I745="","",IF(ISNUMBER(Data!K745),IF(AND(Data!K745&gt;(TODAY()-(Data_Val!$K$3*365.25)),Data!K745&lt;=(TODAY()-(Data_Val!$K$2*365.25))),0,1),1))</f>
        <v/>
      </c>
      <c r="L755" s="16" t="str">
        <f>IF(Data!G745="","",IF(Data!G745=Data_Val!$C$2,IF(Data!L745="",0,1),0))</f>
        <v/>
      </c>
      <c r="M755" s="16" t="str">
        <f>IF(Data!L745="","",IF(ISNUMBER(MATCH(Data!M745,Data_Val!$A$2:$A$3,0)),0,1))</f>
        <v/>
      </c>
      <c r="N755" s="43" t="str">
        <f ca="1">IF(Data!L745="","",IF(ISNUMBER(Data!N745),IF(AND(Data!N745&gt;(TODAY()-(Data_Val!$L$3*365.25)),Data!N745&lt;=(TODAY()-(Data_Val!$L$2*365.25))),0,1),1))</f>
        <v/>
      </c>
      <c r="O755" s="18" t="str">
        <f>IF(Data!$G745="","",IF(Data!$G745=Data_Val!$C$2,IF(Data!O745="",0,1),0))</f>
        <v/>
      </c>
      <c r="P755" s="18" t="str">
        <f>IF(Data!O745="","",IF(ISNUMBER(MATCH(Data!P745,Data_Val!$A$2:$A$3,0)),0,1))</f>
        <v/>
      </c>
      <c r="Q755" s="44" t="str">
        <f ca="1">IF(Data!O745="","",IF(ISNUMBER(Data!Q745),IF(AND(Data!Q745&gt;(TODAY()-(Data_Val!$L$3*365.25)),Data!Q745&lt;=(TODAY()-(Data_Val!$L$2*365.25))),0,1),1))</f>
        <v/>
      </c>
    </row>
    <row r="756" spans="1:17" ht="12" customHeight="1" x14ac:dyDescent="0.25">
      <c r="A756" s="36" t="str">
        <f>IF(Data!B746="","",IF(COUNTIFS(Data!A$1:'Data'!A746,Data!A746)&lt;=1,0,1))</f>
        <v/>
      </c>
      <c r="B756" s="36"/>
      <c r="C756" s="36" t="str">
        <f>IF(Data!C746="","",(IF(ISNUMBER(MATCH("*@*.?*",Data!C746,0)),0,1)+IF(COUNTIFS(Data!C$1:'Data'!C746,Data!C746)&gt;1,1,0)))</f>
        <v/>
      </c>
      <c r="D756" s="36" t="str">
        <f>IF(Data!B746="","",IF(ISNUMBER(Data!D746),IF(AND(Data!D746&gt;999999999,Data!D746&lt;=9999999999),IF(COUNTIFS(Data!D$1:'Data'!D746,Data!D746)&lt;=1,0,1),1),1))</f>
        <v/>
      </c>
      <c r="E756" s="36" t="str">
        <f>IF(Data!B746="","",IF(ISNUMBER(MATCH(Data!E746,Data_Val!$A$2:$A$3,0)),0,1))</f>
        <v/>
      </c>
      <c r="F756" s="36" t="str">
        <f ca="1">IF(Data!B746="","",IF(ISNUMBER(Data!F746),IF(AND(Data!F746&gt;(TODAY()-(Data_Val!$H$3*365.25)),Data!F746&lt;=(TODAY()-(Data_Val!$H$2*365.25))),0,1),1))</f>
        <v/>
      </c>
      <c r="G756" s="12" t="str">
        <f>IF(Data!B746="","",IF(AND(Data!G746="",Data!H746&lt;&gt;""),1,IF(ISNUMBER(MATCH(Data!G746,Data_Val!$C$2:$C$5,0)),0,1)))</f>
        <v/>
      </c>
      <c r="H756" s="12" t="str">
        <f>IF(Data!B746="","",IF(AND(Data!G746&lt;&gt;"",Data!H746=""),1,IF(Data!G746="",1,IF(ISNUMBER(MATCH(Data!H746,Data_Val!$D$2:$D$35,0)),0,1))))</f>
        <v/>
      </c>
      <c r="I756" s="38" t="str">
        <f>IF(Data!G746="","",IF(Data!G746=Data_Val!$C$2,IF(Data!I746="",0,1),0))</f>
        <v/>
      </c>
      <c r="J756" s="38" t="str">
        <f>IF(Data!I746="","",IF(ISNUMBER(MATCH(Data!J746,Data_Val!$A$2:$A$3,0)),0,1))</f>
        <v/>
      </c>
      <c r="K756" s="38" t="str">
        <f ca="1">IF(Data!I746="","",IF(ISNUMBER(Data!K746),IF(AND(Data!K746&gt;(TODAY()-(Data_Val!$K$3*365.25)),Data!K746&lt;=(TODAY()-(Data_Val!$K$2*365.25))),0,1),1))</f>
        <v/>
      </c>
      <c r="L756" s="16" t="str">
        <f>IF(Data!G746="","",IF(Data!G746=Data_Val!$C$2,IF(Data!L746="",0,1),0))</f>
        <v/>
      </c>
      <c r="M756" s="16" t="str">
        <f>IF(Data!L746="","",IF(ISNUMBER(MATCH(Data!M746,Data_Val!$A$2:$A$3,0)),0,1))</f>
        <v/>
      </c>
      <c r="N756" s="43" t="str">
        <f ca="1">IF(Data!L746="","",IF(ISNUMBER(Data!N746),IF(AND(Data!N746&gt;(TODAY()-(Data_Val!$L$3*365.25)),Data!N746&lt;=(TODAY()-(Data_Val!$L$2*365.25))),0,1),1))</f>
        <v/>
      </c>
      <c r="O756" s="18" t="str">
        <f>IF(Data!$G746="","",IF(Data!$G746=Data_Val!$C$2,IF(Data!O746="",0,1),0))</f>
        <v/>
      </c>
      <c r="P756" s="18" t="str">
        <f>IF(Data!O746="","",IF(ISNUMBER(MATCH(Data!P746,Data_Val!$A$2:$A$3,0)),0,1))</f>
        <v/>
      </c>
      <c r="Q756" s="44" t="str">
        <f ca="1">IF(Data!O746="","",IF(ISNUMBER(Data!Q746),IF(AND(Data!Q746&gt;(TODAY()-(Data_Val!$L$3*365.25)),Data!Q746&lt;=(TODAY()-(Data_Val!$L$2*365.25))),0,1),1))</f>
        <v/>
      </c>
    </row>
    <row r="757" spans="1:17" ht="12" customHeight="1" x14ac:dyDescent="0.25">
      <c r="A757" s="36" t="str">
        <f>IF(Data!B747="","",IF(COUNTIFS(Data!A$1:'Data'!A747,Data!A747)&lt;=1,0,1))</f>
        <v/>
      </c>
      <c r="B757" s="36"/>
      <c r="C757" s="36" t="str">
        <f>IF(Data!C747="","",(IF(ISNUMBER(MATCH("*@*.?*",Data!C747,0)),0,1)+IF(COUNTIFS(Data!C$1:'Data'!C747,Data!C747)&gt;1,1,0)))</f>
        <v/>
      </c>
      <c r="D757" s="36" t="str">
        <f>IF(Data!B747="","",IF(ISNUMBER(Data!D747),IF(AND(Data!D747&gt;999999999,Data!D747&lt;=9999999999),IF(COUNTIFS(Data!D$1:'Data'!D747,Data!D747)&lt;=1,0,1),1),1))</f>
        <v/>
      </c>
      <c r="E757" s="36" t="str">
        <f>IF(Data!B747="","",IF(ISNUMBER(MATCH(Data!E747,Data_Val!$A$2:$A$3,0)),0,1))</f>
        <v/>
      </c>
      <c r="F757" s="36" t="str">
        <f ca="1">IF(Data!B747="","",IF(ISNUMBER(Data!F747),IF(AND(Data!F747&gt;(TODAY()-(Data_Val!$H$3*365.25)),Data!F747&lt;=(TODAY()-(Data_Val!$H$2*365.25))),0,1),1))</f>
        <v/>
      </c>
      <c r="G757" s="12" t="str">
        <f>IF(Data!B747="","",IF(AND(Data!G747="",Data!H747&lt;&gt;""),1,IF(ISNUMBER(MATCH(Data!G747,Data_Val!$C$2:$C$5,0)),0,1)))</f>
        <v/>
      </c>
      <c r="H757" s="12" t="str">
        <f>IF(Data!B747="","",IF(AND(Data!G747&lt;&gt;"",Data!H747=""),1,IF(Data!G747="",1,IF(ISNUMBER(MATCH(Data!H747,Data_Val!$D$2:$D$35,0)),0,1))))</f>
        <v/>
      </c>
      <c r="I757" s="38" t="str">
        <f>IF(Data!G747="","",IF(Data!G747=Data_Val!$C$2,IF(Data!I747="",0,1),0))</f>
        <v/>
      </c>
      <c r="J757" s="38" t="str">
        <f>IF(Data!I747="","",IF(ISNUMBER(MATCH(Data!J747,Data_Val!$A$2:$A$3,0)),0,1))</f>
        <v/>
      </c>
      <c r="K757" s="38" t="str">
        <f ca="1">IF(Data!I747="","",IF(ISNUMBER(Data!K747),IF(AND(Data!K747&gt;(TODAY()-(Data_Val!$K$3*365.25)),Data!K747&lt;=(TODAY()-(Data_Val!$K$2*365.25))),0,1),1))</f>
        <v/>
      </c>
      <c r="L757" s="16" t="str">
        <f>IF(Data!G747="","",IF(Data!G747=Data_Val!$C$2,IF(Data!L747="",0,1),0))</f>
        <v/>
      </c>
      <c r="M757" s="16" t="str">
        <f>IF(Data!L747="","",IF(ISNUMBER(MATCH(Data!M747,Data_Val!$A$2:$A$3,0)),0,1))</f>
        <v/>
      </c>
      <c r="N757" s="43" t="str">
        <f ca="1">IF(Data!L747="","",IF(ISNUMBER(Data!N747),IF(AND(Data!N747&gt;(TODAY()-(Data_Val!$L$3*365.25)),Data!N747&lt;=(TODAY()-(Data_Val!$L$2*365.25))),0,1),1))</f>
        <v/>
      </c>
      <c r="O757" s="18" t="str">
        <f>IF(Data!$G747="","",IF(Data!$G747=Data_Val!$C$2,IF(Data!O747="",0,1),0))</f>
        <v/>
      </c>
      <c r="P757" s="18" t="str">
        <f>IF(Data!O747="","",IF(ISNUMBER(MATCH(Data!P747,Data_Val!$A$2:$A$3,0)),0,1))</f>
        <v/>
      </c>
      <c r="Q757" s="44" t="str">
        <f ca="1">IF(Data!O747="","",IF(ISNUMBER(Data!Q747),IF(AND(Data!Q747&gt;(TODAY()-(Data_Val!$L$3*365.25)),Data!Q747&lt;=(TODAY()-(Data_Val!$L$2*365.25))),0,1),1))</f>
        <v/>
      </c>
    </row>
    <row r="758" spans="1:17" ht="12" customHeight="1" x14ac:dyDescent="0.25">
      <c r="A758" s="36" t="str">
        <f>IF(Data!B748="","",IF(COUNTIFS(Data!A$1:'Data'!A748,Data!A748)&lt;=1,0,1))</f>
        <v/>
      </c>
      <c r="B758" s="36"/>
      <c r="C758" s="36" t="str">
        <f>IF(Data!C748="","",(IF(ISNUMBER(MATCH("*@*.?*",Data!C748,0)),0,1)+IF(COUNTIFS(Data!C$1:'Data'!C748,Data!C748)&gt;1,1,0)))</f>
        <v/>
      </c>
      <c r="D758" s="36" t="str">
        <f>IF(Data!B748="","",IF(ISNUMBER(Data!D748),IF(AND(Data!D748&gt;999999999,Data!D748&lt;=9999999999),IF(COUNTIFS(Data!D$1:'Data'!D748,Data!D748)&lt;=1,0,1),1),1))</f>
        <v/>
      </c>
      <c r="E758" s="36" t="str">
        <f>IF(Data!B748="","",IF(ISNUMBER(MATCH(Data!E748,Data_Val!$A$2:$A$3,0)),0,1))</f>
        <v/>
      </c>
      <c r="F758" s="36" t="str">
        <f ca="1">IF(Data!B748="","",IF(ISNUMBER(Data!F748),IF(AND(Data!F748&gt;(TODAY()-(Data_Val!$H$3*365.25)),Data!F748&lt;=(TODAY()-(Data_Val!$H$2*365.25))),0,1),1))</f>
        <v/>
      </c>
      <c r="G758" s="12" t="str">
        <f>IF(Data!B748="","",IF(AND(Data!G748="",Data!H748&lt;&gt;""),1,IF(ISNUMBER(MATCH(Data!G748,Data_Val!$C$2:$C$5,0)),0,1)))</f>
        <v/>
      </c>
      <c r="H758" s="12" t="str">
        <f>IF(Data!B748="","",IF(AND(Data!G748&lt;&gt;"",Data!H748=""),1,IF(Data!G748="",1,IF(ISNUMBER(MATCH(Data!H748,Data_Val!$D$2:$D$35,0)),0,1))))</f>
        <v/>
      </c>
      <c r="I758" s="38" t="str">
        <f>IF(Data!G748="","",IF(Data!G748=Data_Val!$C$2,IF(Data!I748="",0,1),0))</f>
        <v/>
      </c>
      <c r="J758" s="38" t="str">
        <f>IF(Data!I748="","",IF(ISNUMBER(MATCH(Data!J748,Data_Val!$A$2:$A$3,0)),0,1))</f>
        <v/>
      </c>
      <c r="K758" s="38" t="str">
        <f ca="1">IF(Data!I748="","",IF(ISNUMBER(Data!K748),IF(AND(Data!K748&gt;(TODAY()-(Data_Val!$K$3*365.25)),Data!K748&lt;=(TODAY()-(Data_Val!$K$2*365.25))),0,1),1))</f>
        <v/>
      </c>
      <c r="L758" s="16" t="str">
        <f>IF(Data!G748="","",IF(Data!G748=Data_Val!$C$2,IF(Data!L748="",0,1),0))</f>
        <v/>
      </c>
      <c r="M758" s="16" t="str">
        <f>IF(Data!L748="","",IF(ISNUMBER(MATCH(Data!M748,Data_Val!$A$2:$A$3,0)),0,1))</f>
        <v/>
      </c>
      <c r="N758" s="43" t="str">
        <f ca="1">IF(Data!L748="","",IF(ISNUMBER(Data!N748),IF(AND(Data!N748&gt;(TODAY()-(Data_Val!$L$3*365.25)),Data!N748&lt;=(TODAY()-(Data_Val!$L$2*365.25))),0,1),1))</f>
        <v/>
      </c>
      <c r="O758" s="18" t="str">
        <f>IF(Data!$G748="","",IF(Data!$G748=Data_Val!$C$2,IF(Data!O748="",0,1),0))</f>
        <v/>
      </c>
      <c r="P758" s="18" t="str">
        <f>IF(Data!O748="","",IF(ISNUMBER(MATCH(Data!P748,Data_Val!$A$2:$A$3,0)),0,1))</f>
        <v/>
      </c>
      <c r="Q758" s="44" t="str">
        <f ca="1">IF(Data!O748="","",IF(ISNUMBER(Data!Q748),IF(AND(Data!Q748&gt;(TODAY()-(Data_Val!$L$3*365.25)),Data!Q748&lt;=(TODAY()-(Data_Val!$L$2*365.25))),0,1),1))</f>
        <v/>
      </c>
    </row>
    <row r="759" spans="1:17" ht="12" customHeight="1" x14ac:dyDescent="0.25">
      <c r="A759" s="36" t="str">
        <f>IF(Data!B749="","",IF(COUNTIFS(Data!A$1:'Data'!A749,Data!A749)&lt;=1,0,1))</f>
        <v/>
      </c>
      <c r="B759" s="36"/>
      <c r="C759" s="36" t="str">
        <f>IF(Data!C749="","",(IF(ISNUMBER(MATCH("*@*.?*",Data!C749,0)),0,1)+IF(COUNTIFS(Data!C$1:'Data'!C749,Data!C749)&gt;1,1,0)))</f>
        <v/>
      </c>
      <c r="D759" s="36" t="str">
        <f>IF(Data!B749="","",IF(ISNUMBER(Data!D749),IF(AND(Data!D749&gt;999999999,Data!D749&lt;=9999999999),IF(COUNTIFS(Data!D$1:'Data'!D749,Data!D749)&lt;=1,0,1),1),1))</f>
        <v/>
      </c>
      <c r="E759" s="36" t="str">
        <f>IF(Data!B749="","",IF(ISNUMBER(MATCH(Data!E749,Data_Val!$A$2:$A$3,0)),0,1))</f>
        <v/>
      </c>
      <c r="F759" s="36" t="str">
        <f ca="1">IF(Data!B749="","",IF(ISNUMBER(Data!F749),IF(AND(Data!F749&gt;(TODAY()-(Data_Val!$H$3*365.25)),Data!F749&lt;=(TODAY()-(Data_Val!$H$2*365.25))),0,1),1))</f>
        <v/>
      </c>
      <c r="G759" s="12" t="str">
        <f>IF(Data!B749="","",IF(AND(Data!G749="",Data!H749&lt;&gt;""),1,IF(ISNUMBER(MATCH(Data!G749,Data_Val!$C$2:$C$5,0)),0,1)))</f>
        <v/>
      </c>
      <c r="H759" s="12" t="str">
        <f>IF(Data!B749="","",IF(AND(Data!G749&lt;&gt;"",Data!H749=""),1,IF(Data!G749="",1,IF(ISNUMBER(MATCH(Data!H749,Data_Val!$D$2:$D$35,0)),0,1))))</f>
        <v/>
      </c>
      <c r="I759" s="38" t="str">
        <f>IF(Data!G749="","",IF(Data!G749=Data_Val!$C$2,IF(Data!I749="",0,1),0))</f>
        <v/>
      </c>
      <c r="J759" s="38" t="str">
        <f>IF(Data!I749="","",IF(ISNUMBER(MATCH(Data!J749,Data_Val!$A$2:$A$3,0)),0,1))</f>
        <v/>
      </c>
      <c r="K759" s="38" t="str">
        <f ca="1">IF(Data!I749="","",IF(ISNUMBER(Data!K749),IF(AND(Data!K749&gt;(TODAY()-(Data_Val!$K$3*365.25)),Data!K749&lt;=(TODAY()-(Data_Val!$K$2*365.25))),0,1),1))</f>
        <v/>
      </c>
      <c r="L759" s="16" t="str">
        <f>IF(Data!G749="","",IF(Data!G749=Data_Val!$C$2,IF(Data!L749="",0,1),0))</f>
        <v/>
      </c>
      <c r="M759" s="16" t="str">
        <f>IF(Data!L749="","",IF(ISNUMBER(MATCH(Data!M749,Data_Val!$A$2:$A$3,0)),0,1))</f>
        <v/>
      </c>
      <c r="N759" s="43" t="str">
        <f ca="1">IF(Data!L749="","",IF(ISNUMBER(Data!N749),IF(AND(Data!N749&gt;(TODAY()-(Data_Val!$L$3*365.25)),Data!N749&lt;=(TODAY()-(Data_Val!$L$2*365.25))),0,1),1))</f>
        <v/>
      </c>
      <c r="O759" s="18" t="str">
        <f>IF(Data!$G749="","",IF(Data!$G749=Data_Val!$C$2,IF(Data!O749="",0,1),0))</f>
        <v/>
      </c>
      <c r="P759" s="18" t="str">
        <f>IF(Data!O749="","",IF(ISNUMBER(MATCH(Data!P749,Data_Val!$A$2:$A$3,0)),0,1))</f>
        <v/>
      </c>
      <c r="Q759" s="44" t="str">
        <f ca="1">IF(Data!O749="","",IF(ISNUMBER(Data!Q749),IF(AND(Data!Q749&gt;(TODAY()-(Data_Val!$L$3*365.25)),Data!Q749&lt;=(TODAY()-(Data_Val!$L$2*365.25))),0,1),1))</f>
        <v/>
      </c>
    </row>
    <row r="760" spans="1:17" ht="12" customHeight="1" x14ac:dyDescent="0.25">
      <c r="A760" s="36" t="str">
        <f>IF(Data!B750="","",IF(COUNTIFS(Data!A$1:'Data'!A750,Data!A750)&lt;=1,0,1))</f>
        <v/>
      </c>
      <c r="B760" s="36"/>
      <c r="C760" s="36" t="str">
        <f>IF(Data!C750="","",(IF(ISNUMBER(MATCH("*@*.?*",Data!C750,0)),0,1)+IF(COUNTIFS(Data!C$1:'Data'!C750,Data!C750)&gt;1,1,0)))</f>
        <v/>
      </c>
      <c r="D760" s="36" t="str">
        <f>IF(Data!B750="","",IF(ISNUMBER(Data!D750),IF(AND(Data!D750&gt;999999999,Data!D750&lt;=9999999999),IF(COUNTIFS(Data!D$1:'Data'!D750,Data!D750)&lt;=1,0,1),1),1))</f>
        <v/>
      </c>
      <c r="E760" s="36" t="str">
        <f>IF(Data!B750="","",IF(ISNUMBER(MATCH(Data!E750,Data_Val!$A$2:$A$3,0)),0,1))</f>
        <v/>
      </c>
      <c r="F760" s="36" t="str">
        <f ca="1">IF(Data!B750="","",IF(ISNUMBER(Data!F750),IF(AND(Data!F750&gt;(TODAY()-(Data_Val!$H$3*365.25)),Data!F750&lt;=(TODAY()-(Data_Val!$H$2*365.25))),0,1),1))</f>
        <v/>
      </c>
      <c r="G760" s="12" t="str">
        <f>IF(Data!B750="","",IF(AND(Data!G750="",Data!H750&lt;&gt;""),1,IF(ISNUMBER(MATCH(Data!G750,Data_Val!$C$2:$C$5,0)),0,1)))</f>
        <v/>
      </c>
      <c r="H760" s="12" t="str">
        <f>IF(Data!B750="","",IF(AND(Data!G750&lt;&gt;"",Data!H750=""),1,IF(Data!G750="",1,IF(ISNUMBER(MATCH(Data!H750,Data_Val!$D$2:$D$35,0)),0,1))))</f>
        <v/>
      </c>
      <c r="I760" s="38" t="str">
        <f>IF(Data!G750="","",IF(Data!G750=Data_Val!$C$2,IF(Data!I750="",0,1),0))</f>
        <v/>
      </c>
      <c r="J760" s="38" t="str">
        <f>IF(Data!I750="","",IF(ISNUMBER(MATCH(Data!J750,Data_Val!$A$2:$A$3,0)),0,1))</f>
        <v/>
      </c>
      <c r="K760" s="38" t="str">
        <f ca="1">IF(Data!I750="","",IF(ISNUMBER(Data!K750),IF(AND(Data!K750&gt;(TODAY()-(Data_Val!$K$3*365.25)),Data!K750&lt;=(TODAY()-(Data_Val!$K$2*365.25))),0,1),1))</f>
        <v/>
      </c>
      <c r="L760" s="16" t="str">
        <f>IF(Data!G750="","",IF(Data!G750=Data_Val!$C$2,IF(Data!L750="",0,1),0))</f>
        <v/>
      </c>
      <c r="M760" s="16" t="str">
        <f>IF(Data!L750="","",IF(ISNUMBER(MATCH(Data!M750,Data_Val!$A$2:$A$3,0)),0,1))</f>
        <v/>
      </c>
      <c r="N760" s="43" t="str">
        <f ca="1">IF(Data!L750="","",IF(ISNUMBER(Data!N750),IF(AND(Data!N750&gt;(TODAY()-(Data_Val!$L$3*365.25)),Data!N750&lt;=(TODAY()-(Data_Val!$L$2*365.25))),0,1),1))</f>
        <v/>
      </c>
      <c r="O760" s="18" t="str">
        <f>IF(Data!$G750="","",IF(Data!$G750=Data_Val!$C$2,IF(Data!O750="",0,1),0))</f>
        <v/>
      </c>
      <c r="P760" s="18" t="str">
        <f>IF(Data!O750="","",IF(ISNUMBER(MATCH(Data!P750,Data_Val!$A$2:$A$3,0)),0,1))</f>
        <v/>
      </c>
      <c r="Q760" s="44" t="str">
        <f ca="1">IF(Data!O750="","",IF(ISNUMBER(Data!Q750),IF(AND(Data!Q750&gt;(TODAY()-(Data_Val!$L$3*365.25)),Data!Q750&lt;=(TODAY()-(Data_Val!$L$2*365.25))),0,1),1))</f>
        <v/>
      </c>
    </row>
    <row r="761" spans="1:17" ht="12" customHeight="1" x14ac:dyDescent="0.25">
      <c r="A761" s="36" t="str">
        <f>IF(Data!B751="","",IF(COUNTIFS(Data!A$1:'Data'!A751,Data!A751)&lt;=1,0,1))</f>
        <v/>
      </c>
      <c r="B761" s="36"/>
      <c r="C761" s="36" t="str">
        <f>IF(Data!C751="","",(IF(ISNUMBER(MATCH("*@*.?*",Data!C751,0)),0,1)+IF(COUNTIFS(Data!C$1:'Data'!C751,Data!C751)&gt;1,1,0)))</f>
        <v/>
      </c>
      <c r="D761" s="36" t="str">
        <f>IF(Data!B751="","",IF(ISNUMBER(Data!D751),IF(AND(Data!D751&gt;999999999,Data!D751&lt;=9999999999),IF(COUNTIFS(Data!D$1:'Data'!D751,Data!D751)&lt;=1,0,1),1),1))</f>
        <v/>
      </c>
      <c r="E761" s="36" t="str">
        <f>IF(Data!B751="","",IF(ISNUMBER(MATCH(Data!E751,Data_Val!$A$2:$A$3,0)),0,1))</f>
        <v/>
      </c>
      <c r="F761" s="36" t="str">
        <f ca="1">IF(Data!B751="","",IF(ISNUMBER(Data!F751),IF(AND(Data!F751&gt;(TODAY()-(Data_Val!$H$3*365.25)),Data!F751&lt;=(TODAY()-(Data_Val!$H$2*365.25))),0,1),1))</f>
        <v/>
      </c>
      <c r="G761" s="12" t="str">
        <f>IF(Data!B751="","",IF(AND(Data!G751="",Data!H751&lt;&gt;""),1,IF(ISNUMBER(MATCH(Data!G751,Data_Val!$C$2:$C$5,0)),0,1)))</f>
        <v/>
      </c>
      <c r="H761" s="12" t="str">
        <f>IF(Data!B751="","",IF(AND(Data!G751&lt;&gt;"",Data!H751=""),1,IF(Data!G751="",1,IF(ISNUMBER(MATCH(Data!H751,Data_Val!$D$2:$D$35,0)),0,1))))</f>
        <v/>
      </c>
      <c r="I761" s="38" t="str">
        <f>IF(Data!G751="","",IF(Data!G751=Data_Val!$C$2,IF(Data!I751="",0,1),0))</f>
        <v/>
      </c>
      <c r="J761" s="38" t="str">
        <f>IF(Data!I751="","",IF(ISNUMBER(MATCH(Data!J751,Data_Val!$A$2:$A$3,0)),0,1))</f>
        <v/>
      </c>
      <c r="K761" s="38" t="str">
        <f ca="1">IF(Data!I751="","",IF(ISNUMBER(Data!K751),IF(AND(Data!K751&gt;(TODAY()-(Data_Val!$K$3*365.25)),Data!K751&lt;=(TODAY()-(Data_Val!$K$2*365.25))),0,1),1))</f>
        <v/>
      </c>
      <c r="L761" s="16" t="str">
        <f>IF(Data!G751="","",IF(Data!G751=Data_Val!$C$2,IF(Data!L751="",0,1),0))</f>
        <v/>
      </c>
      <c r="M761" s="16" t="str">
        <f>IF(Data!L751="","",IF(ISNUMBER(MATCH(Data!M751,Data_Val!$A$2:$A$3,0)),0,1))</f>
        <v/>
      </c>
      <c r="N761" s="43" t="str">
        <f ca="1">IF(Data!L751="","",IF(ISNUMBER(Data!N751),IF(AND(Data!N751&gt;(TODAY()-(Data_Val!$L$3*365.25)),Data!N751&lt;=(TODAY()-(Data_Val!$L$2*365.25))),0,1),1))</f>
        <v/>
      </c>
      <c r="O761" s="18" t="str">
        <f>IF(Data!$G751="","",IF(Data!$G751=Data_Val!$C$2,IF(Data!O751="",0,1),0))</f>
        <v/>
      </c>
      <c r="P761" s="18" t="str">
        <f>IF(Data!O751="","",IF(ISNUMBER(MATCH(Data!P751,Data_Val!$A$2:$A$3,0)),0,1))</f>
        <v/>
      </c>
      <c r="Q761" s="44" t="str">
        <f ca="1">IF(Data!O751="","",IF(ISNUMBER(Data!Q751),IF(AND(Data!Q751&gt;(TODAY()-(Data_Val!$L$3*365.25)),Data!Q751&lt;=(TODAY()-(Data_Val!$L$2*365.25))),0,1),1))</f>
        <v/>
      </c>
    </row>
    <row r="762" spans="1:17" ht="12" customHeight="1" x14ac:dyDescent="0.25">
      <c r="A762" s="36" t="str">
        <f>IF(Data!B752="","",IF(COUNTIFS(Data!A$1:'Data'!A752,Data!A752)&lt;=1,0,1))</f>
        <v/>
      </c>
      <c r="B762" s="36"/>
      <c r="C762" s="36" t="str">
        <f>IF(Data!C752="","",(IF(ISNUMBER(MATCH("*@*.?*",Data!C752,0)),0,1)+IF(COUNTIFS(Data!C$1:'Data'!C752,Data!C752)&gt;1,1,0)))</f>
        <v/>
      </c>
      <c r="D762" s="36" t="str">
        <f>IF(Data!B752="","",IF(ISNUMBER(Data!D752),IF(AND(Data!D752&gt;999999999,Data!D752&lt;=9999999999),IF(COUNTIFS(Data!D$1:'Data'!D752,Data!D752)&lt;=1,0,1),1),1))</f>
        <v/>
      </c>
      <c r="E762" s="36" t="str">
        <f>IF(Data!B752="","",IF(ISNUMBER(MATCH(Data!E752,Data_Val!$A$2:$A$3,0)),0,1))</f>
        <v/>
      </c>
      <c r="F762" s="36" t="str">
        <f ca="1">IF(Data!B752="","",IF(ISNUMBER(Data!F752),IF(AND(Data!F752&gt;(TODAY()-(Data_Val!$H$3*365.25)),Data!F752&lt;=(TODAY()-(Data_Val!$H$2*365.25))),0,1),1))</f>
        <v/>
      </c>
      <c r="G762" s="12" t="str">
        <f>IF(Data!B752="","",IF(AND(Data!G752="",Data!H752&lt;&gt;""),1,IF(ISNUMBER(MATCH(Data!G752,Data_Val!$C$2:$C$5,0)),0,1)))</f>
        <v/>
      </c>
      <c r="H762" s="12" t="str">
        <f>IF(Data!B752="","",IF(AND(Data!G752&lt;&gt;"",Data!H752=""),1,IF(Data!G752="",1,IF(ISNUMBER(MATCH(Data!H752,Data_Val!$D$2:$D$35,0)),0,1))))</f>
        <v/>
      </c>
      <c r="I762" s="38" t="str">
        <f>IF(Data!G752="","",IF(Data!G752=Data_Val!$C$2,IF(Data!I752="",0,1),0))</f>
        <v/>
      </c>
      <c r="J762" s="38" t="str">
        <f>IF(Data!I752="","",IF(ISNUMBER(MATCH(Data!J752,Data_Val!$A$2:$A$3,0)),0,1))</f>
        <v/>
      </c>
      <c r="K762" s="38" t="str">
        <f ca="1">IF(Data!I752="","",IF(ISNUMBER(Data!K752),IF(AND(Data!K752&gt;(TODAY()-(Data_Val!$K$3*365.25)),Data!K752&lt;=(TODAY()-(Data_Val!$K$2*365.25))),0,1),1))</f>
        <v/>
      </c>
      <c r="L762" s="16" t="str">
        <f>IF(Data!G752="","",IF(Data!G752=Data_Val!$C$2,IF(Data!L752="",0,1),0))</f>
        <v/>
      </c>
      <c r="M762" s="16" t="str">
        <f>IF(Data!L752="","",IF(ISNUMBER(MATCH(Data!M752,Data_Val!$A$2:$A$3,0)),0,1))</f>
        <v/>
      </c>
      <c r="N762" s="43" t="str">
        <f ca="1">IF(Data!L752="","",IF(ISNUMBER(Data!N752),IF(AND(Data!N752&gt;(TODAY()-(Data_Val!$L$3*365.25)),Data!N752&lt;=(TODAY()-(Data_Val!$L$2*365.25))),0,1),1))</f>
        <v/>
      </c>
      <c r="O762" s="18" t="str">
        <f>IF(Data!$G752="","",IF(Data!$G752=Data_Val!$C$2,IF(Data!O752="",0,1),0))</f>
        <v/>
      </c>
      <c r="P762" s="18" t="str">
        <f>IF(Data!O752="","",IF(ISNUMBER(MATCH(Data!P752,Data_Val!$A$2:$A$3,0)),0,1))</f>
        <v/>
      </c>
      <c r="Q762" s="44" t="str">
        <f ca="1">IF(Data!O752="","",IF(ISNUMBER(Data!Q752),IF(AND(Data!Q752&gt;(TODAY()-(Data_Val!$L$3*365.25)),Data!Q752&lt;=(TODAY()-(Data_Val!$L$2*365.25))),0,1),1))</f>
        <v/>
      </c>
    </row>
    <row r="763" spans="1:17" ht="12" customHeight="1" x14ac:dyDescent="0.25">
      <c r="A763" s="36" t="str">
        <f>IF(Data!B753="","",IF(COUNTIFS(Data!A$1:'Data'!A753,Data!A753)&lt;=1,0,1))</f>
        <v/>
      </c>
      <c r="B763" s="36"/>
      <c r="C763" s="36" t="str">
        <f>IF(Data!C753="","",(IF(ISNUMBER(MATCH("*@*.?*",Data!C753,0)),0,1)+IF(COUNTIFS(Data!C$1:'Data'!C753,Data!C753)&gt;1,1,0)))</f>
        <v/>
      </c>
      <c r="D763" s="36" t="str">
        <f>IF(Data!B753="","",IF(ISNUMBER(Data!D753),IF(AND(Data!D753&gt;999999999,Data!D753&lt;=9999999999),IF(COUNTIFS(Data!D$1:'Data'!D753,Data!D753)&lt;=1,0,1),1),1))</f>
        <v/>
      </c>
      <c r="E763" s="36" t="str">
        <f>IF(Data!B753="","",IF(ISNUMBER(MATCH(Data!E753,Data_Val!$A$2:$A$3,0)),0,1))</f>
        <v/>
      </c>
      <c r="F763" s="36" t="str">
        <f ca="1">IF(Data!B753="","",IF(ISNUMBER(Data!F753),IF(AND(Data!F753&gt;(TODAY()-(Data_Val!$H$3*365.25)),Data!F753&lt;=(TODAY()-(Data_Val!$H$2*365.25))),0,1),1))</f>
        <v/>
      </c>
      <c r="G763" s="12" t="str">
        <f>IF(Data!B753="","",IF(AND(Data!G753="",Data!H753&lt;&gt;""),1,IF(ISNUMBER(MATCH(Data!G753,Data_Val!$C$2:$C$5,0)),0,1)))</f>
        <v/>
      </c>
      <c r="H763" s="12" t="str">
        <f>IF(Data!B753="","",IF(AND(Data!G753&lt;&gt;"",Data!H753=""),1,IF(Data!G753="",1,IF(ISNUMBER(MATCH(Data!H753,Data_Val!$D$2:$D$35,0)),0,1))))</f>
        <v/>
      </c>
      <c r="I763" s="38" t="str">
        <f>IF(Data!G753="","",IF(Data!G753=Data_Val!$C$2,IF(Data!I753="",0,1),0))</f>
        <v/>
      </c>
      <c r="J763" s="38" t="str">
        <f>IF(Data!I753="","",IF(ISNUMBER(MATCH(Data!J753,Data_Val!$A$2:$A$3,0)),0,1))</f>
        <v/>
      </c>
      <c r="K763" s="38" t="str">
        <f ca="1">IF(Data!I753="","",IF(ISNUMBER(Data!K753),IF(AND(Data!K753&gt;(TODAY()-(Data_Val!$K$3*365.25)),Data!K753&lt;=(TODAY()-(Data_Val!$K$2*365.25))),0,1),1))</f>
        <v/>
      </c>
      <c r="L763" s="16" t="str">
        <f>IF(Data!G753="","",IF(Data!G753=Data_Val!$C$2,IF(Data!L753="",0,1),0))</f>
        <v/>
      </c>
      <c r="M763" s="16" t="str">
        <f>IF(Data!L753="","",IF(ISNUMBER(MATCH(Data!M753,Data_Val!$A$2:$A$3,0)),0,1))</f>
        <v/>
      </c>
      <c r="N763" s="43" t="str">
        <f ca="1">IF(Data!L753="","",IF(ISNUMBER(Data!N753),IF(AND(Data!N753&gt;(TODAY()-(Data_Val!$L$3*365.25)),Data!N753&lt;=(TODAY()-(Data_Val!$L$2*365.25))),0,1),1))</f>
        <v/>
      </c>
      <c r="O763" s="18" t="str">
        <f>IF(Data!$G753="","",IF(Data!$G753=Data_Val!$C$2,IF(Data!O753="",0,1),0))</f>
        <v/>
      </c>
      <c r="P763" s="18" t="str">
        <f>IF(Data!O753="","",IF(ISNUMBER(MATCH(Data!P753,Data_Val!$A$2:$A$3,0)),0,1))</f>
        <v/>
      </c>
      <c r="Q763" s="44" t="str">
        <f ca="1">IF(Data!O753="","",IF(ISNUMBER(Data!Q753),IF(AND(Data!Q753&gt;(TODAY()-(Data_Val!$L$3*365.25)),Data!Q753&lt;=(TODAY()-(Data_Val!$L$2*365.25))),0,1),1))</f>
        <v/>
      </c>
    </row>
    <row r="764" spans="1:17" ht="12" customHeight="1" x14ac:dyDescent="0.25">
      <c r="A764" s="36" t="str">
        <f>IF(Data!B754="","",IF(COUNTIFS(Data!A$1:'Data'!A754,Data!A754)&lt;=1,0,1))</f>
        <v/>
      </c>
      <c r="B764" s="36"/>
      <c r="C764" s="36" t="str">
        <f>IF(Data!C754="","",(IF(ISNUMBER(MATCH("*@*.?*",Data!C754,0)),0,1)+IF(COUNTIFS(Data!C$1:'Data'!C754,Data!C754)&gt;1,1,0)))</f>
        <v/>
      </c>
      <c r="D764" s="36" t="str">
        <f>IF(Data!B754="","",IF(ISNUMBER(Data!D754),IF(AND(Data!D754&gt;999999999,Data!D754&lt;=9999999999),IF(COUNTIFS(Data!D$1:'Data'!D754,Data!D754)&lt;=1,0,1),1),1))</f>
        <v/>
      </c>
      <c r="E764" s="36" t="str">
        <f>IF(Data!B754="","",IF(ISNUMBER(MATCH(Data!E754,Data_Val!$A$2:$A$3,0)),0,1))</f>
        <v/>
      </c>
      <c r="F764" s="36" t="str">
        <f ca="1">IF(Data!B754="","",IF(ISNUMBER(Data!F754),IF(AND(Data!F754&gt;(TODAY()-(Data_Val!$H$3*365.25)),Data!F754&lt;=(TODAY()-(Data_Val!$H$2*365.25))),0,1),1))</f>
        <v/>
      </c>
      <c r="G764" s="12" t="str">
        <f>IF(Data!B754="","",IF(AND(Data!G754="",Data!H754&lt;&gt;""),1,IF(ISNUMBER(MATCH(Data!G754,Data_Val!$C$2:$C$5,0)),0,1)))</f>
        <v/>
      </c>
      <c r="H764" s="12" t="str">
        <f>IF(Data!B754="","",IF(AND(Data!G754&lt;&gt;"",Data!H754=""),1,IF(Data!G754="",1,IF(ISNUMBER(MATCH(Data!H754,Data_Val!$D$2:$D$35,0)),0,1))))</f>
        <v/>
      </c>
      <c r="I764" s="38" t="str">
        <f>IF(Data!G754="","",IF(Data!G754=Data_Val!$C$2,IF(Data!I754="",0,1),0))</f>
        <v/>
      </c>
      <c r="J764" s="38" t="str">
        <f>IF(Data!I754="","",IF(ISNUMBER(MATCH(Data!J754,Data_Val!$A$2:$A$3,0)),0,1))</f>
        <v/>
      </c>
      <c r="K764" s="38" t="str">
        <f ca="1">IF(Data!I754="","",IF(ISNUMBER(Data!K754),IF(AND(Data!K754&gt;(TODAY()-(Data_Val!$K$3*365.25)),Data!K754&lt;=(TODAY()-(Data_Val!$K$2*365.25))),0,1),1))</f>
        <v/>
      </c>
      <c r="L764" s="16" t="str">
        <f>IF(Data!G754="","",IF(Data!G754=Data_Val!$C$2,IF(Data!L754="",0,1),0))</f>
        <v/>
      </c>
      <c r="M764" s="16" t="str">
        <f>IF(Data!L754="","",IF(ISNUMBER(MATCH(Data!M754,Data_Val!$A$2:$A$3,0)),0,1))</f>
        <v/>
      </c>
      <c r="N764" s="43" t="str">
        <f ca="1">IF(Data!L754="","",IF(ISNUMBER(Data!N754),IF(AND(Data!N754&gt;(TODAY()-(Data_Val!$L$3*365.25)),Data!N754&lt;=(TODAY()-(Data_Val!$L$2*365.25))),0,1),1))</f>
        <v/>
      </c>
      <c r="O764" s="18" t="str">
        <f>IF(Data!$G754="","",IF(Data!$G754=Data_Val!$C$2,IF(Data!O754="",0,1),0))</f>
        <v/>
      </c>
      <c r="P764" s="18" t="str">
        <f>IF(Data!O754="","",IF(ISNUMBER(MATCH(Data!P754,Data_Val!$A$2:$A$3,0)),0,1))</f>
        <v/>
      </c>
      <c r="Q764" s="44" t="str">
        <f ca="1">IF(Data!O754="","",IF(ISNUMBER(Data!Q754),IF(AND(Data!Q754&gt;(TODAY()-(Data_Val!$L$3*365.25)),Data!Q754&lt;=(TODAY()-(Data_Val!$L$2*365.25))),0,1),1))</f>
        <v/>
      </c>
    </row>
    <row r="765" spans="1:17" ht="12" customHeight="1" x14ac:dyDescent="0.25">
      <c r="A765" s="36" t="str">
        <f>IF(Data!B755="","",IF(COUNTIFS(Data!A$1:'Data'!A755,Data!A755)&lt;=1,0,1))</f>
        <v/>
      </c>
      <c r="B765" s="36"/>
      <c r="C765" s="36" t="str">
        <f>IF(Data!C755="","",(IF(ISNUMBER(MATCH("*@*.?*",Data!C755,0)),0,1)+IF(COUNTIFS(Data!C$1:'Data'!C755,Data!C755)&gt;1,1,0)))</f>
        <v/>
      </c>
      <c r="D765" s="36" t="str">
        <f>IF(Data!B755="","",IF(ISNUMBER(Data!D755),IF(AND(Data!D755&gt;999999999,Data!D755&lt;=9999999999),IF(COUNTIFS(Data!D$1:'Data'!D755,Data!D755)&lt;=1,0,1),1),1))</f>
        <v/>
      </c>
      <c r="E765" s="36" t="str">
        <f>IF(Data!B755="","",IF(ISNUMBER(MATCH(Data!E755,Data_Val!$A$2:$A$3,0)),0,1))</f>
        <v/>
      </c>
      <c r="F765" s="36" t="str">
        <f ca="1">IF(Data!B755="","",IF(ISNUMBER(Data!F755),IF(AND(Data!F755&gt;(TODAY()-(Data_Val!$H$3*365.25)),Data!F755&lt;=(TODAY()-(Data_Val!$H$2*365.25))),0,1),1))</f>
        <v/>
      </c>
      <c r="G765" s="12" t="str">
        <f>IF(Data!B755="","",IF(AND(Data!G755="",Data!H755&lt;&gt;""),1,IF(ISNUMBER(MATCH(Data!G755,Data_Val!$C$2:$C$5,0)),0,1)))</f>
        <v/>
      </c>
      <c r="H765" s="12" t="str">
        <f>IF(Data!B755="","",IF(AND(Data!G755&lt;&gt;"",Data!H755=""),1,IF(Data!G755="",1,IF(ISNUMBER(MATCH(Data!H755,Data_Val!$D$2:$D$35,0)),0,1))))</f>
        <v/>
      </c>
      <c r="I765" s="38" t="str">
        <f>IF(Data!G755="","",IF(Data!G755=Data_Val!$C$2,IF(Data!I755="",0,1),0))</f>
        <v/>
      </c>
      <c r="J765" s="38" t="str">
        <f>IF(Data!I755="","",IF(ISNUMBER(MATCH(Data!J755,Data_Val!$A$2:$A$3,0)),0,1))</f>
        <v/>
      </c>
      <c r="K765" s="38" t="str">
        <f ca="1">IF(Data!I755="","",IF(ISNUMBER(Data!K755),IF(AND(Data!K755&gt;(TODAY()-(Data_Val!$K$3*365.25)),Data!K755&lt;=(TODAY()-(Data_Val!$K$2*365.25))),0,1),1))</f>
        <v/>
      </c>
      <c r="L765" s="16" t="str">
        <f>IF(Data!G755="","",IF(Data!G755=Data_Val!$C$2,IF(Data!L755="",0,1),0))</f>
        <v/>
      </c>
      <c r="M765" s="16" t="str">
        <f>IF(Data!L755="","",IF(ISNUMBER(MATCH(Data!M755,Data_Val!$A$2:$A$3,0)),0,1))</f>
        <v/>
      </c>
      <c r="N765" s="43" t="str">
        <f ca="1">IF(Data!L755="","",IF(ISNUMBER(Data!N755),IF(AND(Data!N755&gt;(TODAY()-(Data_Val!$L$3*365.25)),Data!N755&lt;=(TODAY()-(Data_Val!$L$2*365.25))),0,1),1))</f>
        <v/>
      </c>
      <c r="O765" s="18" t="str">
        <f>IF(Data!$G755="","",IF(Data!$G755=Data_Val!$C$2,IF(Data!O755="",0,1),0))</f>
        <v/>
      </c>
      <c r="P765" s="18" t="str">
        <f>IF(Data!O755="","",IF(ISNUMBER(MATCH(Data!P755,Data_Val!$A$2:$A$3,0)),0,1))</f>
        <v/>
      </c>
      <c r="Q765" s="44" t="str">
        <f ca="1">IF(Data!O755="","",IF(ISNUMBER(Data!Q755),IF(AND(Data!Q755&gt;(TODAY()-(Data_Val!$L$3*365.25)),Data!Q755&lt;=(TODAY()-(Data_Val!$L$2*365.25))),0,1),1))</f>
        <v/>
      </c>
    </row>
    <row r="766" spans="1:17" ht="12" customHeight="1" x14ac:dyDescent="0.25">
      <c r="A766" s="36" t="str">
        <f>IF(Data!B756="","",IF(COUNTIFS(Data!A$1:'Data'!A756,Data!A756)&lt;=1,0,1))</f>
        <v/>
      </c>
      <c r="B766" s="36"/>
      <c r="C766" s="36" t="str">
        <f>IF(Data!C756="","",(IF(ISNUMBER(MATCH("*@*.?*",Data!C756,0)),0,1)+IF(COUNTIFS(Data!C$1:'Data'!C756,Data!C756)&gt;1,1,0)))</f>
        <v/>
      </c>
      <c r="D766" s="36" t="str">
        <f>IF(Data!B756="","",IF(ISNUMBER(Data!D756),IF(AND(Data!D756&gt;999999999,Data!D756&lt;=9999999999),IF(COUNTIFS(Data!D$1:'Data'!D756,Data!D756)&lt;=1,0,1),1),1))</f>
        <v/>
      </c>
      <c r="E766" s="36" t="str">
        <f>IF(Data!B756="","",IF(ISNUMBER(MATCH(Data!E756,Data_Val!$A$2:$A$3,0)),0,1))</f>
        <v/>
      </c>
      <c r="F766" s="36" t="str">
        <f ca="1">IF(Data!B756="","",IF(ISNUMBER(Data!F756),IF(AND(Data!F756&gt;(TODAY()-(Data_Val!$H$3*365.25)),Data!F756&lt;=(TODAY()-(Data_Val!$H$2*365.25))),0,1),1))</f>
        <v/>
      </c>
      <c r="G766" s="12" t="str">
        <f>IF(Data!B756="","",IF(AND(Data!G756="",Data!H756&lt;&gt;""),1,IF(ISNUMBER(MATCH(Data!G756,Data_Val!$C$2:$C$5,0)),0,1)))</f>
        <v/>
      </c>
      <c r="H766" s="12" t="str">
        <f>IF(Data!B756="","",IF(AND(Data!G756&lt;&gt;"",Data!H756=""),1,IF(Data!G756="",1,IF(ISNUMBER(MATCH(Data!H756,Data_Val!$D$2:$D$35,0)),0,1))))</f>
        <v/>
      </c>
      <c r="I766" s="38" t="str">
        <f>IF(Data!G756="","",IF(Data!G756=Data_Val!$C$2,IF(Data!I756="",0,1),0))</f>
        <v/>
      </c>
      <c r="J766" s="38" t="str">
        <f>IF(Data!I756="","",IF(ISNUMBER(MATCH(Data!J756,Data_Val!$A$2:$A$3,0)),0,1))</f>
        <v/>
      </c>
      <c r="K766" s="38" t="str">
        <f ca="1">IF(Data!I756="","",IF(ISNUMBER(Data!K756),IF(AND(Data!K756&gt;(TODAY()-(Data_Val!$K$3*365.25)),Data!K756&lt;=(TODAY()-(Data_Val!$K$2*365.25))),0,1),1))</f>
        <v/>
      </c>
      <c r="L766" s="16" t="str">
        <f>IF(Data!G756="","",IF(Data!G756=Data_Val!$C$2,IF(Data!L756="",0,1),0))</f>
        <v/>
      </c>
      <c r="M766" s="16" t="str">
        <f>IF(Data!L756="","",IF(ISNUMBER(MATCH(Data!M756,Data_Val!$A$2:$A$3,0)),0,1))</f>
        <v/>
      </c>
      <c r="N766" s="43" t="str">
        <f ca="1">IF(Data!L756="","",IF(ISNUMBER(Data!N756),IF(AND(Data!N756&gt;(TODAY()-(Data_Val!$L$3*365.25)),Data!N756&lt;=(TODAY()-(Data_Val!$L$2*365.25))),0,1),1))</f>
        <v/>
      </c>
      <c r="O766" s="18" t="str">
        <f>IF(Data!$G756="","",IF(Data!$G756=Data_Val!$C$2,IF(Data!O756="",0,1),0))</f>
        <v/>
      </c>
      <c r="P766" s="18" t="str">
        <f>IF(Data!O756="","",IF(ISNUMBER(MATCH(Data!P756,Data_Val!$A$2:$A$3,0)),0,1))</f>
        <v/>
      </c>
      <c r="Q766" s="44" t="str">
        <f ca="1">IF(Data!O756="","",IF(ISNUMBER(Data!Q756),IF(AND(Data!Q756&gt;(TODAY()-(Data_Val!$L$3*365.25)),Data!Q756&lt;=(TODAY()-(Data_Val!$L$2*365.25))),0,1),1))</f>
        <v/>
      </c>
    </row>
    <row r="767" spans="1:17" ht="12" customHeight="1" x14ac:dyDescent="0.25">
      <c r="A767" s="36" t="str">
        <f>IF(Data!B757="","",IF(COUNTIFS(Data!A$1:'Data'!A757,Data!A757)&lt;=1,0,1))</f>
        <v/>
      </c>
      <c r="B767" s="36"/>
      <c r="C767" s="36" t="str">
        <f>IF(Data!C757="","",(IF(ISNUMBER(MATCH("*@*.?*",Data!C757,0)),0,1)+IF(COUNTIFS(Data!C$1:'Data'!C757,Data!C757)&gt;1,1,0)))</f>
        <v/>
      </c>
      <c r="D767" s="36" t="str">
        <f>IF(Data!B757="","",IF(ISNUMBER(Data!D757),IF(AND(Data!D757&gt;999999999,Data!D757&lt;=9999999999),IF(COUNTIFS(Data!D$1:'Data'!D757,Data!D757)&lt;=1,0,1),1),1))</f>
        <v/>
      </c>
      <c r="E767" s="36" t="str">
        <f>IF(Data!B757="","",IF(ISNUMBER(MATCH(Data!E757,Data_Val!$A$2:$A$3,0)),0,1))</f>
        <v/>
      </c>
      <c r="F767" s="36" t="str">
        <f ca="1">IF(Data!B757="","",IF(ISNUMBER(Data!F757),IF(AND(Data!F757&gt;(TODAY()-(Data_Val!$H$3*365.25)),Data!F757&lt;=(TODAY()-(Data_Val!$H$2*365.25))),0,1),1))</f>
        <v/>
      </c>
      <c r="G767" s="12" t="str">
        <f>IF(Data!B757="","",IF(AND(Data!G757="",Data!H757&lt;&gt;""),1,IF(ISNUMBER(MATCH(Data!G757,Data_Val!$C$2:$C$5,0)),0,1)))</f>
        <v/>
      </c>
      <c r="H767" s="12" t="str">
        <f>IF(Data!B757="","",IF(AND(Data!G757&lt;&gt;"",Data!H757=""),1,IF(Data!G757="",1,IF(ISNUMBER(MATCH(Data!H757,Data_Val!$D$2:$D$35,0)),0,1))))</f>
        <v/>
      </c>
      <c r="I767" s="38" t="str">
        <f>IF(Data!G757="","",IF(Data!G757=Data_Val!$C$2,IF(Data!I757="",0,1),0))</f>
        <v/>
      </c>
      <c r="J767" s="38" t="str">
        <f>IF(Data!I757="","",IF(ISNUMBER(MATCH(Data!J757,Data_Val!$A$2:$A$3,0)),0,1))</f>
        <v/>
      </c>
      <c r="K767" s="38" t="str">
        <f ca="1">IF(Data!I757="","",IF(ISNUMBER(Data!K757),IF(AND(Data!K757&gt;(TODAY()-(Data_Val!$K$3*365.25)),Data!K757&lt;=(TODAY()-(Data_Val!$K$2*365.25))),0,1),1))</f>
        <v/>
      </c>
      <c r="L767" s="16" t="str">
        <f>IF(Data!G757="","",IF(Data!G757=Data_Val!$C$2,IF(Data!L757="",0,1),0))</f>
        <v/>
      </c>
      <c r="M767" s="16" t="str">
        <f>IF(Data!L757="","",IF(ISNUMBER(MATCH(Data!M757,Data_Val!$A$2:$A$3,0)),0,1))</f>
        <v/>
      </c>
      <c r="N767" s="43" t="str">
        <f ca="1">IF(Data!L757="","",IF(ISNUMBER(Data!N757),IF(AND(Data!N757&gt;(TODAY()-(Data_Val!$L$3*365.25)),Data!N757&lt;=(TODAY()-(Data_Val!$L$2*365.25))),0,1),1))</f>
        <v/>
      </c>
      <c r="O767" s="18" t="str">
        <f>IF(Data!$G757="","",IF(Data!$G757=Data_Val!$C$2,IF(Data!O757="",0,1),0))</f>
        <v/>
      </c>
      <c r="P767" s="18" t="str">
        <f>IF(Data!O757="","",IF(ISNUMBER(MATCH(Data!P757,Data_Val!$A$2:$A$3,0)),0,1))</f>
        <v/>
      </c>
      <c r="Q767" s="44" t="str">
        <f ca="1">IF(Data!O757="","",IF(ISNUMBER(Data!Q757),IF(AND(Data!Q757&gt;(TODAY()-(Data_Val!$L$3*365.25)),Data!Q757&lt;=(TODAY()-(Data_Val!$L$2*365.25))),0,1),1))</f>
        <v/>
      </c>
    </row>
    <row r="768" spans="1:17" ht="12" customHeight="1" x14ac:dyDescent="0.25">
      <c r="A768" s="36" t="str">
        <f>IF(Data!B758="","",IF(COUNTIFS(Data!A$1:'Data'!A758,Data!A758)&lt;=1,0,1))</f>
        <v/>
      </c>
      <c r="B768" s="36"/>
      <c r="C768" s="36" t="str">
        <f>IF(Data!C758="","",(IF(ISNUMBER(MATCH("*@*.?*",Data!C758,0)),0,1)+IF(COUNTIFS(Data!C$1:'Data'!C758,Data!C758)&gt;1,1,0)))</f>
        <v/>
      </c>
      <c r="D768" s="36" t="str">
        <f>IF(Data!B758="","",IF(ISNUMBER(Data!D758),IF(AND(Data!D758&gt;999999999,Data!D758&lt;=9999999999),IF(COUNTIFS(Data!D$1:'Data'!D758,Data!D758)&lt;=1,0,1),1),1))</f>
        <v/>
      </c>
      <c r="E768" s="36" t="str">
        <f>IF(Data!B758="","",IF(ISNUMBER(MATCH(Data!E758,Data_Val!$A$2:$A$3,0)),0,1))</f>
        <v/>
      </c>
      <c r="F768" s="36" t="str">
        <f ca="1">IF(Data!B758="","",IF(ISNUMBER(Data!F758),IF(AND(Data!F758&gt;(TODAY()-(Data_Val!$H$3*365.25)),Data!F758&lt;=(TODAY()-(Data_Val!$H$2*365.25))),0,1),1))</f>
        <v/>
      </c>
      <c r="G768" s="12" t="str">
        <f>IF(Data!B758="","",IF(AND(Data!G758="",Data!H758&lt;&gt;""),1,IF(ISNUMBER(MATCH(Data!G758,Data_Val!$C$2:$C$5,0)),0,1)))</f>
        <v/>
      </c>
      <c r="H768" s="12" t="str">
        <f>IF(Data!B758="","",IF(AND(Data!G758&lt;&gt;"",Data!H758=""),1,IF(Data!G758="",1,IF(ISNUMBER(MATCH(Data!H758,Data_Val!$D$2:$D$35,0)),0,1))))</f>
        <v/>
      </c>
      <c r="I768" s="38" t="str">
        <f>IF(Data!G758="","",IF(Data!G758=Data_Val!$C$2,IF(Data!I758="",0,1),0))</f>
        <v/>
      </c>
      <c r="J768" s="38" t="str">
        <f>IF(Data!I758="","",IF(ISNUMBER(MATCH(Data!J758,Data_Val!$A$2:$A$3,0)),0,1))</f>
        <v/>
      </c>
      <c r="K768" s="38" t="str">
        <f ca="1">IF(Data!I758="","",IF(ISNUMBER(Data!K758),IF(AND(Data!K758&gt;(TODAY()-(Data_Val!$K$3*365.25)),Data!K758&lt;=(TODAY()-(Data_Val!$K$2*365.25))),0,1),1))</f>
        <v/>
      </c>
      <c r="L768" s="16" t="str">
        <f>IF(Data!G758="","",IF(Data!G758=Data_Val!$C$2,IF(Data!L758="",0,1),0))</f>
        <v/>
      </c>
      <c r="M768" s="16" t="str">
        <f>IF(Data!L758="","",IF(ISNUMBER(MATCH(Data!M758,Data_Val!$A$2:$A$3,0)),0,1))</f>
        <v/>
      </c>
      <c r="N768" s="43" t="str">
        <f ca="1">IF(Data!L758="","",IF(ISNUMBER(Data!N758),IF(AND(Data!N758&gt;(TODAY()-(Data_Val!$L$3*365.25)),Data!N758&lt;=(TODAY()-(Data_Val!$L$2*365.25))),0,1),1))</f>
        <v/>
      </c>
      <c r="O768" s="18" t="str">
        <f>IF(Data!$G758="","",IF(Data!$G758=Data_Val!$C$2,IF(Data!O758="",0,1),0))</f>
        <v/>
      </c>
      <c r="P768" s="18" t="str">
        <f>IF(Data!O758="","",IF(ISNUMBER(MATCH(Data!P758,Data_Val!$A$2:$A$3,0)),0,1))</f>
        <v/>
      </c>
      <c r="Q768" s="44" t="str">
        <f ca="1">IF(Data!O758="","",IF(ISNUMBER(Data!Q758),IF(AND(Data!Q758&gt;(TODAY()-(Data_Val!$L$3*365.25)),Data!Q758&lt;=(TODAY()-(Data_Val!$L$2*365.25))),0,1),1))</f>
        <v/>
      </c>
    </row>
    <row r="769" spans="1:17" ht="12" customHeight="1" x14ac:dyDescent="0.25">
      <c r="A769" s="36" t="str">
        <f>IF(Data!B759="","",IF(COUNTIFS(Data!A$1:'Data'!A759,Data!A759)&lt;=1,0,1))</f>
        <v/>
      </c>
      <c r="B769" s="36"/>
      <c r="C769" s="36" t="str">
        <f>IF(Data!C759="","",(IF(ISNUMBER(MATCH("*@*.?*",Data!C759,0)),0,1)+IF(COUNTIFS(Data!C$1:'Data'!C759,Data!C759)&gt;1,1,0)))</f>
        <v/>
      </c>
      <c r="D769" s="36" t="str">
        <f>IF(Data!B759="","",IF(ISNUMBER(Data!D759),IF(AND(Data!D759&gt;999999999,Data!D759&lt;=9999999999),IF(COUNTIFS(Data!D$1:'Data'!D759,Data!D759)&lt;=1,0,1),1),1))</f>
        <v/>
      </c>
      <c r="E769" s="36" t="str">
        <f>IF(Data!B759="","",IF(ISNUMBER(MATCH(Data!E759,Data_Val!$A$2:$A$3,0)),0,1))</f>
        <v/>
      </c>
      <c r="F769" s="36" t="str">
        <f ca="1">IF(Data!B759="","",IF(ISNUMBER(Data!F759),IF(AND(Data!F759&gt;(TODAY()-(Data_Val!$H$3*365.25)),Data!F759&lt;=(TODAY()-(Data_Val!$H$2*365.25))),0,1),1))</f>
        <v/>
      </c>
      <c r="G769" s="12" t="str">
        <f>IF(Data!B759="","",IF(AND(Data!G759="",Data!H759&lt;&gt;""),1,IF(ISNUMBER(MATCH(Data!G759,Data_Val!$C$2:$C$5,0)),0,1)))</f>
        <v/>
      </c>
      <c r="H769" s="12" t="str">
        <f>IF(Data!B759="","",IF(AND(Data!G759&lt;&gt;"",Data!H759=""),1,IF(Data!G759="",1,IF(ISNUMBER(MATCH(Data!H759,Data_Val!$D$2:$D$35,0)),0,1))))</f>
        <v/>
      </c>
      <c r="I769" s="38" t="str">
        <f>IF(Data!G759="","",IF(Data!G759=Data_Val!$C$2,IF(Data!I759="",0,1),0))</f>
        <v/>
      </c>
      <c r="J769" s="38" t="str">
        <f>IF(Data!I759="","",IF(ISNUMBER(MATCH(Data!J759,Data_Val!$A$2:$A$3,0)),0,1))</f>
        <v/>
      </c>
      <c r="K769" s="38" t="str">
        <f ca="1">IF(Data!I759="","",IF(ISNUMBER(Data!K759),IF(AND(Data!K759&gt;(TODAY()-(Data_Val!$K$3*365.25)),Data!K759&lt;=(TODAY()-(Data_Val!$K$2*365.25))),0,1),1))</f>
        <v/>
      </c>
      <c r="L769" s="16" t="str">
        <f>IF(Data!G759="","",IF(Data!G759=Data_Val!$C$2,IF(Data!L759="",0,1),0))</f>
        <v/>
      </c>
      <c r="M769" s="16" t="str">
        <f>IF(Data!L759="","",IF(ISNUMBER(MATCH(Data!M759,Data_Val!$A$2:$A$3,0)),0,1))</f>
        <v/>
      </c>
      <c r="N769" s="43" t="str">
        <f ca="1">IF(Data!L759="","",IF(ISNUMBER(Data!N759),IF(AND(Data!N759&gt;(TODAY()-(Data_Val!$L$3*365.25)),Data!N759&lt;=(TODAY()-(Data_Val!$L$2*365.25))),0,1),1))</f>
        <v/>
      </c>
      <c r="O769" s="18" t="str">
        <f>IF(Data!$G759="","",IF(Data!$G759=Data_Val!$C$2,IF(Data!O759="",0,1),0))</f>
        <v/>
      </c>
      <c r="P769" s="18" t="str">
        <f>IF(Data!O759="","",IF(ISNUMBER(MATCH(Data!P759,Data_Val!$A$2:$A$3,0)),0,1))</f>
        <v/>
      </c>
      <c r="Q769" s="44" t="str">
        <f ca="1">IF(Data!O759="","",IF(ISNUMBER(Data!Q759),IF(AND(Data!Q759&gt;(TODAY()-(Data_Val!$L$3*365.25)),Data!Q759&lt;=(TODAY()-(Data_Val!$L$2*365.25))),0,1),1))</f>
        <v/>
      </c>
    </row>
    <row r="770" spans="1:17" ht="12" customHeight="1" x14ac:dyDescent="0.25">
      <c r="A770" s="36" t="str">
        <f>IF(Data!B760="","",IF(COUNTIFS(Data!A$1:'Data'!A760,Data!A760)&lt;=1,0,1))</f>
        <v/>
      </c>
      <c r="B770" s="36"/>
      <c r="C770" s="36" t="str">
        <f>IF(Data!C760="","",(IF(ISNUMBER(MATCH("*@*.?*",Data!C760,0)),0,1)+IF(COUNTIFS(Data!C$1:'Data'!C760,Data!C760)&gt;1,1,0)))</f>
        <v/>
      </c>
      <c r="D770" s="36" t="str">
        <f>IF(Data!B760="","",IF(ISNUMBER(Data!D760),IF(AND(Data!D760&gt;999999999,Data!D760&lt;=9999999999),IF(COUNTIFS(Data!D$1:'Data'!D760,Data!D760)&lt;=1,0,1),1),1))</f>
        <v/>
      </c>
      <c r="E770" s="36" t="str">
        <f>IF(Data!B760="","",IF(ISNUMBER(MATCH(Data!E760,Data_Val!$A$2:$A$3,0)),0,1))</f>
        <v/>
      </c>
      <c r="F770" s="36" t="str">
        <f ca="1">IF(Data!B760="","",IF(ISNUMBER(Data!F760),IF(AND(Data!F760&gt;(TODAY()-(Data_Val!$H$3*365.25)),Data!F760&lt;=(TODAY()-(Data_Val!$H$2*365.25))),0,1),1))</f>
        <v/>
      </c>
      <c r="G770" s="12" t="str">
        <f>IF(Data!B760="","",IF(AND(Data!G760="",Data!H760&lt;&gt;""),1,IF(ISNUMBER(MATCH(Data!G760,Data_Val!$C$2:$C$5,0)),0,1)))</f>
        <v/>
      </c>
      <c r="H770" s="12" t="str">
        <f>IF(Data!B760="","",IF(AND(Data!G760&lt;&gt;"",Data!H760=""),1,IF(Data!G760="",1,IF(ISNUMBER(MATCH(Data!H760,Data_Val!$D$2:$D$35,0)),0,1))))</f>
        <v/>
      </c>
      <c r="I770" s="38" t="str">
        <f>IF(Data!G760="","",IF(Data!G760=Data_Val!$C$2,IF(Data!I760="",0,1),0))</f>
        <v/>
      </c>
      <c r="J770" s="38" t="str">
        <f>IF(Data!I760="","",IF(ISNUMBER(MATCH(Data!J760,Data_Val!$A$2:$A$3,0)),0,1))</f>
        <v/>
      </c>
      <c r="K770" s="38" t="str">
        <f ca="1">IF(Data!I760="","",IF(ISNUMBER(Data!K760),IF(AND(Data!K760&gt;(TODAY()-(Data_Val!$K$3*365.25)),Data!K760&lt;=(TODAY()-(Data_Val!$K$2*365.25))),0,1),1))</f>
        <v/>
      </c>
      <c r="L770" s="16" t="str">
        <f>IF(Data!G760="","",IF(Data!G760=Data_Val!$C$2,IF(Data!L760="",0,1),0))</f>
        <v/>
      </c>
      <c r="M770" s="16" t="str">
        <f>IF(Data!L760="","",IF(ISNUMBER(MATCH(Data!M760,Data_Val!$A$2:$A$3,0)),0,1))</f>
        <v/>
      </c>
      <c r="N770" s="43" t="str">
        <f ca="1">IF(Data!L760="","",IF(ISNUMBER(Data!N760),IF(AND(Data!N760&gt;(TODAY()-(Data_Val!$L$3*365.25)),Data!N760&lt;=(TODAY()-(Data_Val!$L$2*365.25))),0,1),1))</f>
        <v/>
      </c>
      <c r="O770" s="18" t="str">
        <f>IF(Data!$G760="","",IF(Data!$G760=Data_Val!$C$2,IF(Data!O760="",0,1),0))</f>
        <v/>
      </c>
      <c r="P770" s="18" t="str">
        <f>IF(Data!O760="","",IF(ISNUMBER(MATCH(Data!P760,Data_Val!$A$2:$A$3,0)),0,1))</f>
        <v/>
      </c>
      <c r="Q770" s="44" t="str">
        <f ca="1">IF(Data!O760="","",IF(ISNUMBER(Data!Q760),IF(AND(Data!Q760&gt;(TODAY()-(Data_Val!$L$3*365.25)),Data!Q760&lt;=(TODAY()-(Data_Val!$L$2*365.25))),0,1),1))</f>
        <v/>
      </c>
    </row>
    <row r="771" spans="1:17" ht="12" customHeight="1" x14ac:dyDescent="0.25">
      <c r="A771" s="36" t="str">
        <f>IF(Data!B761="","",IF(COUNTIFS(Data!A$1:'Data'!A761,Data!A761)&lt;=1,0,1))</f>
        <v/>
      </c>
      <c r="B771" s="36"/>
      <c r="C771" s="36" t="str">
        <f>IF(Data!C761="","",(IF(ISNUMBER(MATCH("*@*.?*",Data!C761,0)),0,1)+IF(COUNTIFS(Data!C$1:'Data'!C761,Data!C761)&gt;1,1,0)))</f>
        <v/>
      </c>
      <c r="D771" s="36" t="str">
        <f>IF(Data!B761="","",IF(ISNUMBER(Data!D761),IF(AND(Data!D761&gt;999999999,Data!D761&lt;=9999999999),IF(COUNTIFS(Data!D$1:'Data'!D761,Data!D761)&lt;=1,0,1),1),1))</f>
        <v/>
      </c>
      <c r="E771" s="36" t="str">
        <f>IF(Data!B761="","",IF(ISNUMBER(MATCH(Data!E761,Data_Val!$A$2:$A$3,0)),0,1))</f>
        <v/>
      </c>
      <c r="F771" s="36" t="str">
        <f ca="1">IF(Data!B761="","",IF(ISNUMBER(Data!F761),IF(AND(Data!F761&gt;(TODAY()-(Data_Val!$H$3*365.25)),Data!F761&lt;=(TODAY()-(Data_Val!$H$2*365.25))),0,1),1))</f>
        <v/>
      </c>
      <c r="G771" s="12" t="str">
        <f>IF(Data!B761="","",IF(AND(Data!G761="",Data!H761&lt;&gt;""),1,IF(ISNUMBER(MATCH(Data!G761,Data_Val!$C$2:$C$5,0)),0,1)))</f>
        <v/>
      </c>
      <c r="H771" s="12" t="str">
        <f>IF(Data!B761="","",IF(AND(Data!G761&lt;&gt;"",Data!H761=""),1,IF(Data!G761="",1,IF(ISNUMBER(MATCH(Data!H761,Data_Val!$D$2:$D$35,0)),0,1))))</f>
        <v/>
      </c>
      <c r="I771" s="38" t="str">
        <f>IF(Data!G761="","",IF(Data!G761=Data_Val!$C$2,IF(Data!I761="",0,1),0))</f>
        <v/>
      </c>
      <c r="J771" s="38" t="str">
        <f>IF(Data!I761="","",IF(ISNUMBER(MATCH(Data!J761,Data_Val!$A$2:$A$3,0)),0,1))</f>
        <v/>
      </c>
      <c r="K771" s="38" t="str">
        <f ca="1">IF(Data!I761="","",IF(ISNUMBER(Data!K761),IF(AND(Data!K761&gt;(TODAY()-(Data_Val!$K$3*365.25)),Data!K761&lt;=(TODAY()-(Data_Val!$K$2*365.25))),0,1),1))</f>
        <v/>
      </c>
      <c r="L771" s="16" t="str">
        <f>IF(Data!G761="","",IF(Data!G761=Data_Val!$C$2,IF(Data!L761="",0,1),0))</f>
        <v/>
      </c>
      <c r="M771" s="16" t="str">
        <f>IF(Data!L761="","",IF(ISNUMBER(MATCH(Data!M761,Data_Val!$A$2:$A$3,0)),0,1))</f>
        <v/>
      </c>
      <c r="N771" s="43" t="str">
        <f ca="1">IF(Data!L761="","",IF(ISNUMBER(Data!N761),IF(AND(Data!N761&gt;(TODAY()-(Data_Val!$L$3*365.25)),Data!N761&lt;=(TODAY()-(Data_Val!$L$2*365.25))),0,1),1))</f>
        <v/>
      </c>
      <c r="O771" s="18" t="str">
        <f>IF(Data!$G761="","",IF(Data!$G761=Data_Val!$C$2,IF(Data!O761="",0,1),0))</f>
        <v/>
      </c>
      <c r="P771" s="18" t="str">
        <f>IF(Data!O761="","",IF(ISNUMBER(MATCH(Data!P761,Data_Val!$A$2:$A$3,0)),0,1))</f>
        <v/>
      </c>
      <c r="Q771" s="44" t="str">
        <f ca="1">IF(Data!O761="","",IF(ISNUMBER(Data!Q761),IF(AND(Data!Q761&gt;(TODAY()-(Data_Val!$L$3*365.25)),Data!Q761&lt;=(TODAY()-(Data_Val!$L$2*365.25))),0,1),1))</f>
        <v/>
      </c>
    </row>
    <row r="772" spans="1:17" ht="12" customHeight="1" x14ac:dyDescent="0.25">
      <c r="A772" s="36" t="str">
        <f>IF(Data!B762="","",IF(COUNTIFS(Data!A$1:'Data'!A762,Data!A762)&lt;=1,0,1))</f>
        <v/>
      </c>
      <c r="B772" s="36"/>
      <c r="C772" s="36" t="str">
        <f>IF(Data!C762="","",(IF(ISNUMBER(MATCH("*@*.?*",Data!C762,0)),0,1)+IF(COUNTIFS(Data!C$1:'Data'!C762,Data!C762)&gt;1,1,0)))</f>
        <v/>
      </c>
      <c r="D772" s="36" t="str">
        <f>IF(Data!B762="","",IF(ISNUMBER(Data!D762),IF(AND(Data!D762&gt;999999999,Data!D762&lt;=9999999999),IF(COUNTIFS(Data!D$1:'Data'!D762,Data!D762)&lt;=1,0,1),1),1))</f>
        <v/>
      </c>
      <c r="E772" s="36" t="str">
        <f>IF(Data!B762="","",IF(ISNUMBER(MATCH(Data!E762,Data_Val!$A$2:$A$3,0)),0,1))</f>
        <v/>
      </c>
      <c r="F772" s="36" t="str">
        <f ca="1">IF(Data!B762="","",IF(ISNUMBER(Data!F762),IF(AND(Data!F762&gt;(TODAY()-(Data_Val!$H$3*365.25)),Data!F762&lt;=(TODAY()-(Data_Val!$H$2*365.25))),0,1),1))</f>
        <v/>
      </c>
      <c r="G772" s="12" t="str">
        <f>IF(Data!B762="","",IF(AND(Data!G762="",Data!H762&lt;&gt;""),1,IF(ISNUMBER(MATCH(Data!G762,Data_Val!$C$2:$C$5,0)),0,1)))</f>
        <v/>
      </c>
      <c r="H772" s="12" t="str">
        <f>IF(Data!B762="","",IF(AND(Data!G762&lt;&gt;"",Data!H762=""),1,IF(Data!G762="",1,IF(ISNUMBER(MATCH(Data!H762,Data_Val!$D$2:$D$35,0)),0,1))))</f>
        <v/>
      </c>
      <c r="I772" s="38" t="str">
        <f>IF(Data!G762="","",IF(Data!G762=Data_Val!$C$2,IF(Data!I762="",0,1),0))</f>
        <v/>
      </c>
      <c r="J772" s="38" t="str">
        <f>IF(Data!I762="","",IF(ISNUMBER(MATCH(Data!J762,Data_Val!$A$2:$A$3,0)),0,1))</f>
        <v/>
      </c>
      <c r="K772" s="38" t="str">
        <f ca="1">IF(Data!I762="","",IF(ISNUMBER(Data!K762),IF(AND(Data!K762&gt;(TODAY()-(Data_Val!$K$3*365.25)),Data!K762&lt;=(TODAY()-(Data_Val!$K$2*365.25))),0,1),1))</f>
        <v/>
      </c>
      <c r="L772" s="16" t="str">
        <f>IF(Data!G762="","",IF(Data!G762=Data_Val!$C$2,IF(Data!L762="",0,1),0))</f>
        <v/>
      </c>
      <c r="M772" s="16" t="str">
        <f>IF(Data!L762="","",IF(ISNUMBER(MATCH(Data!M762,Data_Val!$A$2:$A$3,0)),0,1))</f>
        <v/>
      </c>
      <c r="N772" s="43" t="str">
        <f ca="1">IF(Data!L762="","",IF(ISNUMBER(Data!N762),IF(AND(Data!N762&gt;(TODAY()-(Data_Val!$L$3*365.25)),Data!N762&lt;=(TODAY()-(Data_Val!$L$2*365.25))),0,1),1))</f>
        <v/>
      </c>
      <c r="O772" s="18" t="str">
        <f>IF(Data!$G762="","",IF(Data!$G762=Data_Val!$C$2,IF(Data!O762="",0,1),0))</f>
        <v/>
      </c>
      <c r="P772" s="18" t="str">
        <f>IF(Data!O762="","",IF(ISNUMBER(MATCH(Data!P762,Data_Val!$A$2:$A$3,0)),0,1))</f>
        <v/>
      </c>
      <c r="Q772" s="44" t="str">
        <f ca="1">IF(Data!O762="","",IF(ISNUMBER(Data!Q762),IF(AND(Data!Q762&gt;(TODAY()-(Data_Val!$L$3*365.25)),Data!Q762&lt;=(TODAY()-(Data_Val!$L$2*365.25))),0,1),1))</f>
        <v/>
      </c>
    </row>
    <row r="773" spans="1:17" ht="12" customHeight="1" x14ac:dyDescent="0.25">
      <c r="A773" s="36" t="str">
        <f>IF(Data!B763="","",IF(COUNTIFS(Data!A$1:'Data'!A763,Data!A763)&lt;=1,0,1))</f>
        <v/>
      </c>
      <c r="B773" s="36"/>
      <c r="C773" s="36" t="str">
        <f>IF(Data!C763="","",(IF(ISNUMBER(MATCH("*@*.?*",Data!C763,0)),0,1)+IF(COUNTIFS(Data!C$1:'Data'!C763,Data!C763)&gt;1,1,0)))</f>
        <v/>
      </c>
      <c r="D773" s="36" t="str">
        <f>IF(Data!B763="","",IF(ISNUMBER(Data!D763),IF(AND(Data!D763&gt;999999999,Data!D763&lt;=9999999999),IF(COUNTIFS(Data!D$1:'Data'!D763,Data!D763)&lt;=1,0,1),1),1))</f>
        <v/>
      </c>
      <c r="E773" s="36" t="str">
        <f>IF(Data!B763="","",IF(ISNUMBER(MATCH(Data!E763,Data_Val!$A$2:$A$3,0)),0,1))</f>
        <v/>
      </c>
      <c r="F773" s="36" t="str">
        <f ca="1">IF(Data!B763="","",IF(ISNUMBER(Data!F763),IF(AND(Data!F763&gt;(TODAY()-(Data_Val!$H$3*365.25)),Data!F763&lt;=(TODAY()-(Data_Val!$H$2*365.25))),0,1),1))</f>
        <v/>
      </c>
      <c r="G773" s="12" t="str">
        <f>IF(Data!B763="","",IF(AND(Data!G763="",Data!H763&lt;&gt;""),1,IF(ISNUMBER(MATCH(Data!G763,Data_Val!$C$2:$C$5,0)),0,1)))</f>
        <v/>
      </c>
      <c r="H773" s="12" t="str">
        <f>IF(Data!B763="","",IF(AND(Data!G763&lt;&gt;"",Data!H763=""),1,IF(Data!G763="",1,IF(ISNUMBER(MATCH(Data!H763,Data_Val!$D$2:$D$35,0)),0,1))))</f>
        <v/>
      </c>
      <c r="I773" s="38" t="str">
        <f>IF(Data!G763="","",IF(Data!G763=Data_Val!$C$2,IF(Data!I763="",0,1),0))</f>
        <v/>
      </c>
      <c r="J773" s="38" t="str">
        <f>IF(Data!I763="","",IF(ISNUMBER(MATCH(Data!J763,Data_Val!$A$2:$A$3,0)),0,1))</f>
        <v/>
      </c>
      <c r="K773" s="38" t="str">
        <f ca="1">IF(Data!I763="","",IF(ISNUMBER(Data!K763),IF(AND(Data!K763&gt;(TODAY()-(Data_Val!$K$3*365.25)),Data!K763&lt;=(TODAY()-(Data_Val!$K$2*365.25))),0,1),1))</f>
        <v/>
      </c>
      <c r="L773" s="16" t="str">
        <f>IF(Data!G763="","",IF(Data!G763=Data_Val!$C$2,IF(Data!L763="",0,1),0))</f>
        <v/>
      </c>
      <c r="M773" s="16" t="str">
        <f>IF(Data!L763="","",IF(ISNUMBER(MATCH(Data!M763,Data_Val!$A$2:$A$3,0)),0,1))</f>
        <v/>
      </c>
      <c r="N773" s="43" t="str">
        <f ca="1">IF(Data!L763="","",IF(ISNUMBER(Data!N763),IF(AND(Data!N763&gt;(TODAY()-(Data_Val!$L$3*365.25)),Data!N763&lt;=(TODAY()-(Data_Val!$L$2*365.25))),0,1),1))</f>
        <v/>
      </c>
      <c r="O773" s="18" t="str">
        <f>IF(Data!$G763="","",IF(Data!$G763=Data_Val!$C$2,IF(Data!O763="",0,1),0))</f>
        <v/>
      </c>
      <c r="P773" s="18" t="str">
        <f>IF(Data!O763="","",IF(ISNUMBER(MATCH(Data!P763,Data_Val!$A$2:$A$3,0)),0,1))</f>
        <v/>
      </c>
      <c r="Q773" s="44" t="str">
        <f ca="1">IF(Data!O763="","",IF(ISNUMBER(Data!Q763),IF(AND(Data!Q763&gt;(TODAY()-(Data_Val!$L$3*365.25)),Data!Q763&lt;=(TODAY()-(Data_Val!$L$2*365.25))),0,1),1))</f>
        <v/>
      </c>
    </row>
    <row r="774" spans="1:17" ht="12" customHeight="1" x14ac:dyDescent="0.25">
      <c r="A774" s="36" t="str">
        <f>IF(Data!B764="","",IF(COUNTIFS(Data!A$1:'Data'!A764,Data!A764)&lt;=1,0,1))</f>
        <v/>
      </c>
      <c r="B774" s="36"/>
      <c r="C774" s="36" t="str">
        <f>IF(Data!C764="","",(IF(ISNUMBER(MATCH("*@*.?*",Data!C764,0)),0,1)+IF(COUNTIFS(Data!C$1:'Data'!C764,Data!C764)&gt;1,1,0)))</f>
        <v/>
      </c>
      <c r="D774" s="36" t="str">
        <f>IF(Data!B764="","",IF(ISNUMBER(Data!D764),IF(AND(Data!D764&gt;999999999,Data!D764&lt;=9999999999),IF(COUNTIFS(Data!D$1:'Data'!D764,Data!D764)&lt;=1,0,1),1),1))</f>
        <v/>
      </c>
      <c r="E774" s="36" t="str">
        <f>IF(Data!B764="","",IF(ISNUMBER(MATCH(Data!E764,Data_Val!$A$2:$A$3,0)),0,1))</f>
        <v/>
      </c>
      <c r="F774" s="36" t="str">
        <f ca="1">IF(Data!B764="","",IF(ISNUMBER(Data!F764),IF(AND(Data!F764&gt;(TODAY()-(Data_Val!$H$3*365.25)),Data!F764&lt;=(TODAY()-(Data_Val!$H$2*365.25))),0,1),1))</f>
        <v/>
      </c>
      <c r="G774" s="12" t="str">
        <f>IF(Data!B764="","",IF(AND(Data!G764="",Data!H764&lt;&gt;""),1,IF(ISNUMBER(MATCH(Data!G764,Data_Val!$C$2:$C$5,0)),0,1)))</f>
        <v/>
      </c>
      <c r="H774" s="12" t="str">
        <f>IF(Data!B764="","",IF(AND(Data!G764&lt;&gt;"",Data!H764=""),1,IF(Data!G764="",1,IF(ISNUMBER(MATCH(Data!H764,Data_Val!$D$2:$D$35,0)),0,1))))</f>
        <v/>
      </c>
      <c r="I774" s="38" t="str">
        <f>IF(Data!G764="","",IF(Data!G764=Data_Val!$C$2,IF(Data!I764="",0,1),0))</f>
        <v/>
      </c>
      <c r="J774" s="38" t="str">
        <f>IF(Data!I764="","",IF(ISNUMBER(MATCH(Data!J764,Data_Val!$A$2:$A$3,0)),0,1))</f>
        <v/>
      </c>
      <c r="K774" s="38" t="str">
        <f ca="1">IF(Data!I764="","",IF(ISNUMBER(Data!K764),IF(AND(Data!K764&gt;(TODAY()-(Data_Val!$K$3*365.25)),Data!K764&lt;=(TODAY()-(Data_Val!$K$2*365.25))),0,1),1))</f>
        <v/>
      </c>
      <c r="L774" s="16" t="str">
        <f>IF(Data!G764="","",IF(Data!G764=Data_Val!$C$2,IF(Data!L764="",0,1),0))</f>
        <v/>
      </c>
      <c r="M774" s="16" t="str">
        <f>IF(Data!L764="","",IF(ISNUMBER(MATCH(Data!M764,Data_Val!$A$2:$A$3,0)),0,1))</f>
        <v/>
      </c>
      <c r="N774" s="43" t="str">
        <f ca="1">IF(Data!L764="","",IF(ISNUMBER(Data!N764),IF(AND(Data!N764&gt;(TODAY()-(Data_Val!$L$3*365.25)),Data!N764&lt;=(TODAY()-(Data_Val!$L$2*365.25))),0,1),1))</f>
        <v/>
      </c>
      <c r="O774" s="18" t="str">
        <f>IF(Data!$G764="","",IF(Data!$G764=Data_Val!$C$2,IF(Data!O764="",0,1),0))</f>
        <v/>
      </c>
      <c r="P774" s="18" t="str">
        <f>IF(Data!O764="","",IF(ISNUMBER(MATCH(Data!P764,Data_Val!$A$2:$A$3,0)),0,1))</f>
        <v/>
      </c>
      <c r="Q774" s="44" t="str">
        <f ca="1">IF(Data!O764="","",IF(ISNUMBER(Data!Q764),IF(AND(Data!Q764&gt;(TODAY()-(Data_Val!$L$3*365.25)),Data!Q764&lt;=(TODAY()-(Data_Val!$L$2*365.25))),0,1),1))</f>
        <v/>
      </c>
    </row>
    <row r="775" spans="1:17" ht="12" customHeight="1" x14ac:dyDescent="0.25">
      <c r="A775" s="36" t="str">
        <f>IF(Data!B765="","",IF(COUNTIFS(Data!A$1:'Data'!A765,Data!A765)&lt;=1,0,1))</f>
        <v/>
      </c>
      <c r="B775" s="36"/>
      <c r="C775" s="36" t="str">
        <f>IF(Data!C765="","",(IF(ISNUMBER(MATCH("*@*.?*",Data!C765,0)),0,1)+IF(COUNTIFS(Data!C$1:'Data'!C765,Data!C765)&gt;1,1,0)))</f>
        <v/>
      </c>
      <c r="D775" s="36" t="str">
        <f>IF(Data!B765="","",IF(ISNUMBER(Data!D765),IF(AND(Data!D765&gt;999999999,Data!D765&lt;=9999999999),IF(COUNTIFS(Data!D$1:'Data'!D765,Data!D765)&lt;=1,0,1),1),1))</f>
        <v/>
      </c>
      <c r="E775" s="36" t="str">
        <f>IF(Data!B765="","",IF(ISNUMBER(MATCH(Data!E765,Data_Val!$A$2:$A$3,0)),0,1))</f>
        <v/>
      </c>
      <c r="F775" s="36" t="str">
        <f ca="1">IF(Data!B765="","",IF(ISNUMBER(Data!F765),IF(AND(Data!F765&gt;(TODAY()-(Data_Val!$H$3*365.25)),Data!F765&lt;=(TODAY()-(Data_Val!$H$2*365.25))),0,1),1))</f>
        <v/>
      </c>
      <c r="G775" s="12" t="str">
        <f>IF(Data!B765="","",IF(AND(Data!G765="",Data!H765&lt;&gt;""),1,IF(ISNUMBER(MATCH(Data!G765,Data_Val!$C$2:$C$5,0)),0,1)))</f>
        <v/>
      </c>
      <c r="H775" s="12" t="str">
        <f>IF(Data!B765="","",IF(AND(Data!G765&lt;&gt;"",Data!H765=""),1,IF(Data!G765="",1,IF(ISNUMBER(MATCH(Data!H765,Data_Val!$D$2:$D$35,0)),0,1))))</f>
        <v/>
      </c>
      <c r="I775" s="38" t="str">
        <f>IF(Data!G765="","",IF(Data!G765=Data_Val!$C$2,IF(Data!I765="",0,1),0))</f>
        <v/>
      </c>
      <c r="J775" s="38" t="str">
        <f>IF(Data!I765="","",IF(ISNUMBER(MATCH(Data!J765,Data_Val!$A$2:$A$3,0)),0,1))</f>
        <v/>
      </c>
      <c r="K775" s="38" t="str">
        <f ca="1">IF(Data!I765="","",IF(ISNUMBER(Data!K765),IF(AND(Data!K765&gt;(TODAY()-(Data_Val!$K$3*365.25)),Data!K765&lt;=(TODAY()-(Data_Val!$K$2*365.25))),0,1),1))</f>
        <v/>
      </c>
      <c r="L775" s="16" t="str">
        <f>IF(Data!G765="","",IF(Data!G765=Data_Val!$C$2,IF(Data!L765="",0,1),0))</f>
        <v/>
      </c>
      <c r="M775" s="16" t="str">
        <f>IF(Data!L765="","",IF(ISNUMBER(MATCH(Data!M765,Data_Val!$A$2:$A$3,0)),0,1))</f>
        <v/>
      </c>
      <c r="N775" s="43" t="str">
        <f ca="1">IF(Data!L765="","",IF(ISNUMBER(Data!N765),IF(AND(Data!N765&gt;(TODAY()-(Data_Val!$L$3*365.25)),Data!N765&lt;=(TODAY()-(Data_Val!$L$2*365.25))),0,1),1))</f>
        <v/>
      </c>
      <c r="O775" s="18" t="str">
        <f>IF(Data!$G765="","",IF(Data!$G765=Data_Val!$C$2,IF(Data!O765="",0,1),0))</f>
        <v/>
      </c>
      <c r="P775" s="18" t="str">
        <f>IF(Data!O765="","",IF(ISNUMBER(MATCH(Data!P765,Data_Val!$A$2:$A$3,0)),0,1))</f>
        <v/>
      </c>
      <c r="Q775" s="44" t="str">
        <f ca="1">IF(Data!O765="","",IF(ISNUMBER(Data!Q765),IF(AND(Data!Q765&gt;(TODAY()-(Data_Val!$L$3*365.25)),Data!Q765&lt;=(TODAY()-(Data_Val!$L$2*365.25))),0,1),1))</f>
        <v/>
      </c>
    </row>
    <row r="776" spans="1:17" ht="12" customHeight="1" x14ac:dyDescent="0.25">
      <c r="A776" s="36" t="str">
        <f>IF(Data!B766="","",IF(COUNTIFS(Data!A$1:'Data'!A766,Data!A766)&lt;=1,0,1))</f>
        <v/>
      </c>
      <c r="B776" s="36"/>
      <c r="C776" s="36" t="str">
        <f>IF(Data!C766="","",(IF(ISNUMBER(MATCH("*@*.?*",Data!C766,0)),0,1)+IF(COUNTIFS(Data!C$1:'Data'!C766,Data!C766)&gt;1,1,0)))</f>
        <v/>
      </c>
      <c r="D776" s="36" t="str">
        <f>IF(Data!B766="","",IF(ISNUMBER(Data!D766),IF(AND(Data!D766&gt;999999999,Data!D766&lt;=9999999999),IF(COUNTIFS(Data!D$1:'Data'!D766,Data!D766)&lt;=1,0,1),1),1))</f>
        <v/>
      </c>
      <c r="E776" s="36" t="str">
        <f>IF(Data!B766="","",IF(ISNUMBER(MATCH(Data!E766,Data_Val!$A$2:$A$3,0)),0,1))</f>
        <v/>
      </c>
      <c r="F776" s="36" t="str">
        <f ca="1">IF(Data!B766="","",IF(ISNUMBER(Data!F766),IF(AND(Data!F766&gt;(TODAY()-(Data_Val!$H$3*365.25)),Data!F766&lt;=(TODAY()-(Data_Val!$H$2*365.25))),0,1),1))</f>
        <v/>
      </c>
      <c r="G776" s="12" t="str">
        <f>IF(Data!B766="","",IF(AND(Data!G766="",Data!H766&lt;&gt;""),1,IF(ISNUMBER(MATCH(Data!G766,Data_Val!$C$2:$C$5,0)),0,1)))</f>
        <v/>
      </c>
      <c r="H776" s="12" t="str">
        <f>IF(Data!B766="","",IF(AND(Data!G766&lt;&gt;"",Data!H766=""),1,IF(Data!G766="",1,IF(ISNUMBER(MATCH(Data!H766,Data_Val!$D$2:$D$35,0)),0,1))))</f>
        <v/>
      </c>
      <c r="I776" s="38" t="str">
        <f>IF(Data!G766="","",IF(Data!G766=Data_Val!$C$2,IF(Data!I766="",0,1),0))</f>
        <v/>
      </c>
      <c r="J776" s="38" t="str">
        <f>IF(Data!I766="","",IF(ISNUMBER(MATCH(Data!J766,Data_Val!$A$2:$A$3,0)),0,1))</f>
        <v/>
      </c>
      <c r="K776" s="38" t="str">
        <f ca="1">IF(Data!I766="","",IF(ISNUMBER(Data!K766),IF(AND(Data!K766&gt;(TODAY()-(Data_Val!$K$3*365.25)),Data!K766&lt;=(TODAY()-(Data_Val!$K$2*365.25))),0,1),1))</f>
        <v/>
      </c>
      <c r="L776" s="16" t="str">
        <f>IF(Data!G766="","",IF(Data!G766=Data_Val!$C$2,IF(Data!L766="",0,1),0))</f>
        <v/>
      </c>
      <c r="M776" s="16" t="str">
        <f>IF(Data!L766="","",IF(ISNUMBER(MATCH(Data!M766,Data_Val!$A$2:$A$3,0)),0,1))</f>
        <v/>
      </c>
      <c r="N776" s="43" t="str">
        <f ca="1">IF(Data!L766="","",IF(ISNUMBER(Data!N766),IF(AND(Data!N766&gt;(TODAY()-(Data_Val!$L$3*365.25)),Data!N766&lt;=(TODAY()-(Data_Val!$L$2*365.25))),0,1),1))</f>
        <v/>
      </c>
      <c r="O776" s="18" t="str">
        <f>IF(Data!$G766="","",IF(Data!$G766=Data_Val!$C$2,IF(Data!O766="",0,1),0))</f>
        <v/>
      </c>
      <c r="P776" s="18" t="str">
        <f>IF(Data!O766="","",IF(ISNUMBER(MATCH(Data!P766,Data_Val!$A$2:$A$3,0)),0,1))</f>
        <v/>
      </c>
      <c r="Q776" s="44" t="str">
        <f ca="1">IF(Data!O766="","",IF(ISNUMBER(Data!Q766),IF(AND(Data!Q766&gt;(TODAY()-(Data_Val!$L$3*365.25)),Data!Q766&lt;=(TODAY()-(Data_Val!$L$2*365.25))),0,1),1))</f>
        <v/>
      </c>
    </row>
    <row r="777" spans="1:17" ht="12" customHeight="1" x14ac:dyDescent="0.25">
      <c r="A777" s="36" t="str">
        <f>IF(Data!B767="","",IF(COUNTIFS(Data!A$1:'Data'!A767,Data!A767)&lt;=1,0,1))</f>
        <v/>
      </c>
      <c r="B777" s="36"/>
      <c r="C777" s="36" t="str">
        <f>IF(Data!C767="","",(IF(ISNUMBER(MATCH("*@*.?*",Data!C767,0)),0,1)+IF(COUNTIFS(Data!C$1:'Data'!C767,Data!C767)&gt;1,1,0)))</f>
        <v/>
      </c>
      <c r="D777" s="36" t="str">
        <f>IF(Data!B767="","",IF(ISNUMBER(Data!D767),IF(AND(Data!D767&gt;999999999,Data!D767&lt;=9999999999),IF(COUNTIFS(Data!D$1:'Data'!D767,Data!D767)&lt;=1,0,1),1),1))</f>
        <v/>
      </c>
      <c r="E777" s="36" t="str">
        <f>IF(Data!B767="","",IF(ISNUMBER(MATCH(Data!E767,Data_Val!$A$2:$A$3,0)),0,1))</f>
        <v/>
      </c>
      <c r="F777" s="36" t="str">
        <f ca="1">IF(Data!B767="","",IF(ISNUMBER(Data!F767),IF(AND(Data!F767&gt;(TODAY()-(Data_Val!$H$3*365.25)),Data!F767&lt;=(TODAY()-(Data_Val!$H$2*365.25))),0,1),1))</f>
        <v/>
      </c>
      <c r="G777" s="12" t="str">
        <f>IF(Data!B767="","",IF(AND(Data!G767="",Data!H767&lt;&gt;""),1,IF(ISNUMBER(MATCH(Data!G767,Data_Val!$C$2:$C$5,0)),0,1)))</f>
        <v/>
      </c>
      <c r="H777" s="12" t="str">
        <f>IF(Data!B767="","",IF(AND(Data!G767&lt;&gt;"",Data!H767=""),1,IF(Data!G767="",1,IF(ISNUMBER(MATCH(Data!H767,Data_Val!$D$2:$D$35,0)),0,1))))</f>
        <v/>
      </c>
      <c r="I777" s="38" t="str">
        <f>IF(Data!G767="","",IF(Data!G767=Data_Val!$C$2,IF(Data!I767="",0,1),0))</f>
        <v/>
      </c>
      <c r="J777" s="38" t="str">
        <f>IF(Data!I767="","",IF(ISNUMBER(MATCH(Data!J767,Data_Val!$A$2:$A$3,0)),0,1))</f>
        <v/>
      </c>
      <c r="K777" s="38" t="str">
        <f ca="1">IF(Data!I767="","",IF(ISNUMBER(Data!K767),IF(AND(Data!K767&gt;(TODAY()-(Data_Val!$K$3*365.25)),Data!K767&lt;=(TODAY()-(Data_Val!$K$2*365.25))),0,1),1))</f>
        <v/>
      </c>
      <c r="L777" s="16" t="str">
        <f>IF(Data!G767="","",IF(Data!G767=Data_Val!$C$2,IF(Data!L767="",0,1),0))</f>
        <v/>
      </c>
      <c r="M777" s="16" t="str">
        <f>IF(Data!L767="","",IF(ISNUMBER(MATCH(Data!M767,Data_Val!$A$2:$A$3,0)),0,1))</f>
        <v/>
      </c>
      <c r="N777" s="43" t="str">
        <f ca="1">IF(Data!L767="","",IF(ISNUMBER(Data!N767),IF(AND(Data!N767&gt;(TODAY()-(Data_Val!$L$3*365.25)),Data!N767&lt;=(TODAY()-(Data_Val!$L$2*365.25))),0,1),1))</f>
        <v/>
      </c>
      <c r="O777" s="18" t="str">
        <f>IF(Data!$G767="","",IF(Data!$G767=Data_Val!$C$2,IF(Data!O767="",0,1),0))</f>
        <v/>
      </c>
      <c r="P777" s="18" t="str">
        <f>IF(Data!O767="","",IF(ISNUMBER(MATCH(Data!P767,Data_Val!$A$2:$A$3,0)),0,1))</f>
        <v/>
      </c>
      <c r="Q777" s="44" t="str">
        <f ca="1">IF(Data!O767="","",IF(ISNUMBER(Data!Q767),IF(AND(Data!Q767&gt;(TODAY()-(Data_Val!$L$3*365.25)),Data!Q767&lt;=(TODAY()-(Data_Val!$L$2*365.25))),0,1),1))</f>
        <v/>
      </c>
    </row>
    <row r="778" spans="1:17" ht="12" customHeight="1" x14ac:dyDescent="0.25">
      <c r="A778" s="36" t="str">
        <f>IF(Data!B768="","",IF(COUNTIFS(Data!A$1:'Data'!A768,Data!A768)&lt;=1,0,1))</f>
        <v/>
      </c>
      <c r="B778" s="36"/>
      <c r="C778" s="36" t="str">
        <f>IF(Data!C768="","",(IF(ISNUMBER(MATCH("*@*.?*",Data!C768,0)),0,1)+IF(COUNTIFS(Data!C$1:'Data'!C768,Data!C768)&gt;1,1,0)))</f>
        <v/>
      </c>
      <c r="D778" s="36" t="str">
        <f>IF(Data!B768="","",IF(ISNUMBER(Data!D768),IF(AND(Data!D768&gt;999999999,Data!D768&lt;=9999999999),IF(COUNTIFS(Data!D$1:'Data'!D768,Data!D768)&lt;=1,0,1),1),1))</f>
        <v/>
      </c>
      <c r="E778" s="36" t="str">
        <f>IF(Data!B768="","",IF(ISNUMBER(MATCH(Data!E768,Data_Val!$A$2:$A$3,0)),0,1))</f>
        <v/>
      </c>
      <c r="F778" s="36" t="str">
        <f ca="1">IF(Data!B768="","",IF(ISNUMBER(Data!F768),IF(AND(Data!F768&gt;(TODAY()-(Data_Val!$H$3*365.25)),Data!F768&lt;=(TODAY()-(Data_Val!$H$2*365.25))),0,1),1))</f>
        <v/>
      </c>
      <c r="G778" s="12" t="str">
        <f>IF(Data!B768="","",IF(AND(Data!G768="",Data!H768&lt;&gt;""),1,IF(ISNUMBER(MATCH(Data!G768,Data_Val!$C$2:$C$5,0)),0,1)))</f>
        <v/>
      </c>
      <c r="H778" s="12" t="str">
        <f>IF(Data!B768="","",IF(AND(Data!G768&lt;&gt;"",Data!H768=""),1,IF(Data!G768="",1,IF(ISNUMBER(MATCH(Data!H768,Data_Val!$D$2:$D$35,0)),0,1))))</f>
        <v/>
      </c>
      <c r="I778" s="38" t="str">
        <f>IF(Data!G768="","",IF(Data!G768=Data_Val!$C$2,IF(Data!I768="",0,1),0))</f>
        <v/>
      </c>
      <c r="J778" s="38" t="str">
        <f>IF(Data!I768="","",IF(ISNUMBER(MATCH(Data!J768,Data_Val!$A$2:$A$3,0)),0,1))</f>
        <v/>
      </c>
      <c r="K778" s="38" t="str">
        <f ca="1">IF(Data!I768="","",IF(ISNUMBER(Data!K768),IF(AND(Data!K768&gt;(TODAY()-(Data_Val!$K$3*365.25)),Data!K768&lt;=(TODAY()-(Data_Val!$K$2*365.25))),0,1),1))</f>
        <v/>
      </c>
      <c r="L778" s="16" t="str">
        <f>IF(Data!G768="","",IF(Data!G768=Data_Val!$C$2,IF(Data!L768="",0,1),0))</f>
        <v/>
      </c>
      <c r="M778" s="16" t="str">
        <f>IF(Data!L768="","",IF(ISNUMBER(MATCH(Data!M768,Data_Val!$A$2:$A$3,0)),0,1))</f>
        <v/>
      </c>
      <c r="N778" s="43" t="str">
        <f ca="1">IF(Data!L768="","",IF(ISNUMBER(Data!N768),IF(AND(Data!N768&gt;(TODAY()-(Data_Val!$L$3*365.25)),Data!N768&lt;=(TODAY()-(Data_Val!$L$2*365.25))),0,1),1))</f>
        <v/>
      </c>
      <c r="O778" s="18" t="str">
        <f>IF(Data!$G768="","",IF(Data!$G768=Data_Val!$C$2,IF(Data!O768="",0,1),0))</f>
        <v/>
      </c>
      <c r="P778" s="18" t="str">
        <f>IF(Data!O768="","",IF(ISNUMBER(MATCH(Data!P768,Data_Val!$A$2:$A$3,0)),0,1))</f>
        <v/>
      </c>
      <c r="Q778" s="44" t="str">
        <f ca="1">IF(Data!O768="","",IF(ISNUMBER(Data!Q768),IF(AND(Data!Q768&gt;(TODAY()-(Data_Val!$L$3*365.25)),Data!Q768&lt;=(TODAY()-(Data_Val!$L$2*365.25))),0,1),1))</f>
        <v/>
      </c>
    </row>
    <row r="779" spans="1:17" ht="12" customHeight="1" x14ac:dyDescent="0.25">
      <c r="A779" s="36" t="str">
        <f>IF(Data!B769="","",IF(COUNTIFS(Data!A$1:'Data'!A769,Data!A769)&lt;=1,0,1))</f>
        <v/>
      </c>
      <c r="B779" s="36"/>
      <c r="C779" s="36" t="str">
        <f>IF(Data!C769="","",(IF(ISNUMBER(MATCH("*@*.?*",Data!C769,0)),0,1)+IF(COUNTIFS(Data!C$1:'Data'!C769,Data!C769)&gt;1,1,0)))</f>
        <v/>
      </c>
      <c r="D779" s="36" t="str">
        <f>IF(Data!B769="","",IF(ISNUMBER(Data!D769),IF(AND(Data!D769&gt;999999999,Data!D769&lt;=9999999999),IF(COUNTIFS(Data!D$1:'Data'!D769,Data!D769)&lt;=1,0,1),1),1))</f>
        <v/>
      </c>
      <c r="E779" s="36" t="str">
        <f>IF(Data!B769="","",IF(ISNUMBER(MATCH(Data!E769,Data_Val!$A$2:$A$3,0)),0,1))</f>
        <v/>
      </c>
      <c r="F779" s="36" t="str">
        <f ca="1">IF(Data!B769="","",IF(ISNUMBER(Data!F769),IF(AND(Data!F769&gt;(TODAY()-(Data_Val!$H$3*365.25)),Data!F769&lt;=(TODAY()-(Data_Val!$H$2*365.25))),0,1),1))</f>
        <v/>
      </c>
      <c r="G779" s="12" t="str">
        <f>IF(Data!B769="","",IF(AND(Data!G769="",Data!H769&lt;&gt;""),1,IF(ISNUMBER(MATCH(Data!G769,Data_Val!$C$2:$C$5,0)),0,1)))</f>
        <v/>
      </c>
      <c r="H779" s="12" t="str">
        <f>IF(Data!B769="","",IF(AND(Data!G769&lt;&gt;"",Data!H769=""),1,IF(Data!G769="",1,IF(ISNUMBER(MATCH(Data!H769,Data_Val!$D$2:$D$35,0)),0,1))))</f>
        <v/>
      </c>
      <c r="I779" s="38" t="str">
        <f>IF(Data!G769="","",IF(Data!G769=Data_Val!$C$2,IF(Data!I769="",0,1),0))</f>
        <v/>
      </c>
      <c r="J779" s="38" t="str">
        <f>IF(Data!I769="","",IF(ISNUMBER(MATCH(Data!J769,Data_Val!$A$2:$A$3,0)),0,1))</f>
        <v/>
      </c>
      <c r="K779" s="38" t="str">
        <f ca="1">IF(Data!I769="","",IF(ISNUMBER(Data!K769),IF(AND(Data!K769&gt;(TODAY()-(Data_Val!$K$3*365.25)),Data!K769&lt;=(TODAY()-(Data_Val!$K$2*365.25))),0,1),1))</f>
        <v/>
      </c>
      <c r="L779" s="16" t="str">
        <f>IF(Data!G769="","",IF(Data!G769=Data_Val!$C$2,IF(Data!L769="",0,1),0))</f>
        <v/>
      </c>
      <c r="M779" s="16" t="str">
        <f>IF(Data!L769="","",IF(ISNUMBER(MATCH(Data!M769,Data_Val!$A$2:$A$3,0)),0,1))</f>
        <v/>
      </c>
      <c r="N779" s="43" t="str">
        <f ca="1">IF(Data!L769="","",IF(ISNUMBER(Data!N769),IF(AND(Data!N769&gt;(TODAY()-(Data_Val!$L$3*365.25)),Data!N769&lt;=(TODAY()-(Data_Val!$L$2*365.25))),0,1),1))</f>
        <v/>
      </c>
      <c r="O779" s="18" t="str">
        <f>IF(Data!$G769="","",IF(Data!$G769=Data_Val!$C$2,IF(Data!O769="",0,1),0))</f>
        <v/>
      </c>
      <c r="P779" s="18" t="str">
        <f>IF(Data!O769="","",IF(ISNUMBER(MATCH(Data!P769,Data_Val!$A$2:$A$3,0)),0,1))</f>
        <v/>
      </c>
      <c r="Q779" s="44" t="str">
        <f ca="1">IF(Data!O769="","",IF(ISNUMBER(Data!Q769),IF(AND(Data!Q769&gt;(TODAY()-(Data_Val!$L$3*365.25)),Data!Q769&lt;=(TODAY()-(Data_Val!$L$2*365.25))),0,1),1))</f>
        <v/>
      </c>
    </row>
    <row r="780" spans="1:17" ht="12" customHeight="1" x14ac:dyDescent="0.25">
      <c r="A780" s="36" t="str">
        <f>IF(Data!B770="","",IF(COUNTIFS(Data!A$1:'Data'!A770,Data!A770)&lt;=1,0,1))</f>
        <v/>
      </c>
      <c r="B780" s="36"/>
      <c r="C780" s="36" t="str">
        <f>IF(Data!C770="","",(IF(ISNUMBER(MATCH("*@*.?*",Data!C770,0)),0,1)+IF(COUNTIFS(Data!C$1:'Data'!C770,Data!C770)&gt;1,1,0)))</f>
        <v/>
      </c>
      <c r="D780" s="36" t="str">
        <f>IF(Data!B770="","",IF(ISNUMBER(Data!D770),IF(AND(Data!D770&gt;999999999,Data!D770&lt;=9999999999),IF(COUNTIFS(Data!D$1:'Data'!D770,Data!D770)&lt;=1,0,1),1),1))</f>
        <v/>
      </c>
      <c r="E780" s="36" t="str">
        <f>IF(Data!B770="","",IF(ISNUMBER(MATCH(Data!E770,Data_Val!$A$2:$A$3,0)),0,1))</f>
        <v/>
      </c>
      <c r="F780" s="36" t="str">
        <f ca="1">IF(Data!B770="","",IF(ISNUMBER(Data!F770),IF(AND(Data!F770&gt;(TODAY()-(Data_Val!$H$3*365.25)),Data!F770&lt;=(TODAY()-(Data_Val!$H$2*365.25))),0,1),1))</f>
        <v/>
      </c>
      <c r="G780" s="12" t="str">
        <f>IF(Data!B770="","",IF(AND(Data!G770="",Data!H770&lt;&gt;""),1,IF(ISNUMBER(MATCH(Data!G770,Data_Val!$C$2:$C$5,0)),0,1)))</f>
        <v/>
      </c>
      <c r="H780" s="12" t="str">
        <f>IF(Data!B770="","",IF(AND(Data!G770&lt;&gt;"",Data!H770=""),1,IF(Data!G770="",1,IF(ISNUMBER(MATCH(Data!H770,Data_Val!$D$2:$D$35,0)),0,1))))</f>
        <v/>
      </c>
      <c r="I780" s="38" t="str">
        <f>IF(Data!G770="","",IF(Data!G770=Data_Val!$C$2,IF(Data!I770="",0,1),0))</f>
        <v/>
      </c>
      <c r="J780" s="38" t="str">
        <f>IF(Data!I770="","",IF(ISNUMBER(MATCH(Data!J770,Data_Val!$A$2:$A$3,0)),0,1))</f>
        <v/>
      </c>
      <c r="K780" s="38" t="str">
        <f ca="1">IF(Data!I770="","",IF(ISNUMBER(Data!K770),IF(AND(Data!K770&gt;(TODAY()-(Data_Val!$K$3*365.25)),Data!K770&lt;=(TODAY()-(Data_Val!$K$2*365.25))),0,1),1))</f>
        <v/>
      </c>
      <c r="L780" s="16" t="str">
        <f>IF(Data!G770="","",IF(Data!G770=Data_Val!$C$2,IF(Data!L770="",0,1),0))</f>
        <v/>
      </c>
      <c r="M780" s="16" t="str">
        <f>IF(Data!L770="","",IF(ISNUMBER(MATCH(Data!M770,Data_Val!$A$2:$A$3,0)),0,1))</f>
        <v/>
      </c>
      <c r="N780" s="43" t="str">
        <f ca="1">IF(Data!L770="","",IF(ISNUMBER(Data!N770),IF(AND(Data!N770&gt;(TODAY()-(Data_Val!$L$3*365.25)),Data!N770&lt;=(TODAY()-(Data_Val!$L$2*365.25))),0,1),1))</f>
        <v/>
      </c>
      <c r="O780" s="18" t="str">
        <f>IF(Data!$G770="","",IF(Data!$G770=Data_Val!$C$2,IF(Data!O770="",0,1),0))</f>
        <v/>
      </c>
      <c r="P780" s="18" t="str">
        <f>IF(Data!O770="","",IF(ISNUMBER(MATCH(Data!P770,Data_Val!$A$2:$A$3,0)),0,1))</f>
        <v/>
      </c>
      <c r="Q780" s="44" t="str">
        <f ca="1">IF(Data!O770="","",IF(ISNUMBER(Data!Q770),IF(AND(Data!Q770&gt;(TODAY()-(Data_Val!$L$3*365.25)),Data!Q770&lt;=(TODAY()-(Data_Val!$L$2*365.25))),0,1),1))</f>
        <v/>
      </c>
    </row>
    <row r="781" spans="1:17" ht="12" customHeight="1" x14ac:dyDescent="0.25">
      <c r="A781" s="36" t="str">
        <f>IF(Data!B771="","",IF(COUNTIFS(Data!A$1:'Data'!A771,Data!A771)&lt;=1,0,1))</f>
        <v/>
      </c>
      <c r="B781" s="36"/>
      <c r="C781" s="36" t="str">
        <f>IF(Data!C771="","",(IF(ISNUMBER(MATCH("*@*.?*",Data!C771,0)),0,1)+IF(COUNTIFS(Data!C$1:'Data'!C771,Data!C771)&gt;1,1,0)))</f>
        <v/>
      </c>
      <c r="D781" s="36" t="str">
        <f>IF(Data!B771="","",IF(ISNUMBER(Data!D771),IF(AND(Data!D771&gt;999999999,Data!D771&lt;=9999999999),IF(COUNTIFS(Data!D$1:'Data'!D771,Data!D771)&lt;=1,0,1),1),1))</f>
        <v/>
      </c>
      <c r="E781" s="36" t="str">
        <f>IF(Data!B771="","",IF(ISNUMBER(MATCH(Data!E771,Data_Val!$A$2:$A$3,0)),0,1))</f>
        <v/>
      </c>
      <c r="F781" s="36" t="str">
        <f ca="1">IF(Data!B771="","",IF(ISNUMBER(Data!F771),IF(AND(Data!F771&gt;(TODAY()-(Data_Val!$H$3*365.25)),Data!F771&lt;=(TODAY()-(Data_Val!$H$2*365.25))),0,1),1))</f>
        <v/>
      </c>
      <c r="G781" s="12" t="str">
        <f>IF(Data!B771="","",IF(AND(Data!G771="",Data!H771&lt;&gt;""),1,IF(ISNUMBER(MATCH(Data!G771,Data_Val!$C$2:$C$5,0)),0,1)))</f>
        <v/>
      </c>
      <c r="H781" s="12" t="str">
        <f>IF(Data!B771="","",IF(AND(Data!G771&lt;&gt;"",Data!H771=""),1,IF(Data!G771="",1,IF(ISNUMBER(MATCH(Data!H771,Data_Val!$D$2:$D$35,0)),0,1))))</f>
        <v/>
      </c>
      <c r="I781" s="38" t="str">
        <f>IF(Data!G771="","",IF(Data!G771=Data_Val!$C$2,IF(Data!I771="",0,1),0))</f>
        <v/>
      </c>
      <c r="J781" s="38" t="str">
        <f>IF(Data!I771="","",IF(ISNUMBER(MATCH(Data!J771,Data_Val!$A$2:$A$3,0)),0,1))</f>
        <v/>
      </c>
      <c r="K781" s="38" t="str">
        <f ca="1">IF(Data!I771="","",IF(ISNUMBER(Data!K771),IF(AND(Data!K771&gt;(TODAY()-(Data_Val!$K$3*365.25)),Data!K771&lt;=(TODAY()-(Data_Val!$K$2*365.25))),0,1),1))</f>
        <v/>
      </c>
      <c r="L781" s="16" t="str">
        <f>IF(Data!G771="","",IF(Data!G771=Data_Val!$C$2,IF(Data!L771="",0,1),0))</f>
        <v/>
      </c>
      <c r="M781" s="16" t="str">
        <f>IF(Data!L771="","",IF(ISNUMBER(MATCH(Data!M771,Data_Val!$A$2:$A$3,0)),0,1))</f>
        <v/>
      </c>
      <c r="N781" s="43" t="str">
        <f ca="1">IF(Data!L771="","",IF(ISNUMBER(Data!N771),IF(AND(Data!N771&gt;(TODAY()-(Data_Val!$L$3*365.25)),Data!N771&lt;=(TODAY()-(Data_Val!$L$2*365.25))),0,1),1))</f>
        <v/>
      </c>
      <c r="O781" s="18" t="str">
        <f>IF(Data!$G771="","",IF(Data!$G771=Data_Val!$C$2,IF(Data!O771="",0,1),0))</f>
        <v/>
      </c>
      <c r="P781" s="18" t="str">
        <f>IF(Data!O771="","",IF(ISNUMBER(MATCH(Data!P771,Data_Val!$A$2:$A$3,0)),0,1))</f>
        <v/>
      </c>
      <c r="Q781" s="44" t="str">
        <f ca="1">IF(Data!O771="","",IF(ISNUMBER(Data!Q771),IF(AND(Data!Q771&gt;(TODAY()-(Data_Val!$L$3*365.25)),Data!Q771&lt;=(TODAY()-(Data_Val!$L$2*365.25))),0,1),1))</f>
        <v/>
      </c>
    </row>
    <row r="782" spans="1:17" ht="12" customHeight="1" x14ac:dyDescent="0.25">
      <c r="A782" s="36" t="str">
        <f>IF(Data!B772="","",IF(COUNTIFS(Data!A$1:'Data'!A772,Data!A772)&lt;=1,0,1))</f>
        <v/>
      </c>
      <c r="B782" s="36"/>
      <c r="C782" s="36" t="str">
        <f>IF(Data!C772="","",(IF(ISNUMBER(MATCH("*@*.?*",Data!C772,0)),0,1)+IF(COUNTIFS(Data!C$1:'Data'!C772,Data!C772)&gt;1,1,0)))</f>
        <v/>
      </c>
      <c r="D782" s="36" t="str">
        <f>IF(Data!B772="","",IF(ISNUMBER(Data!D772),IF(AND(Data!D772&gt;999999999,Data!D772&lt;=9999999999),IF(COUNTIFS(Data!D$1:'Data'!D772,Data!D772)&lt;=1,0,1),1),1))</f>
        <v/>
      </c>
      <c r="E782" s="36" t="str">
        <f>IF(Data!B772="","",IF(ISNUMBER(MATCH(Data!E772,Data_Val!$A$2:$A$3,0)),0,1))</f>
        <v/>
      </c>
      <c r="F782" s="36" t="str">
        <f ca="1">IF(Data!B772="","",IF(ISNUMBER(Data!F772),IF(AND(Data!F772&gt;(TODAY()-(Data_Val!$H$3*365.25)),Data!F772&lt;=(TODAY()-(Data_Val!$H$2*365.25))),0,1),1))</f>
        <v/>
      </c>
      <c r="G782" s="12" t="str">
        <f>IF(Data!B772="","",IF(AND(Data!G772="",Data!H772&lt;&gt;""),1,IF(ISNUMBER(MATCH(Data!G772,Data_Val!$C$2:$C$5,0)),0,1)))</f>
        <v/>
      </c>
      <c r="H782" s="12" t="str">
        <f>IF(Data!B772="","",IF(AND(Data!G772&lt;&gt;"",Data!H772=""),1,IF(Data!G772="",1,IF(ISNUMBER(MATCH(Data!H772,Data_Val!$D$2:$D$35,0)),0,1))))</f>
        <v/>
      </c>
      <c r="I782" s="38" t="str">
        <f>IF(Data!G772="","",IF(Data!G772=Data_Val!$C$2,IF(Data!I772="",0,1),0))</f>
        <v/>
      </c>
      <c r="J782" s="38" t="str">
        <f>IF(Data!I772="","",IF(ISNUMBER(MATCH(Data!J772,Data_Val!$A$2:$A$3,0)),0,1))</f>
        <v/>
      </c>
      <c r="K782" s="38" t="str">
        <f ca="1">IF(Data!I772="","",IF(ISNUMBER(Data!K772),IF(AND(Data!K772&gt;(TODAY()-(Data_Val!$K$3*365.25)),Data!K772&lt;=(TODAY()-(Data_Val!$K$2*365.25))),0,1),1))</f>
        <v/>
      </c>
      <c r="L782" s="16" t="str">
        <f>IF(Data!G772="","",IF(Data!G772=Data_Val!$C$2,IF(Data!L772="",0,1),0))</f>
        <v/>
      </c>
      <c r="M782" s="16" t="str">
        <f>IF(Data!L772="","",IF(ISNUMBER(MATCH(Data!M772,Data_Val!$A$2:$A$3,0)),0,1))</f>
        <v/>
      </c>
      <c r="N782" s="43" t="str">
        <f ca="1">IF(Data!L772="","",IF(ISNUMBER(Data!N772),IF(AND(Data!N772&gt;(TODAY()-(Data_Val!$L$3*365.25)),Data!N772&lt;=(TODAY()-(Data_Val!$L$2*365.25))),0,1),1))</f>
        <v/>
      </c>
      <c r="O782" s="18" t="str">
        <f>IF(Data!$G772="","",IF(Data!$G772=Data_Val!$C$2,IF(Data!O772="",0,1),0))</f>
        <v/>
      </c>
      <c r="P782" s="18" t="str">
        <f>IF(Data!O772="","",IF(ISNUMBER(MATCH(Data!P772,Data_Val!$A$2:$A$3,0)),0,1))</f>
        <v/>
      </c>
      <c r="Q782" s="44" t="str">
        <f ca="1">IF(Data!O772="","",IF(ISNUMBER(Data!Q772),IF(AND(Data!Q772&gt;(TODAY()-(Data_Val!$L$3*365.25)),Data!Q772&lt;=(TODAY()-(Data_Val!$L$2*365.25))),0,1),1))</f>
        <v/>
      </c>
    </row>
    <row r="783" spans="1:17" ht="12" customHeight="1" x14ac:dyDescent="0.25">
      <c r="A783" s="36" t="str">
        <f>IF(Data!B773="","",IF(COUNTIFS(Data!A$1:'Data'!A773,Data!A773)&lt;=1,0,1))</f>
        <v/>
      </c>
      <c r="B783" s="36"/>
      <c r="C783" s="36" t="str">
        <f>IF(Data!C773="","",(IF(ISNUMBER(MATCH("*@*.?*",Data!C773,0)),0,1)+IF(COUNTIFS(Data!C$1:'Data'!C773,Data!C773)&gt;1,1,0)))</f>
        <v/>
      </c>
      <c r="D783" s="36" t="str">
        <f>IF(Data!B773="","",IF(ISNUMBER(Data!D773),IF(AND(Data!D773&gt;999999999,Data!D773&lt;=9999999999),IF(COUNTIFS(Data!D$1:'Data'!D773,Data!D773)&lt;=1,0,1),1),1))</f>
        <v/>
      </c>
      <c r="E783" s="36" t="str">
        <f>IF(Data!B773="","",IF(ISNUMBER(MATCH(Data!E773,Data_Val!$A$2:$A$3,0)),0,1))</f>
        <v/>
      </c>
      <c r="F783" s="36" t="str">
        <f ca="1">IF(Data!B773="","",IF(ISNUMBER(Data!F773),IF(AND(Data!F773&gt;(TODAY()-(Data_Val!$H$3*365.25)),Data!F773&lt;=(TODAY()-(Data_Val!$H$2*365.25))),0,1),1))</f>
        <v/>
      </c>
      <c r="G783" s="12" t="str">
        <f>IF(Data!B773="","",IF(AND(Data!G773="",Data!H773&lt;&gt;""),1,IF(ISNUMBER(MATCH(Data!G773,Data_Val!$C$2:$C$5,0)),0,1)))</f>
        <v/>
      </c>
      <c r="H783" s="12" t="str">
        <f>IF(Data!B773="","",IF(AND(Data!G773&lt;&gt;"",Data!H773=""),1,IF(Data!G773="",1,IF(ISNUMBER(MATCH(Data!H773,Data_Val!$D$2:$D$35,0)),0,1))))</f>
        <v/>
      </c>
      <c r="I783" s="38" t="str">
        <f>IF(Data!G773="","",IF(Data!G773=Data_Val!$C$2,IF(Data!I773="",0,1),0))</f>
        <v/>
      </c>
      <c r="J783" s="38" t="str">
        <f>IF(Data!I773="","",IF(ISNUMBER(MATCH(Data!J773,Data_Val!$A$2:$A$3,0)),0,1))</f>
        <v/>
      </c>
      <c r="K783" s="38" t="str">
        <f ca="1">IF(Data!I773="","",IF(ISNUMBER(Data!K773),IF(AND(Data!K773&gt;(TODAY()-(Data_Val!$K$3*365.25)),Data!K773&lt;=(TODAY()-(Data_Val!$K$2*365.25))),0,1),1))</f>
        <v/>
      </c>
      <c r="L783" s="16" t="str">
        <f>IF(Data!G773="","",IF(Data!G773=Data_Val!$C$2,IF(Data!L773="",0,1),0))</f>
        <v/>
      </c>
      <c r="M783" s="16" t="str">
        <f>IF(Data!L773="","",IF(ISNUMBER(MATCH(Data!M773,Data_Val!$A$2:$A$3,0)),0,1))</f>
        <v/>
      </c>
      <c r="N783" s="43" t="str">
        <f ca="1">IF(Data!L773="","",IF(ISNUMBER(Data!N773),IF(AND(Data!N773&gt;(TODAY()-(Data_Val!$L$3*365.25)),Data!N773&lt;=(TODAY()-(Data_Val!$L$2*365.25))),0,1),1))</f>
        <v/>
      </c>
      <c r="O783" s="18" t="str">
        <f>IF(Data!$G773="","",IF(Data!$G773=Data_Val!$C$2,IF(Data!O773="",0,1),0))</f>
        <v/>
      </c>
      <c r="P783" s="18" t="str">
        <f>IF(Data!O773="","",IF(ISNUMBER(MATCH(Data!P773,Data_Val!$A$2:$A$3,0)),0,1))</f>
        <v/>
      </c>
      <c r="Q783" s="44" t="str">
        <f ca="1">IF(Data!O773="","",IF(ISNUMBER(Data!Q773),IF(AND(Data!Q773&gt;(TODAY()-(Data_Val!$L$3*365.25)),Data!Q773&lt;=(TODAY()-(Data_Val!$L$2*365.25))),0,1),1))</f>
        <v/>
      </c>
    </row>
    <row r="784" spans="1:17" ht="12" customHeight="1" x14ac:dyDescent="0.25">
      <c r="A784" s="36" t="str">
        <f>IF(Data!B774="","",IF(COUNTIFS(Data!A$1:'Data'!A774,Data!A774)&lt;=1,0,1))</f>
        <v/>
      </c>
      <c r="B784" s="36"/>
      <c r="C784" s="36" t="str">
        <f>IF(Data!C774="","",(IF(ISNUMBER(MATCH("*@*.?*",Data!C774,0)),0,1)+IF(COUNTIFS(Data!C$1:'Data'!C774,Data!C774)&gt;1,1,0)))</f>
        <v/>
      </c>
      <c r="D784" s="36" t="str">
        <f>IF(Data!B774="","",IF(ISNUMBER(Data!D774),IF(AND(Data!D774&gt;999999999,Data!D774&lt;=9999999999),IF(COUNTIFS(Data!D$1:'Data'!D774,Data!D774)&lt;=1,0,1),1),1))</f>
        <v/>
      </c>
      <c r="E784" s="36" t="str">
        <f>IF(Data!B774="","",IF(ISNUMBER(MATCH(Data!E774,Data_Val!$A$2:$A$3,0)),0,1))</f>
        <v/>
      </c>
      <c r="F784" s="36" t="str">
        <f ca="1">IF(Data!B774="","",IF(ISNUMBER(Data!F774),IF(AND(Data!F774&gt;(TODAY()-(Data_Val!$H$3*365.25)),Data!F774&lt;=(TODAY()-(Data_Val!$H$2*365.25))),0,1),1))</f>
        <v/>
      </c>
      <c r="G784" s="12" t="str">
        <f>IF(Data!B774="","",IF(AND(Data!G774="",Data!H774&lt;&gt;""),1,IF(ISNUMBER(MATCH(Data!G774,Data_Val!$C$2:$C$5,0)),0,1)))</f>
        <v/>
      </c>
      <c r="H784" s="12" t="str">
        <f>IF(Data!B774="","",IF(AND(Data!G774&lt;&gt;"",Data!H774=""),1,IF(Data!G774="",1,IF(ISNUMBER(MATCH(Data!H774,Data_Val!$D$2:$D$35,0)),0,1))))</f>
        <v/>
      </c>
      <c r="I784" s="38" t="str">
        <f>IF(Data!G774="","",IF(Data!G774=Data_Val!$C$2,IF(Data!I774="",0,1),0))</f>
        <v/>
      </c>
      <c r="J784" s="38" t="str">
        <f>IF(Data!I774="","",IF(ISNUMBER(MATCH(Data!J774,Data_Val!$A$2:$A$3,0)),0,1))</f>
        <v/>
      </c>
      <c r="K784" s="38" t="str">
        <f ca="1">IF(Data!I774="","",IF(ISNUMBER(Data!K774),IF(AND(Data!K774&gt;(TODAY()-(Data_Val!$K$3*365.25)),Data!K774&lt;=(TODAY()-(Data_Val!$K$2*365.25))),0,1),1))</f>
        <v/>
      </c>
      <c r="L784" s="16" t="str">
        <f>IF(Data!G774="","",IF(Data!G774=Data_Val!$C$2,IF(Data!L774="",0,1),0))</f>
        <v/>
      </c>
      <c r="M784" s="16" t="str">
        <f>IF(Data!L774="","",IF(ISNUMBER(MATCH(Data!M774,Data_Val!$A$2:$A$3,0)),0,1))</f>
        <v/>
      </c>
      <c r="N784" s="43" t="str">
        <f ca="1">IF(Data!L774="","",IF(ISNUMBER(Data!N774),IF(AND(Data!N774&gt;(TODAY()-(Data_Val!$L$3*365.25)),Data!N774&lt;=(TODAY()-(Data_Val!$L$2*365.25))),0,1),1))</f>
        <v/>
      </c>
      <c r="O784" s="18" t="str">
        <f>IF(Data!$G774="","",IF(Data!$G774=Data_Val!$C$2,IF(Data!O774="",0,1),0))</f>
        <v/>
      </c>
      <c r="P784" s="18" t="str">
        <f>IF(Data!O774="","",IF(ISNUMBER(MATCH(Data!P774,Data_Val!$A$2:$A$3,0)),0,1))</f>
        <v/>
      </c>
      <c r="Q784" s="44" t="str">
        <f ca="1">IF(Data!O774="","",IF(ISNUMBER(Data!Q774),IF(AND(Data!Q774&gt;(TODAY()-(Data_Val!$L$3*365.25)),Data!Q774&lt;=(TODAY()-(Data_Val!$L$2*365.25))),0,1),1))</f>
        <v/>
      </c>
    </row>
    <row r="785" spans="1:17" ht="12" customHeight="1" x14ac:dyDescent="0.25">
      <c r="A785" s="36" t="str">
        <f>IF(Data!B775="","",IF(COUNTIFS(Data!A$1:'Data'!A775,Data!A775)&lt;=1,0,1))</f>
        <v/>
      </c>
      <c r="B785" s="36"/>
      <c r="C785" s="36" t="str">
        <f>IF(Data!C775="","",(IF(ISNUMBER(MATCH("*@*.?*",Data!C775,0)),0,1)+IF(COUNTIFS(Data!C$1:'Data'!C775,Data!C775)&gt;1,1,0)))</f>
        <v/>
      </c>
      <c r="D785" s="36" t="str">
        <f>IF(Data!B775="","",IF(ISNUMBER(Data!D775),IF(AND(Data!D775&gt;999999999,Data!D775&lt;=9999999999),IF(COUNTIFS(Data!D$1:'Data'!D775,Data!D775)&lt;=1,0,1),1),1))</f>
        <v/>
      </c>
      <c r="E785" s="36" t="str">
        <f>IF(Data!B775="","",IF(ISNUMBER(MATCH(Data!E775,Data_Val!$A$2:$A$3,0)),0,1))</f>
        <v/>
      </c>
      <c r="F785" s="36" t="str">
        <f ca="1">IF(Data!B775="","",IF(ISNUMBER(Data!F775),IF(AND(Data!F775&gt;(TODAY()-(Data_Val!$H$3*365.25)),Data!F775&lt;=(TODAY()-(Data_Val!$H$2*365.25))),0,1),1))</f>
        <v/>
      </c>
      <c r="G785" s="12" t="str">
        <f>IF(Data!B775="","",IF(AND(Data!G775="",Data!H775&lt;&gt;""),1,IF(ISNUMBER(MATCH(Data!G775,Data_Val!$C$2:$C$5,0)),0,1)))</f>
        <v/>
      </c>
      <c r="H785" s="12" t="str">
        <f>IF(Data!B775="","",IF(AND(Data!G775&lt;&gt;"",Data!H775=""),1,IF(Data!G775="",1,IF(ISNUMBER(MATCH(Data!H775,Data_Val!$D$2:$D$35,0)),0,1))))</f>
        <v/>
      </c>
      <c r="I785" s="38" t="str">
        <f>IF(Data!G775="","",IF(Data!G775=Data_Val!$C$2,IF(Data!I775="",0,1),0))</f>
        <v/>
      </c>
      <c r="J785" s="38" t="str">
        <f>IF(Data!I775="","",IF(ISNUMBER(MATCH(Data!J775,Data_Val!$A$2:$A$3,0)),0,1))</f>
        <v/>
      </c>
      <c r="K785" s="38" t="str">
        <f ca="1">IF(Data!I775="","",IF(ISNUMBER(Data!K775),IF(AND(Data!K775&gt;(TODAY()-(Data_Val!$K$3*365.25)),Data!K775&lt;=(TODAY()-(Data_Val!$K$2*365.25))),0,1),1))</f>
        <v/>
      </c>
      <c r="L785" s="16" t="str">
        <f>IF(Data!G775="","",IF(Data!G775=Data_Val!$C$2,IF(Data!L775="",0,1),0))</f>
        <v/>
      </c>
      <c r="M785" s="16" t="str">
        <f>IF(Data!L775="","",IF(ISNUMBER(MATCH(Data!M775,Data_Val!$A$2:$A$3,0)),0,1))</f>
        <v/>
      </c>
      <c r="N785" s="43" t="str">
        <f ca="1">IF(Data!L775="","",IF(ISNUMBER(Data!N775),IF(AND(Data!N775&gt;(TODAY()-(Data_Val!$L$3*365.25)),Data!N775&lt;=(TODAY()-(Data_Val!$L$2*365.25))),0,1),1))</f>
        <v/>
      </c>
      <c r="O785" s="18" t="str">
        <f>IF(Data!$G775="","",IF(Data!$G775=Data_Val!$C$2,IF(Data!O775="",0,1),0))</f>
        <v/>
      </c>
      <c r="P785" s="18" t="str">
        <f>IF(Data!O775="","",IF(ISNUMBER(MATCH(Data!P775,Data_Val!$A$2:$A$3,0)),0,1))</f>
        <v/>
      </c>
      <c r="Q785" s="44" t="str">
        <f ca="1">IF(Data!O775="","",IF(ISNUMBER(Data!Q775),IF(AND(Data!Q775&gt;(TODAY()-(Data_Val!$L$3*365.25)),Data!Q775&lt;=(TODAY()-(Data_Val!$L$2*365.25))),0,1),1))</f>
        <v/>
      </c>
    </row>
    <row r="786" spans="1:17" ht="12" customHeight="1" x14ac:dyDescent="0.25">
      <c r="A786" s="36" t="str">
        <f>IF(Data!B776="","",IF(COUNTIFS(Data!A$1:'Data'!A776,Data!A776)&lt;=1,0,1))</f>
        <v/>
      </c>
      <c r="B786" s="36"/>
      <c r="C786" s="36" t="str">
        <f>IF(Data!C776="","",(IF(ISNUMBER(MATCH("*@*.?*",Data!C776,0)),0,1)+IF(COUNTIFS(Data!C$1:'Data'!C776,Data!C776)&gt;1,1,0)))</f>
        <v/>
      </c>
      <c r="D786" s="36" t="str">
        <f>IF(Data!B776="","",IF(ISNUMBER(Data!D776),IF(AND(Data!D776&gt;999999999,Data!D776&lt;=9999999999),IF(COUNTIFS(Data!D$1:'Data'!D776,Data!D776)&lt;=1,0,1),1),1))</f>
        <v/>
      </c>
      <c r="E786" s="36" t="str">
        <f>IF(Data!B776="","",IF(ISNUMBER(MATCH(Data!E776,Data_Val!$A$2:$A$3,0)),0,1))</f>
        <v/>
      </c>
      <c r="F786" s="36" t="str">
        <f ca="1">IF(Data!B776="","",IF(ISNUMBER(Data!F776),IF(AND(Data!F776&gt;(TODAY()-(Data_Val!$H$3*365.25)),Data!F776&lt;=(TODAY()-(Data_Val!$H$2*365.25))),0,1),1))</f>
        <v/>
      </c>
      <c r="G786" s="12" t="str">
        <f>IF(Data!B776="","",IF(AND(Data!G776="",Data!H776&lt;&gt;""),1,IF(ISNUMBER(MATCH(Data!G776,Data_Val!$C$2:$C$5,0)),0,1)))</f>
        <v/>
      </c>
      <c r="H786" s="12" t="str">
        <f>IF(Data!B776="","",IF(AND(Data!G776&lt;&gt;"",Data!H776=""),1,IF(Data!G776="",1,IF(ISNUMBER(MATCH(Data!H776,Data_Val!$D$2:$D$35,0)),0,1))))</f>
        <v/>
      </c>
      <c r="I786" s="38" t="str">
        <f>IF(Data!G776="","",IF(Data!G776=Data_Val!$C$2,IF(Data!I776="",0,1),0))</f>
        <v/>
      </c>
      <c r="J786" s="38" t="str">
        <f>IF(Data!I776="","",IF(ISNUMBER(MATCH(Data!J776,Data_Val!$A$2:$A$3,0)),0,1))</f>
        <v/>
      </c>
      <c r="K786" s="38" t="str">
        <f ca="1">IF(Data!I776="","",IF(ISNUMBER(Data!K776),IF(AND(Data!K776&gt;(TODAY()-(Data_Val!$K$3*365.25)),Data!K776&lt;=(TODAY()-(Data_Val!$K$2*365.25))),0,1),1))</f>
        <v/>
      </c>
      <c r="L786" s="16" t="str">
        <f>IF(Data!G776="","",IF(Data!G776=Data_Val!$C$2,IF(Data!L776="",0,1),0))</f>
        <v/>
      </c>
      <c r="M786" s="16" t="str">
        <f>IF(Data!L776="","",IF(ISNUMBER(MATCH(Data!M776,Data_Val!$A$2:$A$3,0)),0,1))</f>
        <v/>
      </c>
      <c r="N786" s="43" t="str">
        <f ca="1">IF(Data!L776="","",IF(ISNUMBER(Data!N776),IF(AND(Data!N776&gt;(TODAY()-(Data_Val!$L$3*365.25)),Data!N776&lt;=(TODAY()-(Data_Val!$L$2*365.25))),0,1),1))</f>
        <v/>
      </c>
      <c r="O786" s="18" t="str">
        <f>IF(Data!$G776="","",IF(Data!$G776=Data_Val!$C$2,IF(Data!O776="",0,1),0))</f>
        <v/>
      </c>
      <c r="P786" s="18" t="str">
        <f>IF(Data!O776="","",IF(ISNUMBER(MATCH(Data!P776,Data_Val!$A$2:$A$3,0)),0,1))</f>
        <v/>
      </c>
      <c r="Q786" s="44" t="str">
        <f ca="1">IF(Data!O776="","",IF(ISNUMBER(Data!Q776),IF(AND(Data!Q776&gt;(TODAY()-(Data_Val!$L$3*365.25)),Data!Q776&lt;=(TODAY()-(Data_Val!$L$2*365.25))),0,1),1))</f>
        <v/>
      </c>
    </row>
    <row r="787" spans="1:17" ht="12" customHeight="1" x14ac:dyDescent="0.25">
      <c r="A787" s="36" t="str">
        <f>IF(Data!B777="","",IF(COUNTIFS(Data!A$1:'Data'!A777,Data!A777)&lt;=1,0,1))</f>
        <v/>
      </c>
      <c r="B787" s="36"/>
      <c r="C787" s="36" t="str">
        <f>IF(Data!C777="","",(IF(ISNUMBER(MATCH("*@*.?*",Data!C777,0)),0,1)+IF(COUNTIFS(Data!C$1:'Data'!C777,Data!C777)&gt;1,1,0)))</f>
        <v/>
      </c>
      <c r="D787" s="36" t="str">
        <f>IF(Data!B777="","",IF(ISNUMBER(Data!D777),IF(AND(Data!D777&gt;999999999,Data!D777&lt;=9999999999),IF(COUNTIFS(Data!D$1:'Data'!D777,Data!D777)&lt;=1,0,1),1),1))</f>
        <v/>
      </c>
      <c r="E787" s="36" t="str">
        <f>IF(Data!B777="","",IF(ISNUMBER(MATCH(Data!E777,Data_Val!$A$2:$A$3,0)),0,1))</f>
        <v/>
      </c>
      <c r="F787" s="36" t="str">
        <f ca="1">IF(Data!B777="","",IF(ISNUMBER(Data!F777),IF(AND(Data!F777&gt;(TODAY()-(Data_Val!$H$3*365.25)),Data!F777&lt;=(TODAY()-(Data_Val!$H$2*365.25))),0,1),1))</f>
        <v/>
      </c>
      <c r="G787" s="12" t="str">
        <f>IF(Data!B777="","",IF(AND(Data!G777="",Data!H777&lt;&gt;""),1,IF(ISNUMBER(MATCH(Data!G777,Data_Val!$C$2:$C$5,0)),0,1)))</f>
        <v/>
      </c>
      <c r="H787" s="12" t="str">
        <f>IF(Data!B777="","",IF(AND(Data!G777&lt;&gt;"",Data!H777=""),1,IF(Data!G777="",1,IF(ISNUMBER(MATCH(Data!H777,Data_Val!$D$2:$D$35,0)),0,1))))</f>
        <v/>
      </c>
      <c r="I787" s="38" t="str">
        <f>IF(Data!G777="","",IF(Data!G777=Data_Val!$C$2,IF(Data!I777="",0,1),0))</f>
        <v/>
      </c>
      <c r="J787" s="38" t="str">
        <f>IF(Data!I777="","",IF(ISNUMBER(MATCH(Data!J777,Data_Val!$A$2:$A$3,0)),0,1))</f>
        <v/>
      </c>
      <c r="K787" s="38" t="str">
        <f ca="1">IF(Data!I777="","",IF(ISNUMBER(Data!K777),IF(AND(Data!K777&gt;(TODAY()-(Data_Val!$K$3*365.25)),Data!K777&lt;=(TODAY()-(Data_Val!$K$2*365.25))),0,1),1))</f>
        <v/>
      </c>
      <c r="L787" s="16" t="str">
        <f>IF(Data!G777="","",IF(Data!G777=Data_Val!$C$2,IF(Data!L777="",0,1),0))</f>
        <v/>
      </c>
      <c r="M787" s="16" t="str">
        <f>IF(Data!L777="","",IF(ISNUMBER(MATCH(Data!M777,Data_Val!$A$2:$A$3,0)),0,1))</f>
        <v/>
      </c>
      <c r="N787" s="43" t="str">
        <f ca="1">IF(Data!L777="","",IF(ISNUMBER(Data!N777),IF(AND(Data!N777&gt;(TODAY()-(Data_Val!$L$3*365.25)),Data!N777&lt;=(TODAY()-(Data_Val!$L$2*365.25))),0,1),1))</f>
        <v/>
      </c>
      <c r="O787" s="18" t="str">
        <f>IF(Data!$G777="","",IF(Data!$G777=Data_Val!$C$2,IF(Data!O777="",0,1),0))</f>
        <v/>
      </c>
      <c r="P787" s="18" t="str">
        <f>IF(Data!O777="","",IF(ISNUMBER(MATCH(Data!P777,Data_Val!$A$2:$A$3,0)),0,1))</f>
        <v/>
      </c>
      <c r="Q787" s="44" t="str">
        <f ca="1">IF(Data!O777="","",IF(ISNUMBER(Data!Q777),IF(AND(Data!Q777&gt;(TODAY()-(Data_Val!$L$3*365.25)),Data!Q777&lt;=(TODAY()-(Data_Val!$L$2*365.25))),0,1),1))</f>
        <v/>
      </c>
    </row>
    <row r="788" spans="1:17" ht="12" customHeight="1" x14ac:dyDescent="0.25">
      <c r="A788" s="36" t="str">
        <f>IF(Data!B778="","",IF(COUNTIFS(Data!A$1:'Data'!A778,Data!A778)&lt;=1,0,1))</f>
        <v/>
      </c>
      <c r="B788" s="36"/>
      <c r="C788" s="36" t="str">
        <f>IF(Data!C778="","",(IF(ISNUMBER(MATCH("*@*.?*",Data!C778,0)),0,1)+IF(COUNTIFS(Data!C$1:'Data'!C778,Data!C778)&gt;1,1,0)))</f>
        <v/>
      </c>
      <c r="D788" s="36" t="str">
        <f>IF(Data!B778="","",IF(ISNUMBER(Data!D778),IF(AND(Data!D778&gt;999999999,Data!D778&lt;=9999999999),IF(COUNTIFS(Data!D$1:'Data'!D778,Data!D778)&lt;=1,0,1),1),1))</f>
        <v/>
      </c>
      <c r="E788" s="36" t="str">
        <f>IF(Data!B778="","",IF(ISNUMBER(MATCH(Data!E778,Data_Val!$A$2:$A$3,0)),0,1))</f>
        <v/>
      </c>
      <c r="F788" s="36" t="str">
        <f ca="1">IF(Data!B778="","",IF(ISNUMBER(Data!F778),IF(AND(Data!F778&gt;(TODAY()-(Data_Val!$H$3*365.25)),Data!F778&lt;=(TODAY()-(Data_Val!$H$2*365.25))),0,1),1))</f>
        <v/>
      </c>
      <c r="G788" s="12" t="str">
        <f>IF(Data!B778="","",IF(AND(Data!G778="",Data!H778&lt;&gt;""),1,IF(ISNUMBER(MATCH(Data!G778,Data_Val!$C$2:$C$5,0)),0,1)))</f>
        <v/>
      </c>
      <c r="H788" s="12" t="str">
        <f>IF(Data!B778="","",IF(AND(Data!G778&lt;&gt;"",Data!H778=""),1,IF(Data!G778="",1,IF(ISNUMBER(MATCH(Data!H778,Data_Val!$D$2:$D$35,0)),0,1))))</f>
        <v/>
      </c>
      <c r="I788" s="38" t="str">
        <f>IF(Data!G778="","",IF(Data!G778=Data_Val!$C$2,IF(Data!I778="",0,1),0))</f>
        <v/>
      </c>
      <c r="J788" s="38" t="str">
        <f>IF(Data!I778="","",IF(ISNUMBER(MATCH(Data!J778,Data_Val!$A$2:$A$3,0)),0,1))</f>
        <v/>
      </c>
      <c r="K788" s="38" t="str">
        <f ca="1">IF(Data!I778="","",IF(ISNUMBER(Data!K778),IF(AND(Data!K778&gt;(TODAY()-(Data_Val!$K$3*365.25)),Data!K778&lt;=(TODAY()-(Data_Val!$K$2*365.25))),0,1),1))</f>
        <v/>
      </c>
      <c r="L788" s="16" t="str">
        <f>IF(Data!G778="","",IF(Data!G778=Data_Val!$C$2,IF(Data!L778="",0,1),0))</f>
        <v/>
      </c>
      <c r="M788" s="16" t="str">
        <f>IF(Data!L778="","",IF(ISNUMBER(MATCH(Data!M778,Data_Val!$A$2:$A$3,0)),0,1))</f>
        <v/>
      </c>
      <c r="N788" s="43" t="str">
        <f ca="1">IF(Data!L778="","",IF(ISNUMBER(Data!N778),IF(AND(Data!N778&gt;(TODAY()-(Data_Val!$L$3*365.25)),Data!N778&lt;=(TODAY()-(Data_Val!$L$2*365.25))),0,1),1))</f>
        <v/>
      </c>
      <c r="O788" s="18" t="str">
        <f>IF(Data!$G778="","",IF(Data!$G778=Data_Val!$C$2,IF(Data!O778="",0,1),0))</f>
        <v/>
      </c>
      <c r="P788" s="18" t="str">
        <f>IF(Data!O778="","",IF(ISNUMBER(MATCH(Data!P778,Data_Val!$A$2:$A$3,0)),0,1))</f>
        <v/>
      </c>
      <c r="Q788" s="44" t="str">
        <f ca="1">IF(Data!O778="","",IF(ISNUMBER(Data!Q778),IF(AND(Data!Q778&gt;(TODAY()-(Data_Val!$L$3*365.25)),Data!Q778&lt;=(TODAY()-(Data_Val!$L$2*365.25))),0,1),1))</f>
        <v/>
      </c>
    </row>
    <row r="789" spans="1:17" ht="12" customHeight="1" x14ac:dyDescent="0.25">
      <c r="A789" s="36" t="str">
        <f>IF(Data!B779="","",IF(COUNTIFS(Data!A$1:'Data'!A779,Data!A779)&lt;=1,0,1))</f>
        <v/>
      </c>
      <c r="B789" s="36"/>
      <c r="C789" s="36" t="str">
        <f>IF(Data!C779="","",(IF(ISNUMBER(MATCH("*@*.?*",Data!C779,0)),0,1)+IF(COUNTIFS(Data!C$1:'Data'!C779,Data!C779)&gt;1,1,0)))</f>
        <v/>
      </c>
      <c r="D789" s="36" t="str">
        <f>IF(Data!B779="","",IF(ISNUMBER(Data!D779),IF(AND(Data!D779&gt;999999999,Data!D779&lt;=9999999999),IF(COUNTIFS(Data!D$1:'Data'!D779,Data!D779)&lt;=1,0,1),1),1))</f>
        <v/>
      </c>
      <c r="E789" s="36" t="str">
        <f>IF(Data!B779="","",IF(ISNUMBER(MATCH(Data!E779,Data_Val!$A$2:$A$3,0)),0,1))</f>
        <v/>
      </c>
      <c r="F789" s="36" t="str">
        <f ca="1">IF(Data!B779="","",IF(ISNUMBER(Data!F779),IF(AND(Data!F779&gt;(TODAY()-(Data_Val!$H$3*365.25)),Data!F779&lt;=(TODAY()-(Data_Val!$H$2*365.25))),0,1),1))</f>
        <v/>
      </c>
      <c r="G789" s="12" t="str">
        <f>IF(Data!B779="","",IF(AND(Data!G779="",Data!H779&lt;&gt;""),1,IF(ISNUMBER(MATCH(Data!G779,Data_Val!$C$2:$C$5,0)),0,1)))</f>
        <v/>
      </c>
      <c r="H789" s="12" t="str">
        <f>IF(Data!B779="","",IF(AND(Data!G779&lt;&gt;"",Data!H779=""),1,IF(Data!G779="",1,IF(ISNUMBER(MATCH(Data!H779,Data_Val!$D$2:$D$35,0)),0,1))))</f>
        <v/>
      </c>
      <c r="I789" s="38" t="str">
        <f>IF(Data!G779="","",IF(Data!G779=Data_Val!$C$2,IF(Data!I779="",0,1),0))</f>
        <v/>
      </c>
      <c r="J789" s="38" t="str">
        <f>IF(Data!I779="","",IF(ISNUMBER(MATCH(Data!J779,Data_Val!$A$2:$A$3,0)),0,1))</f>
        <v/>
      </c>
      <c r="K789" s="38" t="str">
        <f ca="1">IF(Data!I779="","",IF(ISNUMBER(Data!K779),IF(AND(Data!K779&gt;(TODAY()-(Data_Val!$K$3*365.25)),Data!K779&lt;=(TODAY()-(Data_Val!$K$2*365.25))),0,1),1))</f>
        <v/>
      </c>
      <c r="L789" s="16" t="str">
        <f>IF(Data!G779="","",IF(Data!G779=Data_Val!$C$2,IF(Data!L779="",0,1),0))</f>
        <v/>
      </c>
      <c r="M789" s="16" t="str">
        <f>IF(Data!L779="","",IF(ISNUMBER(MATCH(Data!M779,Data_Val!$A$2:$A$3,0)),0,1))</f>
        <v/>
      </c>
      <c r="N789" s="43" t="str">
        <f ca="1">IF(Data!L779="","",IF(ISNUMBER(Data!N779),IF(AND(Data!N779&gt;(TODAY()-(Data_Val!$L$3*365.25)),Data!N779&lt;=(TODAY()-(Data_Val!$L$2*365.25))),0,1),1))</f>
        <v/>
      </c>
      <c r="O789" s="18" t="str">
        <f>IF(Data!$G779="","",IF(Data!$G779=Data_Val!$C$2,IF(Data!O779="",0,1),0))</f>
        <v/>
      </c>
      <c r="P789" s="18" t="str">
        <f>IF(Data!O779="","",IF(ISNUMBER(MATCH(Data!P779,Data_Val!$A$2:$A$3,0)),0,1))</f>
        <v/>
      </c>
      <c r="Q789" s="44" t="str">
        <f ca="1">IF(Data!O779="","",IF(ISNUMBER(Data!Q779),IF(AND(Data!Q779&gt;(TODAY()-(Data_Val!$L$3*365.25)),Data!Q779&lt;=(TODAY()-(Data_Val!$L$2*365.25))),0,1),1))</f>
        <v/>
      </c>
    </row>
    <row r="790" spans="1:17" ht="12" customHeight="1" x14ac:dyDescent="0.25">
      <c r="A790" s="36" t="str">
        <f>IF(Data!B780="","",IF(COUNTIFS(Data!A$1:'Data'!A780,Data!A780)&lt;=1,0,1))</f>
        <v/>
      </c>
      <c r="B790" s="36"/>
      <c r="C790" s="36" t="str">
        <f>IF(Data!C780="","",(IF(ISNUMBER(MATCH("*@*.?*",Data!C780,0)),0,1)+IF(COUNTIFS(Data!C$1:'Data'!C780,Data!C780)&gt;1,1,0)))</f>
        <v/>
      </c>
      <c r="D790" s="36" t="str">
        <f>IF(Data!B780="","",IF(ISNUMBER(Data!D780),IF(AND(Data!D780&gt;999999999,Data!D780&lt;=9999999999),IF(COUNTIFS(Data!D$1:'Data'!D780,Data!D780)&lt;=1,0,1),1),1))</f>
        <v/>
      </c>
      <c r="E790" s="36" t="str">
        <f>IF(Data!B780="","",IF(ISNUMBER(MATCH(Data!E780,Data_Val!$A$2:$A$3,0)),0,1))</f>
        <v/>
      </c>
      <c r="F790" s="36" t="str">
        <f ca="1">IF(Data!B780="","",IF(ISNUMBER(Data!F780),IF(AND(Data!F780&gt;(TODAY()-(Data_Val!$H$3*365.25)),Data!F780&lt;=(TODAY()-(Data_Val!$H$2*365.25))),0,1),1))</f>
        <v/>
      </c>
      <c r="G790" s="12" t="str">
        <f>IF(Data!B780="","",IF(AND(Data!G780="",Data!H780&lt;&gt;""),1,IF(ISNUMBER(MATCH(Data!G780,Data_Val!$C$2:$C$5,0)),0,1)))</f>
        <v/>
      </c>
      <c r="H790" s="12" t="str">
        <f>IF(Data!B780="","",IF(AND(Data!G780&lt;&gt;"",Data!H780=""),1,IF(Data!G780="",1,IF(ISNUMBER(MATCH(Data!H780,Data_Val!$D$2:$D$35,0)),0,1))))</f>
        <v/>
      </c>
      <c r="I790" s="38" t="str">
        <f>IF(Data!G780="","",IF(Data!G780=Data_Val!$C$2,IF(Data!I780="",0,1),0))</f>
        <v/>
      </c>
      <c r="J790" s="38" t="str">
        <f>IF(Data!I780="","",IF(ISNUMBER(MATCH(Data!J780,Data_Val!$A$2:$A$3,0)),0,1))</f>
        <v/>
      </c>
      <c r="K790" s="38" t="str">
        <f ca="1">IF(Data!I780="","",IF(ISNUMBER(Data!K780),IF(AND(Data!K780&gt;(TODAY()-(Data_Val!$K$3*365.25)),Data!K780&lt;=(TODAY()-(Data_Val!$K$2*365.25))),0,1),1))</f>
        <v/>
      </c>
      <c r="L790" s="16" t="str">
        <f>IF(Data!G780="","",IF(Data!G780=Data_Val!$C$2,IF(Data!L780="",0,1),0))</f>
        <v/>
      </c>
      <c r="M790" s="16" t="str">
        <f>IF(Data!L780="","",IF(ISNUMBER(MATCH(Data!M780,Data_Val!$A$2:$A$3,0)),0,1))</f>
        <v/>
      </c>
      <c r="N790" s="43" t="str">
        <f ca="1">IF(Data!L780="","",IF(ISNUMBER(Data!N780),IF(AND(Data!N780&gt;(TODAY()-(Data_Val!$L$3*365.25)),Data!N780&lt;=(TODAY()-(Data_Val!$L$2*365.25))),0,1),1))</f>
        <v/>
      </c>
      <c r="O790" s="18" t="str">
        <f>IF(Data!$G780="","",IF(Data!$G780=Data_Val!$C$2,IF(Data!O780="",0,1),0))</f>
        <v/>
      </c>
      <c r="P790" s="18" t="str">
        <f>IF(Data!O780="","",IF(ISNUMBER(MATCH(Data!P780,Data_Val!$A$2:$A$3,0)),0,1))</f>
        <v/>
      </c>
      <c r="Q790" s="44" t="str">
        <f ca="1">IF(Data!O780="","",IF(ISNUMBER(Data!Q780),IF(AND(Data!Q780&gt;(TODAY()-(Data_Val!$L$3*365.25)),Data!Q780&lt;=(TODAY()-(Data_Val!$L$2*365.25))),0,1),1))</f>
        <v/>
      </c>
    </row>
    <row r="791" spans="1:17" ht="12" customHeight="1" x14ac:dyDescent="0.25">
      <c r="A791" s="36" t="str">
        <f>IF(Data!B781="","",IF(COUNTIFS(Data!A$1:'Data'!A781,Data!A781)&lt;=1,0,1))</f>
        <v/>
      </c>
      <c r="B791" s="36"/>
      <c r="C791" s="36" t="str">
        <f>IF(Data!C781="","",(IF(ISNUMBER(MATCH("*@*.?*",Data!C781,0)),0,1)+IF(COUNTIFS(Data!C$1:'Data'!C781,Data!C781)&gt;1,1,0)))</f>
        <v/>
      </c>
      <c r="D791" s="36" t="str">
        <f>IF(Data!B781="","",IF(ISNUMBER(Data!D781),IF(AND(Data!D781&gt;999999999,Data!D781&lt;=9999999999),IF(COUNTIFS(Data!D$1:'Data'!D781,Data!D781)&lt;=1,0,1),1),1))</f>
        <v/>
      </c>
      <c r="E791" s="36" t="str">
        <f>IF(Data!B781="","",IF(ISNUMBER(MATCH(Data!E781,Data_Val!$A$2:$A$3,0)),0,1))</f>
        <v/>
      </c>
      <c r="F791" s="36" t="str">
        <f ca="1">IF(Data!B781="","",IF(ISNUMBER(Data!F781),IF(AND(Data!F781&gt;(TODAY()-(Data_Val!$H$3*365.25)),Data!F781&lt;=(TODAY()-(Data_Val!$H$2*365.25))),0,1),1))</f>
        <v/>
      </c>
      <c r="G791" s="12" t="str">
        <f>IF(Data!B781="","",IF(AND(Data!G781="",Data!H781&lt;&gt;""),1,IF(ISNUMBER(MATCH(Data!G781,Data_Val!$C$2:$C$5,0)),0,1)))</f>
        <v/>
      </c>
      <c r="H791" s="12" t="str">
        <f>IF(Data!B781="","",IF(AND(Data!G781&lt;&gt;"",Data!H781=""),1,IF(Data!G781="",1,IF(ISNUMBER(MATCH(Data!H781,Data_Val!$D$2:$D$35,0)),0,1))))</f>
        <v/>
      </c>
      <c r="I791" s="38" t="str">
        <f>IF(Data!G781="","",IF(Data!G781=Data_Val!$C$2,IF(Data!I781="",0,1),0))</f>
        <v/>
      </c>
      <c r="J791" s="38" t="str">
        <f>IF(Data!I781="","",IF(ISNUMBER(MATCH(Data!J781,Data_Val!$A$2:$A$3,0)),0,1))</f>
        <v/>
      </c>
      <c r="K791" s="38" t="str">
        <f ca="1">IF(Data!I781="","",IF(ISNUMBER(Data!K781),IF(AND(Data!K781&gt;(TODAY()-(Data_Val!$K$3*365.25)),Data!K781&lt;=(TODAY()-(Data_Val!$K$2*365.25))),0,1),1))</f>
        <v/>
      </c>
      <c r="L791" s="16" t="str">
        <f>IF(Data!G781="","",IF(Data!G781=Data_Val!$C$2,IF(Data!L781="",0,1),0))</f>
        <v/>
      </c>
      <c r="M791" s="16" t="str">
        <f>IF(Data!L781="","",IF(ISNUMBER(MATCH(Data!M781,Data_Val!$A$2:$A$3,0)),0,1))</f>
        <v/>
      </c>
      <c r="N791" s="43" t="str">
        <f ca="1">IF(Data!L781="","",IF(ISNUMBER(Data!N781),IF(AND(Data!N781&gt;(TODAY()-(Data_Val!$L$3*365.25)),Data!N781&lt;=(TODAY()-(Data_Val!$L$2*365.25))),0,1),1))</f>
        <v/>
      </c>
      <c r="O791" s="18" t="str">
        <f>IF(Data!$G781="","",IF(Data!$G781=Data_Val!$C$2,IF(Data!O781="",0,1),0))</f>
        <v/>
      </c>
      <c r="P791" s="18" t="str">
        <f>IF(Data!O781="","",IF(ISNUMBER(MATCH(Data!P781,Data_Val!$A$2:$A$3,0)),0,1))</f>
        <v/>
      </c>
      <c r="Q791" s="44" t="str">
        <f ca="1">IF(Data!O781="","",IF(ISNUMBER(Data!Q781),IF(AND(Data!Q781&gt;(TODAY()-(Data_Val!$L$3*365.25)),Data!Q781&lt;=(TODAY()-(Data_Val!$L$2*365.25))),0,1),1))</f>
        <v/>
      </c>
    </row>
    <row r="792" spans="1:17" ht="12" customHeight="1" x14ac:dyDescent="0.25">
      <c r="A792" s="36" t="str">
        <f>IF(Data!B782="","",IF(COUNTIFS(Data!A$1:'Data'!A782,Data!A782)&lt;=1,0,1))</f>
        <v/>
      </c>
      <c r="B792" s="36"/>
      <c r="C792" s="36" t="str">
        <f>IF(Data!C782="","",(IF(ISNUMBER(MATCH("*@*.?*",Data!C782,0)),0,1)+IF(COUNTIFS(Data!C$1:'Data'!C782,Data!C782)&gt;1,1,0)))</f>
        <v/>
      </c>
      <c r="D792" s="36" t="str">
        <f>IF(Data!B782="","",IF(ISNUMBER(Data!D782),IF(AND(Data!D782&gt;999999999,Data!D782&lt;=9999999999),IF(COUNTIFS(Data!D$1:'Data'!D782,Data!D782)&lt;=1,0,1),1),1))</f>
        <v/>
      </c>
      <c r="E792" s="36" t="str">
        <f>IF(Data!B782="","",IF(ISNUMBER(MATCH(Data!E782,Data_Val!$A$2:$A$3,0)),0,1))</f>
        <v/>
      </c>
      <c r="F792" s="36" t="str">
        <f ca="1">IF(Data!B782="","",IF(ISNUMBER(Data!F782),IF(AND(Data!F782&gt;(TODAY()-(Data_Val!$H$3*365.25)),Data!F782&lt;=(TODAY()-(Data_Val!$H$2*365.25))),0,1),1))</f>
        <v/>
      </c>
      <c r="G792" s="12" t="str">
        <f>IF(Data!B782="","",IF(AND(Data!G782="",Data!H782&lt;&gt;""),1,IF(ISNUMBER(MATCH(Data!G782,Data_Val!$C$2:$C$5,0)),0,1)))</f>
        <v/>
      </c>
      <c r="H792" s="12" t="str">
        <f>IF(Data!B782="","",IF(AND(Data!G782&lt;&gt;"",Data!H782=""),1,IF(Data!G782="",1,IF(ISNUMBER(MATCH(Data!H782,Data_Val!$D$2:$D$35,0)),0,1))))</f>
        <v/>
      </c>
      <c r="I792" s="38" t="str">
        <f>IF(Data!G782="","",IF(Data!G782=Data_Val!$C$2,IF(Data!I782="",0,1),0))</f>
        <v/>
      </c>
      <c r="J792" s="38" t="str">
        <f>IF(Data!I782="","",IF(ISNUMBER(MATCH(Data!J782,Data_Val!$A$2:$A$3,0)),0,1))</f>
        <v/>
      </c>
      <c r="K792" s="38" t="str">
        <f ca="1">IF(Data!I782="","",IF(ISNUMBER(Data!K782),IF(AND(Data!K782&gt;(TODAY()-(Data_Val!$K$3*365.25)),Data!K782&lt;=(TODAY()-(Data_Val!$K$2*365.25))),0,1),1))</f>
        <v/>
      </c>
      <c r="L792" s="16" t="str">
        <f>IF(Data!G782="","",IF(Data!G782=Data_Val!$C$2,IF(Data!L782="",0,1),0))</f>
        <v/>
      </c>
      <c r="M792" s="16" t="str">
        <f>IF(Data!L782="","",IF(ISNUMBER(MATCH(Data!M782,Data_Val!$A$2:$A$3,0)),0,1))</f>
        <v/>
      </c>
      <c r="N792" s="43" t="str">
        <f ca="1">IF(Data!L782="","",IF(ISNUMBER(Data!N782),IF(AND(Data!N782&gt;(TODAY()-(Data_Val!$L$3*365.25)),Data!N782&lt;=(TODAY()-(Data_Val!$L$2*365.25))),0,1),1))</f>
        <v/>
      </c>
      <c r="O792" s="18" t="str">
        <f>IF(Data!$G782="","",IF(Data!$G782=Data_Val!$C$2,IF(Data!O782="",0,1),0))</f>
        <v/>
      </c>
      <c r="P792" s="18" t="str">
        <f>IF(Data!O782="","",IF(ISNUMBER(MATCH(Data!P782,Data_Val!$A$2:$A$3,0)),0,1))</f>
        <v/>
      </c>
      <c r="Q792" s="44" t="str">
        <f ca="1">IF(Data!O782="","",IF(ISNUMBER(Data!Q782),IF(AND(Data!Q782&gt;(TODAY()-(Data_Val!$L$3*365.25)),Data!Q782&lt;=(TODAY()-(Data_Val!$L$2*365.25))),0,1),1))</f>
        <v/>
      </c>
    </row>
    <row r="793" spans="1:17" ht="12" customHeight="1" x14ac:dyDescent="0.25">
      <c r="A793" s="36" t="str">
        <f>IF(Data!B783="","",IF(COUNTIFS(Data!A$1:'Data'!A783,Data!A783)&lt;=1,0,1))</f>
        <v/>
      </c>
      <c r="B793" s="36"/>
      <c r="C793" s="36" t="str">
        <f>IF(Data!C783="","",(IF(ISNUMBER(MATCH("*@*.?*",Data!C783,0)),0,1)+IF(COUNTIFS(Data!C$1:'Data'!C783,Data!C783)&gt;1,1,0)))</f>
        <v/>
      </c>
      <c r="D793" s="36" t="str">
        <f>IF(Data!B783="","",IF(ISNUMBER(Data!D783),IF(AND(Data!D783&gt;999999999,Data!D783&lt;=9999999999),IF(COUNTIFS(Data!D$1:'Data'!D783,Data!D783)&lt;=1,0,1),1),1))</f>
        <v/>
      </c>
      <c r="E793" s="36" t="str">
        <f>IF(Data!B783="","",IF(ISNUMBER(MATCH(Data!E783,Data_Val!$A$2:$A$3,0)),0,1))</f>
        <v/>
      </c>
      <c r="F793" s="36" t="str">
        <f ca="1">IF(Data!B783="","",IF(ISNUMBER(Data!F783),IF(AND(Data!F783&gt;(TODAY()-(Data_Val!$H$3*365.25)),Data!F783&lt;=(TODAY()-(Data_Val!$H$2*365.25))),0,1),1))</f>
        <v/>
      </c>
      <c r="G793" s="12" t="str">
        <f>IF(Data!B783="","",IF(AND(Data!G783="",Data!H783&lt;&gt;""),1,IF(ISNUMBER(MATCH(Data!G783,Data_Val!$C$2:$C$5,0)),0,1)))</f>
        <v/>
      </c>
      <c r="H793" s="12" t="str">
        <f>IF(Data!B783="","",IF(AND(Data!G783&lt;&gt;"",Data!H783=""),1,IF(Data!G783="",1,IF(ISNUMBER(MATCH(Data!H783,Data_Val!$D$2:$D$35,0)),0,1))))</f>
        <v/>
      </c>
      <c r="I793" s="38" t="str">
        <f>IF(Data!G783="","",IF(Data!G783=Data_Val!$C$2,IF(Data!I783="",0,1),0))</f>
        <v/>
      </c>
      <c r="J793" s="38" t="str">
        <f>IF(Data!I783="","",IF(ISNUMBER(MATCH(Data!J783,Data_Val!$A$2:$A$3,0)),0,1))</f>
        <v/>
      </c>
      <c r="K793" s="38" t="str">
        <f ca="1">IF(Data!I783="","",IF(ISNUMBER(Data!K783),IF(AND(Data!K783&gt;(TODAY()-(Data_Val!$K$3*365.25)),Data!K783&lt;=(TODAY()-(Data_Val!$K$2*365.25))),0,1),1))</f>
        <v/>
      </c>
      <c r="L793" s="16" t="str">
        <f>IF(Data!G783="","",IF(Data!G783=Data_Val!$C$2,IF(Data!L783="",0,1),0))</f>
        <v/>
      </c>
      <c r="M793" s="16" t="str">
        <f>IF(Data!L783="","",IF(ISNUMBER(MATCH(Data!M783,Data_Val!$A$2:$A$3,0)),0,1))</f>
        <v/>
      </c>
      <c r="N793" s="43" t="str">
        <f ca="1">IF(Data!L783="","",IF(ISNUMBER(Data!N783),IF(AND(Data!N783&gt;(TODAY()-(Data_Val!$L$3*365.25)),Data!N783&lt;=(TODAY()-(Data_Val!$L$2*365.25))),0,1),1))</f>
        <v/>
      </c>
      <c r="O793" s="18" t="str">
        <f>IF(Data!$G783="","",IF(Data!$G783=Data_Val!$C$2,IF(Data!O783="",0,1),0))</f>
        <v/>
      </c>
      <c r="P793" s="18" t="str">
        <f>IF(Data!O783="","",IF(ISNUMBER(MATCH(Data!P783,Data_Val!$A$2:$A$3,0)),0,1))</f>
        <v/>
      </c>
      <c r="Q793" s="44" t="str">
        <f ca="1">IF(Data!O783="","",IF(ISNUMBER(Data!Q783),IF(AND(Data!Q783&gt;(TODAY()-(Data_Val!$L$3*365.25)),Data!Q783&lt;=(TODAY()-(Data_Val!$L$2*365.25))),0,1),1))</f>
        <v/>
      </c>
    </row>
    <row r="794" spans="1:17" ht="12" customHeight="1" x14ac:dyDescent="0.25">
      <c r="A794" s="36" t="str">
        <f>IF(Data!B784="","",IF(COUNTIFS(Data!A$1:'Data'!A784,Data!A784)&lt;=1,0,1))</f>
        <v/>
      </c>
      <c r="B794" s="36"/>
      <c r="C794" s="36" t="str">
        <f>IF(Data!C784="","",(IF(ISNUMBER(MATCH("*@*.?*",Data!C784,0)),0,1)+IF(COUNTIFS(Data!C$1:'Data'!C784,Data!C784)&gt;1,1,0)))</f>
        <v/>
      </c>
      <c r="D794" s="36" t="str">
        <f>IF(Data!B784="","",IF(ISNUMBER(Data!D784),IF(AND(Data!D784&gt;999999999,Data!D784&lt;=9999999999),IF(COUNTIFS(Data!D$1:'Data'!D784,Data!D784)&lt;=1,0,1),1),1))</f>
        <v/>
      </c>
      <c r="E794" s="36" t="str">
        <f>IF(Data!B784="","",IF(ISNUMBER(MATCH(Data!E784,Data_Val!$A$2:$A$3,0)),0,1))</f>
        <v/>
      </c>
      <c r="F794" s="36" t="str">
        <f ca="1">IF(Data!B784="","",IF(ISNUMBER(Data!F784),IF(AND(Data!F784&gt;(TODAY()-(Data_Val!$H$3*365.25)),Data!F784&lt;=(TODAY()-(Data_Val!$H$2*365.25))),0,1),1))</f>
        <v/>
      </c>
      <c r="G794" s="12" t="str">
        <f>IF(Data!B784="","",IF(AND(Data!G784="",Data!H784&lt;&gt;""),1,IF(ISNUMBER(MATCH(Data!G784,Data_Val!$C$2:$C$5,0)),0,1)))</f>
        <v/>
      </c>
      <c r="H794" s="12" t="str">
        <f>IF(Data!B784="","",IF(AND(Data!G784&lt;&gt;"",Data!H784=""),1,IF(Data!G784="",1,IF(ISNUMBER(MATCH(Data!H784,Data_Val!$D$2:$D$35,0)),0,1))))</f>
        <v/>
      </c>
      <c r="I794" s="38" t="str">
        <f>IF(Data!G784="","",IF(Data!G784=Data_Val!$C$2,IF(Data!I784="",0,1),0))</f>
        <v/>
      </c>
      <c r="J794" s="38" t="str">
        <f>IF(Data!I784="","",IF(ISNUMBER(MATCH(Data!J784,Data_Val!$A$2:$A$3,0)),0,1))</f>
        <v/>
      </c>
      <c r="K794" s="38" t="str">
        <f ca="1">IF(Data!I784="","",IF(ISNUMBER(Data!K784),IF(AND(Data!K784&gt;(TODAY()-(Data_Val!$K$3*365.25)),Data!K784&lt;=(TODAY()-(Data_Val!$K$2*365.25))),0,1),1))</f>
        <v/>
      </c>
      <c r="L794" s="16" t="str">
        <f>IF(Data!G784="","",IF(Data!G784=Data_Val!$C$2,IF(Data!L784="",0,1),0))</f>
        <v/>
      </c>
      <c r="M794" s="16" t="str">
        <f>IF(Data!L784="","",IF(ISNUMBER(MATCH(Data!M784,Data_Val!$A$2:$A$3,0)),0,1))</f>
        <v/>
      </c>
      <c r="N794" s="43" t="str">
        <f ca="1">IF(Data!L784="","",IF(ISNUMBER(Data!N784),IF(AND(Data!N784&gt;(TODAY()-(Data_Val!$L$3*365.25)),Data!N784&lt;=(TODAY()-(Data_Val!$L$2*365.25))),0,1),1))</f>
        <v/>
      </c>
      <c r="O794" s="18" t="str">
        <f>IF(Data!$G784="","",IF(Data!$G784=Data_Val!$C$2,IF(Data!O784="",0,1),0))</f>
        <v/>
      </c>
      <c r="P794" s="18" t="str">
        <f>IF(Data!O784="","",IF(ISNUMBER(MATCH(Data!P784,Data_Val!$A$2:$A$3,0)),0,1))</f>
        <v/>
      </c>
      <c r="Q794" s="44" t="str">
        <f ca="1">IF(Data!O784="","",IF(ISNUMBER(Data!Q784),IF(AND(Data!Q784&gt;(TODAY()-(Data_Val!$L$3*365.25)),Data!Q784&lt;=(TODAY()-(Data_Val!$L$2*365.25))),0,1),1))</f>
        <v/>
      </c>
    </row>
    <row r="795" spans="1:17" ht="12" customHeight="1" x14ac:dyDescent="0.25">
      <c r="A795" s="36" t="str">
        <f>IF(Data!B785="","",IF(COUNTIFS(Data!A$1:'Data'!A785,Data!A785)&lt;=1,0,1))</f>
        <v/>
      </c>
      <c r="B795" s="36"/>
      <c r="C795" s="36" t="str">
        <f>IF(Data!C785="","",(IF(ISNUMBER(MATCH("*@*.?*",Data!C785,0)),0,1)+IF(COUNTIFS(Data!C$1:'Data'!C785,Data!C785)&gt;1,1,0)))</f>
        <v/>
      </c>
      <c r="D795" s="36" t="str">
        <f>IF(Data!B785="","",IF(ISNUMBER(Data!D785),IF(AND(Data!D785&gt;999999999,Data!D785&lt;=9999999999),IF(COUNTIFS(Data!D$1:'Data'!D785,Data!D785)&lt;=1,0,1),1),1))</f>
        <v/>
      </c>
      <c r="E795" s="36" t="str">
        <f>IF(Data!B785="","",IF(ISNUMBER(MATCH(Data!E785,Data_Val!$A$2:$A$3,0)),0,1))</f>
        <v/>
      </c>
      <c r="F795" s="36" t="str">
        <f ca="1">IF(Data!B785="","",IF(ISNUMBER(Data!F785),IF(AND(Data!F785&gt;(TODAY()-(Data_Val!$H$3*365.25)),Data!F785&lt;=(TODAY()-(Data_Val!$H$2*365.25))),0,1),1))</f>
        <v/>
      </c>
      <c r="G795" s="12" t="str">
        <f>IF(Data!B785="","",IF(AND(Data!G785="",Data!H785&lt;&gt;""),1,IF(ISNUMBER(MATCH(Data!G785,Data_Val!$C$2:$C$5,0)),0,1)))</f>
        <v/>
      </c>
      <c r="H795" s="12" t="str">
        <f>IF(Data!B785="","",IF(AND(Data!G785&lt;&gt;"",Data!H785=""),1,IF(Data!G785="",1,IF(ISNUMBER(MATCH(Data!H785,Data_Val!$D$2:$D$35,0)),0,1))))</f>
        <v/>
      </c>
      <c r="I795" s="38" t="str">
        <f>IF(Data!G785="","",IF(Data!G785=Data_Val!$C$2,IF(Data!I785="",0,1),0))</f>
        <v/>
      </c>
      <c r="J795" s="38" t="str">
        <f>IF(Data!I785="","",IF(ISNUMBER(MATCH(Data!J785,Data_Val!$A$2:$A$3,0)),0,1))</f>
        <v/>
      </c>
      <c r="K795" s="38" t="str">
        <f ca="1">IF(Data!I785="","",IF(ISNUMBER(Data!K785),IF(AND(Data!K785&gt;(TODAY()-(Data_Val!$K$3*365.25)),Data!K785&lt;=(TODAY()-(Data_Val!$K$2*365.25))),0,1),1))</f>
        <v/>
      </c>
      <c r="L795" s="16" t="str">
        <f>IF(Data!G785="","",IF(Data!G785=Data_Val!$C$2,IF(Data!L785="",0,1),0))</f>
        <v/>
      </c>
      <c r="M795" s="16" t="str">
        <f>IF(Data!L785="","",IF(ISNUMBER(MATCH(Data!M785,Data_Val!$A$2:$A$3,0)),0,1))</f>
        <v/>
      </c>
      <c r="N795" s="43" t="str">
        <f ca="1">IF(Data!L785="","",IF(ISNUMBER(Data!N785),IF(AND(Data!N785&gt;(TODAY()-(Data_Val!$L$3*365.25)),Data!N785&lt;=(TODAY()-(Data_Val!$L$2*365.25))),0,1),1))</f>
        <v/>
      </c>
      <c r="O795" s="18" t="str">
        <f>IF(Data!$G785="","",IF(Data!$G785=Data_Val!$C$2,IF(Data!O785="",0,1),0))</f>
        <v/>
      </c>
      <c r="P795" s="18" t="str">
        <f>IF(Data!O785="","",IF(ISNUMBER(MATCH(Data!P785,Data_Val!$A$2:$A$3,0)),0,1))</f>
        <v/>
      </c>
      <c r="Q795" s="44" t="str">
        <f ca="1">IF(Data!O785="","",IF(ISNUMBER(Data!Q785),IF(AND(Data!Q785&gt;(TODAY()-(Data_Val!$L$3*365.25)),Data!Q785&lt;=(TODAY()-(Data_Val!$L$2*365.25))),0,1),1))</f>
        <v/>
      </c>
    </row>
    <row r="796" spans="1:17" ht="12" customHeight="1" x14ac:dyDescent="0.25">
      <c r="A796" s="36" t="str">
        <f>IF(Data!B786="","",IF(COUNTIFS(Data!A$1:'Data'!A786,Data!A786)&lt;=1,0,1))</f>
        <v/>
      </c>
      <c r="B796" s="36"/>
      <c r="C796" s="36" t="str">
        <f>IF(Data!C786="","",(IF(ISNUMBER(MATCH("*@*.?*",Data!C786,0)),0,1)+IF(COUNTIFS(Data!C$1:'Data'!C786,Data!C786)&gt;1,1,0)))</f>
        <v/>
      </c>
      <c r="D796" s="36" t="str">
        <f>IF(Data!B786="","",IF(ISNUMBER(Data!D786),IF(AND(Data!D786&gt;999999999,Data!D786&lt;=9999999999),IF(COUNTIFS(Data!D$1:'Data'!D786,Data!D786)&lt;=1,0,1),1),1))</f>
        <v/>
      </c>
      <c r="E796" s="36" t="str">
        <f>IF(Data!B786="","",IF(ISNUMBER(MATCH(Data!E786,Data_Val!$A$2:$A$3,0)),0,1))</f>
        <v/>
      </c>
      <c r="F796" s="36" t="str">
        <f ca="1">IF(Data!B786="","",IF(ISNUMBER(Data!F786),IF(AND(Data!F786&gt;(TODAY()-(Data_Val!$H$3*365.25)),Data!F786&lt;=(TODAY()-(Data_Val!$H$2*365.25))),0,1),1))</f>
        <v/>
      </c>
      <c r="G796" s="12" t="str">
        <f>IF(Data!B786="","",IF(AND(Data!G786="",Data!H786&lt;&gt;""),1,IF(ISNUMBER(MATCH(Data!G786,Data_Val!$C$2:$C$5,0)),0,1)))</f>
        <v/>
      </c>
      <c r="H796" s="12" t="str">
        <f>IF(Data!B786="","",IF(AND(Data!G786&lt;&gt;"",Data!H786=""),1,IF(Data!G786="",1,IF(ISNUMBER(MATCH(Data!H786,Data_Val!$D$2:$D$35,0)),0,1))))</f>
        <v/>
      </c>
      <c r="I796" s="38" t="str">
        <f>IF(Data!G786="","",IF(Data!G786=Data_Val!$C$2,IF(Data!I786="",0,1),0))</f>
        <v/>
      </c>
      <c r="J796" s="38" t="str">
        <f>IF(Data!I786="","",IF(ISNUMBER(MATCH(Data!J786,Data_Val!$A$2:$A$3,0)),0,1))</f>
        <v/>
      </c>
      <c r="K796" s="38" t="str">
        <f ca="1">IF(Data!I786="","",IF(ISNUMBER(Data!K786),IF(AND(Data!K786&gt;(TODAY()-(Data_Val!$K$3*365.25)),Data!K786&lt;=(TODAY()-(Data_Val!$K$2*365.25))),0,1),1))</f>
        <v/>
      </c>
      <c r="L796" s="16" t="str">
        <f>IF(Data!G786="","",IF(Data!G786=Data_Val!$C$2,IF(Data!L786="",0,1),0))</f>
        <v/>
      </c>
      <c r="M796" s="16" t="str">
        <f>IF(Data!L786="","",IF(ISNUMBER(MATCH(Data!M786,Data_Val!$A$2:$A$3,0)),0,1))</f>
        <v/>
      </c>
      <c r="N796" s="43" t="str">
        <f ca="1">IF(Data!L786="","",IF(ISNUMBER(Data!N786),IF(AND(Data!N786&gt;(TODAY()-(Data_Val!$L$3*365.25)),Data!N786&lt;=(TODAY()-(Data_Val!$L$2*365.25))),0,1),1))</f>
        <v/>
      </c>
      <c r="O796" s="18" t="str">
        <f>IF(Data!$G786="","",IF(Data!$G786=Data_Val!$C$2,IF(Data!O786="",0,1),0))</f>
        <v/>
      </c>
      <c r="P796" s="18" t="str">
        <f>IF(Data!O786="","",IF(ISNUMBER(MATCH(Data!P786,Data_Val!$A$2:$A$3,0)),0,1))</f>
        <v/>
      </c>
      <c r="Q796" s="44" t="str">
        <f ca="1">IF(Data!O786="","",IF(ISNUMBER(Data!Q786),IF(AND(Data!Q786&gt;(TODAY()-(Data_Val!$L$3*365.25)),Data!Q786&lt;=(TODAY()-(Data_Val!$L$2*365.25))),0,1),1))</f>
        <v/>
      </c>
    </row>
    <row r="797" spans="1:17" ht="12" customHeight="1" x14ac:dyDescent="0.25">
      <c r="A797" s="36" t="str">
        <f>IF(Data!B787="","",IF(COUNTIFS(Data!A$1:'Data'!A787,Data!A787)&lt;=1,0,1))</f>
        <v/>
      </c>
      <c r="B797" s="36"/>
      <c r="C797" s="36" t="str">
        <f>IF(Data!C787="","",(IF(ISNUMBER(MATCH("*@*.?*",Data!C787,0)),0,1)+IF(COUNTIFS(Data!C$1:'Data'!C787,Data!C787)&gt;1,1,0)))</f>
        <v/>
      </c>
      <c r="D797" s="36" t="str">
        <f>IF(Data!B787="","",IF(ISNUMBER(Data!D787),IF(AND(Data!D787&gt;999999999,Data!D787&lt;=9999999999),IF(COUNTIFS(Data!D$1:'Data'!D787,Data!D787)&lt;=1,0,1),1),1))</f>
        <v/>
      </c>
      <c r="E797" s="36" t="str">
        <f>IF(Data!B787="","",IF(ISNUMBER(MATCH(Data!E787,Data_Val!$A$2:$A$3,0)),0,1))</f>
        <v/>
      </c>
      <c r="F797" s="36" t="str">
        <f ca="1">IF(Data!B787="","",IF(ISNUMBER(Data!F787),IF(AND(Data!F787&gt;(TODAY()-(Data_Val!$H$3*365.25)),Data!F787&lt;=(TODAY()-(Data_Val!$H$2*365.25))),0,1),1))</f>
        <v/>
      </c>
      <c r="G797" s="12" t="str">
        <f>IF(Data!B787="","",IF(AND(Data!G787="",Data!H787&lt;&gt;""),1,IF(ISNUMBER(MATCH(Data!G787,Data_Val!$C$2:$C$5,0)),0,1)))</f>
        <v/>
      </c>
      <c r="H797" s="12" t="str">
        <f>IF(Data!B787="","",IF(AND(Data!G787&lt;&gt;"",Data!H787=""),1,IF(Data!G787="",1,IF(ISNUMBER(MATCH(Data!H787,Data_Val!$D$2:$D$35,0)),0,1))))</f>
        <v/>
      </c>
      <c r="I797" s="38" t="str">
        <f>IF(Data!G787="","",IF(Data!G787=Data_Val!$C$2,IF(Data!I787="",0,1),0))</f>
        <v/>
      </c>
      <c r="J797" s="38" t="str">
        <f>IF(Data!I787="","",IF(ISNUMBER(MATCH(Data!J787,Data_Val!$A$2:$A$3,0)),0,1))</f>
        <v/>
      </c>
      <c r="K797" s="38" t="str">
        <f ca="1">IF(Data!I787="","",IF(ISNUMBER(Data!K787),IF(AND(Data!K787&gt;(TODAY()-(Data_Val!$K$3*365.25)),Data!K787&lt;=(TODAY()-(Data_Val!$K$2*365.25))),0,1),1))</f>
        <v/>
      </c>
      <c r="L797" s="16" t="str">
        <f>IF(Data!G787="","",IF(Data!G787=Data_Val!$C$2,IF(Data!L787="",0,1),0))</f>
        <v/>
      </c>
      <c r="M797" s="16" t="str">
        <f>IF(Data!L787="","",IF(ISNUMBER(MATCH(Data!M787,Data_Val!$A$2:$A$3,0)),0,1))</f>
        <v/>
      </c>
      <c r="N797" s="43" t="str">
        <f ca="1">IF(Data!L787="","",IF(ISNUMBER(Data!N787),IF(AND(Data!N787&gt;(TODAY()-(Data_Val!$L$3*365.25)),Data!N787&lt;=(TODAY()-(Data_Val!$L$2*365.25))),0,1),1))</f>
        <v/>
      </c>
      <c r="O797" s="18" t="str">
        <f>IF(Data!$G787="","",IF(Data!$G787=Data_Val!$C$2,IF(Data!O787="",0,1),0))</f>
        <v/>
      </c>
      <c r="P797" s="18" t="str">
        <f>IF(Data!O787="","",IF(ISNUMBER(MATCH(Data!P787,Data_Val!$A$2:$A$3,0)),0,1))</f>
        <v/>
      </c>
      <c r="Q797" s="44" t="str">
        <f ca="1">IF(Data!O787="","",IF(ISNUMBER(Data!Q787),IF(AND(Data!Q787&gt;(TODAY()-(Data_Val!$L$3*365.25)),Data!Q787&lt;=(TODAY()-(Data_Val!$L$2*365.25))),0,1),1))</f>
        <v/>
      </c>
    </row>
    <row r="798" spans="1:17" ht="12" customHeight="1" x14ac:dyDescent="0.25">
      <c r="A798" s="36" t="str">
        <f>IF(Data!B788="","",IF(COUNTIFS(Data!A$1:'Data'!A788,Data!A788)&lt;=1,0,1))</f>
        <v/>
      </c>
      <c r="B798" s="36"/>
      <c r="C798" s="36" t="str">
        <f>IF(Data!C788="","",(IF(ISNUMBER(MATCH("*@*.?*",Data!C788,0)),0,1)+IF(COUNTIFS(Data!C$1:'Data'!C788,Data!C788)&gt;1,1,0)))</f>
        <v/>
      </c>
      <c r="D798" s="36" t="str">
        <f>IF(Data!B788="","",IF(ISNUMBER(Data!D788),IF(AND(Data!D788&gt;999999999,Data!D788&lt;=9999999999),IF(COUNTIFS(Data!D$1:'Data'!D788,Data!D788)&lt;=1,0,1),1),1))</f>
        <v/>
      </c>
      <c r="E798" s="36" t="str">
        <f>IF(Data!B788="","",IF(ISNUMBER(MATCH(Data!E788,Data_Val!$A$2:$A$3,0)),0,1))</f>
        <v/>
      </c>
      <c r="F798" s="36" t="str">
        <f ca="1">IF(Data!B788="","",IF(ISNUMBER(Data!F788),IF(AND(Data!F788&gt;(TODAY()-(Data_Val!$H$3*365.25)),Data!F788&lt;=(TODAY()-(Data_Val!$H$2*365.25))),0,1),1))</f>
        <v/>
      </c>
      <c r="G798" s="12" t="str">
        <f>IF(Data!B788="","",IF(AND(Data!G788="",Data!H788&lt;&gt;""),1,IF(ISNUMBER(MATCH(Data!G788,Data_Val!$C$2:$C$5,0)),0,1)))</f>
        <v/>
      </c>
      <c r="H798" s="12" t="str">
        <f>IF(Data!B788="","",IF(AND(Data!G788&lt;&gt;"",Data!H788=""),1,IF(Data!G788="",1,IF(ISNUMBER(MATCH(Data!H788,Data_Val!$D$2:$D$35,0)),0,1))))</f>
        <v/>
      </c>
      <c r="I798" s="38" t="str">
        <f>IF(Data!G788="","",IF(Data!G788=Data_Val!$C$2,IF(Data!I788="",0,1),0))</f>
        <v/>
      </c>
      <c r="J798" s="38" t="str">
        <f>IF(Data!I788="","",IF(ISNUMBER(MATCH(Data!J788,Data_Val!$A$2:$A$3,0)),0,1))</f>
        <v/>
      </c>
      <c r="K798" s="38" t="str">
        <f ca="1">IF(Data!I788="","",IF(ISNUMBER(Data!K788),IF(AND(Data!K788&gt;(TODAY()-(Data_Val!$K$3*365.25)),Data!K788&lt;=(TODAY()-(Data_Val!$K$2*365.25))),0,1),1))</f>
        <v/>
      </c>
      <c r="L798" s="16" t="str">
        <f>IF(Data!G788="","",IF(Data!G788=Data_Val!$C$2,IF(Data!L788="",0,1),0))</f>
        <v/>
      </c>
      <c r="M798" s="16" t="str">
        <f>IF(Data!L788="","",IF(ISNUMBER(MATCH(Data!M788,Data_Val!$A$2:$A$3,0)),0,1))</f>
        <v/>
      </c>
      <c r="N798" s="43" t="str">
        <f ca="1">IF(Data!L788="","",IF(ISNUMBER(Data!N788),IF(AND(Data!N788&gt;(TODAY()-(Data_Val!$L$3*365.25)),Data!N788&lt;=(TODAY()-(Data_Val!$L$2*365.25))),0,1),1))</f>
        <v/>
      </c>
      <c r="O798" s="18" t="str">
        <f>IF(Data!$G788="","",IF(Data!$G788=Data_Val!$C$2,IF(Data!O788="",0,1),0))</f>
        <v/>
      </c>
      <c r="P798" s="18" t="str">
        <f>IF(Data!O788="","",IF(ISNUMBER(MATCH(Data!P788,Data_Val!$A$2:$A$3,0)),0,1))</f>
        <v/>
      </c>
      <c r="Q798" s="44" t="str">
        <f ca="1">IF(Data!O788="","",IF(ISNUMBER(Data!Q788),IF(AND(Data!Q788&gt;(TODAY()-(Data_Val!$L$3*365.25)),Data!Q788&lt;=(TODAY()-(Data_Val!$L$2*365.25))),0,1),1))</f>
        <v/>
      </c>
    </row>
    <row r="799" spans="1:17" ht="12" customHeight="1" x14ac:dyDescent="0.25">
      <c r="A799" s="36" t="str">
        <f>IF(Data!B789="","",IF(COUNTIFS(Data!A$1:'Data'!A789,Data!A789)&lt;=1,0,1))</f>
        <v/>
      </c>
      <c r="B799" s="36"/>
      <c r="C799" s="36" t="str">
        <f>IF(Data!C789="","",(IF(ISNUMBER(MATCH("*@*.?*",Data!C789,0)),0,1)+IF(COUNTIFS(Data!C$1:'Data'!C789,Data!C789)&gt;1,1,0)))</f>
        <v/>
      </c>
      <c r="D799" s="36" t="str">
        <f>IF(Data!B789="","",IF(ISNUMBER(Data!D789),IF(AND(Data!D789&gt;999999999,Data!D789&lt;=9999999999),IF(COUNTIFS(Data!D$1:'Data'!D789,Data!D789)&lt;=1,0,1),1),1))</f>
        <v/>
      </c>
      <c r="E799" s="36" t="str">
        <f>IF(Data!B789="","",IF(ISNUMBER(MATCH(Data!E789,Data_Val!$A$2:$A$3,0)),0,1))</f>
        <v/>
      </c>
      <c r="F799" s="36" t="str">
        <f ca="1">IF(Data!B789="","",IF(ISNUMBER(Data!F789),IF(AND(Data!F789&gt;(TODAY()-(Data_Val!$H$3*365.25)),Data!F789&lt;=(TODAY()-(Data_Val!$H$2*365.25))),0,1),1))</f>
        <v/>
      </c>
      <c r="G799" s="12" t="str">
        <f>IF(Data!B789="","",IF(AND(Data!G789="",Data!H789&lt;&gt;""),1,IF(ISNUMBER(MATCH(Data!G789,Data_Val!$C$2:$C$5,0)),0,1)))</f>
        <v/>
      </c>
      <c r="H799" s="12" t="str">
        <f>IF(Data!B789="","",IF(AND(Data!G789&lt;&gt;"",Data!H789=""),1,IF(Data!G789="",1,IF(ISNUMBER(MATCH(Data!H789,Data_Val!$D$2:$D$35,0)),0,1))))</f>
        <v/>
      </c>
      <c r="I799" s="38" t="str">
        <f>IF(Data!G789="","",IF(Data!G789=Data_Val!$C$2,IF(Data!I789="",0,1),0))</f>
        <v/>
      </c>
      <c r="J799" s="38" t="str">
        <f>IF(Data!I789="","",IF(ISNUMBER(MATCH(Data!J789,Data_Val!$A$2:$A$3,0)),0,1))</f>
        <v/>
      </c>
      <c r="K799" s="38" t="str">
        <f ca="1">IF(Data!I789="","",IF(ISNUMBER(Data!K789),IF(AND(Data!K789&gt;(TODAY()-(Data_Val!$K$3*365.25)),Data!K789&lt;=(TODAY()-(Data_Val!$K$2*365.25))),0,1),1))</f>
        <v/>
      </c>
      <c r="L799" s="16" t="str">
        <f>IF(Data!G789="","",IF(Data!G789=Data_Val!$C$2,IF(Data!L789="",0,1),0))</f>
        <v/>
      </c>
      <c r="M799" s="16" t="str">
        <f>IF(Data!L789="","",IF(ISNUMBER(MATCH(Data!M789,Data_Val!$A$2:$A$3,0)),0,1))</f>
        <v/>
      </c>
      <c r="N799" s="43" t="str">
        <f ca="1">IF(Data!L789="","",IF(ISNUMBER(Data!N789),IF(AND(Data!N789&gt;(TODAY()-(Data_Val!$L$3*365.25)),Data!N789&lt;=(TODAY()-(Data_Val!$L$2*365.25))),0,1),1))</f>
        <v/>
      </c>
      <c r="O799" s="18" t="str">
        <f>IF(Data!$G789="","",IF(Data!$G789=Data_Val!$C$2,IF(Data!O789="",0,1),0))</f>
        <v/>
      </c>
      <c r="P799" s="18" t="str">
        <f>IF(Data!O789="","",IF(ISNUMBER(MATCH(Data!P789,Data_Val!$A$2:$A$3,0)),0,1))</f>
        <v/>
      </c>
      <c r="Q799" s="44" t="str">
        <f ca="1">IF(Data!O789="","",IF(ISNUMBER(Data!Q789),IF(AND(Data!Q789&gt;(TODAY()-(Data_Val!$L$3*365.25)),Data!Q789&lt;=(TODAY()-(Data_Val!$L$2*365.25))),0,1),1))</f>
        <v/>
      </c>
    </row>
    <row r="800" spans="1:17" ht="12" customHeight="1" x14ac:dyDescent="0.25">
      <c r="A800" s="36" t="str">
        <f>IF(Data!B790="","",IF(COUNTIFS(Data!A$1:'Data'!A790,Data!A790)&lt;=1,0,1))</f>
        <v/>
      </c>
      <c r="B800" s="36"/>
      <c r="C800" s="36" t="str">
        <f>IF(Data!C790="","",(IF(ISNUMBER(MATCH("*@*.?*",Data!C790,0)),0,1)+IF(COUNTIFS(Data!C$1:'Data'!C790,Data!C790)&gt;1,1,0)))</f>
        <v/>
      </c>
      <c r="D800" s="36" t="str">
        <f>IF(Data!B790="","",IF(ISNUMBER(Data!D790),IF(AND(Data!D790&gt;999999999,Data!D790&lt;=9999999999),IF(COUNTIFS(Data!D$1:'Data'!D790,Data!D790)&lt;=1,0,1),1),1))</f>
        <v/>
      </c>
      <c r="E800" s="36" t="str">
        <f>IF(Data!B790="","",IF(ISNUMBER(MATCH(Data!E790,Data_Val!$A$2:$A$3,0)),0,1))</f>
        <v/>
      </c>
      <c r="F800" s="36" t="str">
        <f ca="1">IF(Data!B790="","",IF(ISNUMBER(Data!F790),IF(AND(Data!F790&gt;(TODAY()-(Data_Val!$H$3*365.25)),Data!F790&lt;=(TODAY()-(Data_Val!$H$2*365.25))),0,1),1))</f>
        <v/>
      </c>
      <c r="G800" s="12" t="str">
        <f>IF(Data!B790="","",IF(AND(Data!G790="",Data!H790&lt;&gt;""),1,IF(ISNUMBER(MATCH(Data!G790,Data_Val!$C$2:$C$5,0)),0,1)))</f>
        <v/>
      </c>
      <c r="H800" s="12" t="str">
        <f>IF(Data!B790="","",IF(AND(Data!G790&lt;&gt;"",Data!H790=""),1,IF(Data!G790="",1,IF(ISNUMBER(MATCH(Data!H790,Data_Val!$D$2:$D$35,0)),0,1))))</f>
        <v/>
      </c>
      <c r="I800" s="38" t="str">
        <f>IF(Data!G790="","",IF(Data!G790=Data_Val!$C$2,IF(Data!I790="",0,1),0))</f>
        <v/>
      </c>
      <c r="J800" s="38" t="str">
        <f>IF(Data!I790="","",IF(ISNUMBER(MATCH(Data!J790,Data_Val!$A$2:$A$3,0)),0,1))</f>
        <v/>
      </c>
      <c r="K800" s="38" t="str">
        <f ca="1">IF(Data!I790="","",IF(ISNUMBER(Data!K790),IF(AND(Data!K790&gt;(TODAY()-(Data_Val!$K$3*365.25)),Data!K790&lt;=(TODAY()-(Data_Val!$K$2*365.25))),0,1),1))</f>
        <v/>
      </c>
      <c r="L800" s="16" t="str">
        <f>IF(Data!G790="","",IF(Data!G790=Data_Val!$C$2,IF(Data!L790="",0,1),0))</f>
        <v/>
      </c>
      <c r="M800" s="16" t="str">
        <f>IF(Data!L790="","",IF(ISNUMBER(MATCH(Data!M790,Data_Val!$A$2:$A$3,0)),0,1))</f>
        <v/>
      </c>
      <c r="N800" s="43" t="str">
        <f ca="1">IF(Data!L790="","",IF(ISNUMBER(Data!N790),IF(AND(Data!N790&gt;(TODAY()-(Data_Val!$L$3*365.25)),Data!N790&lt;=(TODAY()-(Data_Val!$L$2*365.25))),0,1),1))</f>
        <v/>
      </c>
      <c r="O800" s="18" t="str">
        <f>IF(Data!$G790="","",IF(Data!$G790=Data_Val!$C$2,IF(Data!O790="",0,1),0))</f>
        <v/>
      </c>
      <c r="P800" s="18" t="str">
        <f>IF(Data!O790="","",IF(ISNUMBER(MATCH(Data!P790,Data_Val!$A$2:$A$3,0)),0,1))</f>
        <v/>
      </c>
      <c r="Q800" s="44" t="str">
        <f ca="1">IF(Data!O790="","",IF(ISNUMBER(Data!Q790),IF(AND(Data!Q790&gt;(TODAY()-(Data_Val!$L$3*365.25)),Data!Q790&lt;=(TODAY()-(Data_Val!$L$2*365.25))),0,1),1))</f>
        <v/>
      </c>
    </row>
    <row r="801" spans="1:17" ht="12" customHeight="1" x14ac:dyDescent="0.25">
      <c r="A801" s="36" t="str">
        <f>IF(Data!B791="","",IF(COUNTIFS(Data!A$1:'Data'!A791,Data!A791)&lt;=1,0,1))</f>
        <v/>
      </c>
      <c r="B801" s="36"/>
      <c r="C801" s="36" t="str">
        <f>IF(Data!C791="","",(IF(ISNUMBER(MATCH("*@*.?*",Data!C791,0)),0,1)+IF(COUNTIFS(Data!C$1:'Data'!C791,Data!C791)&gt;1,1,0)))</f>
        <v/>
      </c>
      <c r="D801" s="36" t="str">
        <f>IF(Data!B791="","",IF(ISNUMBER(Data!D791),IF(AND(Data!D791&gt;999999999,Data!D791&lt;=9999999999),IF(COUNTIFS(Data!D$1:'Data'!D791,Data!D791)&lt;=1,0,1),1),1))</f>
        <v/>
      </c>
      <c r="E801" s="36" t="str">
        <f>IF(Data!B791="","",IF(ISNUMBER(MATCH(Data!E791,Data_Val!$A$2:$A$3,0)),0,1))</f>
        <v/>
      </c>
      <c r="F801" s="36" t="str">
        <f ca="1">IF(Data!B791="","",IF(ISNUMBER(Data!F791),IF(AND(Data!F791&gt;(TODAY()-(Data_Val!$H$3*365.25)),Data!F791&lt;=(TODAY()-(Data_Val!$H$2*365.25))),0,1),1))</f>
        <v/>
      </c>
      <c r="G801" s="12" t="str">
        <f>IF(Data!B791="","",IF(AND(Data!G791="",Data!H791&lt;&gt;""),1,IF(ISNUMBER(MATCH(Data!G791,Data_Val!$C$2:$C$5,0)),0,1)))</f>
        <v/>
      </c>
      <c r="H801" s="12" t="str">
        <f>IF(Data!B791="","",IF(AND(Data!G791&lt;&gt;"",Data!H791=""),1,IF(Data!G791="",1,IF(ISNUMBER(MATCH(Data!H791,Data_Val!$D$2:$D$35,0)),0,1))))</f>
        <v/>
      </c>
      <c r="I801" s="38" t="str">
        <f>IF(Data!G791="","",IF(Data!G791=Data_Val!$C$2,IF(Data!I791="",0,1),0))</f>
        <v/>
      </c>
      <c r="J801" s="38" t="str">
        <f>IF(Data!I791="","",IF(ISNUMBER(MATCH(Data!J791,Data_Val!$A$2:$A$3,0)),0,1))</f>
        <v/>
      </c>
      <c r="K801" s="38" t="str">
        <f ca="1">IF(Data!I791="","",IF(ISNUMBER(Data!K791),IF(AND(Data!K791&gt;(TODAY()-(Data_Val!$K$3*365.25)),Data!K791&lt;=(TODAY()-(Data_Val!$K$2*365.25))),0,1),1))</f>
        <v/>
      </c>
      <c r="L801" s="16" t="str">
        <f>IF(Data!G791="","",IF(Data!G791=Data_Val!$C$2,IF(Data!L791="",0,1),0))</f>
        <v/>
      </c>
      <c r="M801" s="16" t="str">
        <f>IF(Data!L791="","",IF(ISNUMBER(MATCH(Data!M791,Data_Val!$A$2:$A$3,0)),0,1))</f>
        <v/>
      </c>
      <c r="N801" s="43" t="str">
        <f ca="1">IF(Data!L791="","",IF(ISNUMBER(Data!N791),IF(AND(Data!N791&gt;(TODAY()-(Data_Val!$L$3*365.25)),Data!N791&lt;=(TODAY()-(Data_Val!$L$2*365.25))),0,1),1))</f>
        <v/>
      </c>
      <c r="O801" s="18" t="str">
        <f>IF(Data!$G791="","",IF(Data!$G791=Data_Val!$C$2,IF(Data!O791="",0,1),0))</f>
        <v/>
      </c>
      <c r="P801" s="18" t="str">
        <f>IF(Data!O791="","",IF(ISNUMBER(MATCH(Data!P791,Data_Val!$A$2:$A$3,0)),0,1))</f>
        <v/>
      </c>
      <c r="Q801" s="44" t="str">
        <f ca="1">IF(Data!O791="","",IF(ISNUMBER(Data!Q791),IF(AND(Data!Q791&gt;(TODAY()-(Data_Val!$L$3*365.25)),Data!Q791&lt;=(TODAY()-(Data_Val!$L$2*365.25))),0,1),1))</f>
        <v/>
      </c>
    </row>
    <row r="802" spans="1:17" ht="12" customHeight="1" x14ac:dyDescent="0.25">
      <c r="A802" s="36" t="str">
        <f>IF(Data!B792="","",IF(COUNTIFS(Data!A$1:'Data'!A792,Data!A792)&lt;=1,0,1))</f>
        <v/>
      </c>
      <c r="B802" s="36"/>
      <c r="C802" s="36" t="str">
        <f>IF(Data!C792="","",(IF(ISNUMBER(MATCH("*@*.?*",Data!C792,0)),0,1)+IF(COUNTIFS(Data!C$1:'Data'!C792,Data!C792)&gt;1,1,0)))</f>
        <v/>
      </c>
      <c r="D802" s="36" t="str">
        <f>IF(Data!B792="","",IF(ISNUMBER(Data!D792),IF(AND(Data!D792&gt;999999999,Data!D792&lt;=9999999999),IF(COUNTIFS(Data!D$1:'Data'!D792,Data!D792)&lt;=1,0,1),1),1))</f>
        <v/>
      </c>
      <c r="E802" s="36" t="str">
        <f>IF(Data!B792="","",IF(ISNUMBER(MATCH(Data!E792,Data_Val!$A$2:$A$3,0)),0,1))</f>
        <v/>
      </c>
      <c r="F802" s="36" t="str">
        <f ca="1">IF(Data!B792="","",IF(ISNUMBER(Data!F792),IF(AND(Data!F792&gt;(TODAY()-(Data_Val!$H$3*365.25)),Data!F792&lt;=(TODAY()-(Data_Val!$H$2*365.25))),0,1),1))</f>
        <v/>
      </c>
      <c r="G802" s="12" t="str">
        <f>IF(Data!B792="","",IF(AND(Data!G792="",Data!H792&lt;&gt;""),1,IF(ISNUMBER(MATCH(Data!G792,Data_Val!$C$2:$C$5,0)),0,1)))</f>
        <v/>
      </c>
      <c r="H802" s="12" t="str">
        <f>IF(Data!B792="","",IF(AND(Data!G792&lt;&gt;"",Data!H792=""),1,IF(Data!G792="",1,IF(ISNUMBER(MATCH(Data!H792,Data_Val!$D$2:$D$35,0)),0,1))))</f>
        <v/>
      </c>
      <c r="I802" s="38" t="str">
        <f>IF(Data!G792="","",IF(Data!G792=Data_Val!$C$2,IF(Data!I792="",0,1),0))</f>
        <v/>
      </c>
      <c r="J802" s="38" t="str">
        <f>IF(Data!I792="","",IF(ISNUMBER(MATCH(Data!J792,Data_Val!$A$2:$A$3,0)),0,1))</f>
        <v/>
      </c>
      <c r="K802" s="38" t="str">
        <f ca="1">IF(Data!I792="","",IF(ISNUMBER(Data!K792),IF(AND(Data!K792&gt;(TODAY()-(Data_Val!$K$3*365.25)),Data!K792&lt;=(TODAY()-(Data_Val!$K$2*365.25))),0,1),1))</f>
        <v/>
      </c>
      <c r="L802" s="16" t="str">
        <f>IF(Data!G792="","",IF(Data!G792=Data_Val!$C$2,IF(Data!L792="",0,1),0))</f>
        <v/>
      </c>
      <c r="M802" s="16" t="str">
        <f>IF(Data!L792="","",IF(ISNUMBER(MATCH(Data!M792,Data_Val!$A$2:$A$3,0)),0,1))</f>
        <v/>
      </c>
      <c r="N802" s="43" t="str">
        <f ca="1">IF(Data!L792="","",IF(ISNUMBER(Data!N792),IF(AND(Data!N792&gt;(TODAY()-(Data_Val!$L$3*365.25)),Data!N792&lt;=(TODAY()-(Data_Val!$L$2*365.25))),0,1),1))</f>
        <v/>
      </c>
      <c r="O802" s="18" t="str">
        <f>IF(Data!$G792="","",IF(Data!$G792=Data_Val!$C$2,IF(Data!O792="",0,1),0))</f>
        <v/>
      </c>
      <c r="P802" s="18" t="str">
        <f>IF(Data!O792="","",IF(ISNUMBER(MATCH(Data!P792,Data_Val!$A$2:$A$3,0)),0,1))</f>
        <v/>
      </c>
      <c r="Q802" s="44" t="str">
        <f ca="1">IF(Data!O792="","",IF(ISNUMBER(Data!Q792),IF(AND(Data!Q792&gt;(TODAY()-(Data_Val!$L$3*365.25)),Data!Q792&lt;=(TODAY()-(Data_Val!$L$2*365.25))),0,1),1))</f>
        <v/>
      </c>
    </row>
    <row r="803" spans="1:17" ht="12" customHeight="1" x14ac:dyDescent="0.25">
      <c r="A803" s="36" t="str">
        <f>IF(Data!B793="","",IF(COUNTIFS(Data!A$1:'Data'!A793,Data!A793)&lt;=1,0,1))</f>
        <v/>
      </c>
      <c r="B803" s="36"/>
      <c r="C803" s="36" t="str">
        <f>IF(Data!C793="","",(IF(ISNUMBER(MATCH("*@*.?*",Data!C793,0)),0,1)+IF(COUNTIFS(Data!C$1:'Data'!C793,Data!C793)&gt;1,1,0)))</f>
        <v/>
      </c>
      <c r="D803" s="36" t="str">
        <f>IF(Data!B793="","",IF(ISNUMBER(Data!D793),IF(AND(Data!D793&gt;999999999,Data!D793&lt;=9999999999),IF(COUNTIFS(Data!D$1:'Data'!D793,Data!D793)&lt;=1,0,1),1),1))</f>
        <v/>
      </c>
      <c r="E803" s="36" t="str">
        <f>IF(Data!B793="","",IF(ISNUMBER(MATCH(Data!E793,Data_Val!$A$2:$A$3,0)),0,1))</f>
        <v/>
      </c>
      <c r="F803" s="36" t="str">
        <f ca="1">IF(Data!B793="","",IF(ISNUMBER(Data!F793),IF(AND(Data!F793&gt;(TODAY()-(Data_Val!$H$3*365.25)),Data!F793&lt;=(TODAY()-(Data_Val!$H$2*365.25))),0,1),1))</f>
        <v/>
      </c>
      <c r="G803" s="12" t="str">
        <f>IF(Data!B793="","",IF(AND(Data!G793="",Data!H793&lt;&gt;""),1,IF(ISNUMBER(MATCH(Data!G793,Data_Val!$C$2:$C$5,0)),0,1)))</f>
        <v/>
      </c>
      <c r="H803" s="12" t="str">
        <f>IF(Data!B793="","",IF(AND(Data!G793&lt;&gt;"",Data!H793=""),1,IF(Data!G793="",1,IF(ISNUMBER(MATCH(Data!H793,Data_Val!$D$2:$D$35,0)),0,1))))</f>
        <v/>
      </c>
      <c r="I803" s="38" t="str">
        <f>IF(Data!G793="","",IF(Data!G793=Data_Val!$C$2,IF(Data!I793="",0,1),0))</f>
        <v/>
      </c>
      <c r="J803" s="38" t="str">
        <f>IF(Data!I793="","",IF(ISNUMBER(MATCH(Data!J793,Data_Val!$A$2:$A$3,0)),0,1))</f>
        <v/>
      </c>
      <c r="K803" s="38" t="str">
        <f ca="1">IF(Data!I793="","",IF(ISNUMBER(Data!K793),IF(AND(Data!K793&gt;(TODAY()-(Data_Val!$K$3*365.25)),Data!K793&lt;=(TODAY()-(Data_Val!$K$2*365.25))),0,1),1))</f>
        <v/>
      </c>
      <c r="L803" s="16" t="str">
        <f>IF(Data!G793="","",IF(Data!G793=Data_Val!$C$2,IF(Data!L793="",0,1),0))</f>
        <v/>
      </c>
      <c r="M803" s="16" t="str">
        <f>IF(Data!L793="","",IF(ISNUMBER(MATCH(Data!M793,Data_Val!$A$2:$A$3,0)),0,1))</f>
        <v/>
      </c>
      <c r="N803" s="43" t="str">
        <f ca="1">IF(Data!L793="","",IF(ISNUMBER(Data!N793),IF(AND(Data!N793&gt;(TODAY()-(Data_Val!$L$3*365.25)),Data!N793&lt;=(TODAY()-(Data_Val!$L$2*365.25))),0,1),1))</f>
        <v/>
      </c>
      <c r="O803" s="18" t="str">
        <f>IF(Data!$G793="","",IF(Data!$G793=Data_Val!$C$2,IF(Data!O793="",0,1),0))</f>
        <v/>
      </c>
      <c r="P803" s="18" t="str">
        <f>IF(Data!O793="","",IF(ISNUMBER(MATCH(Data!P793,Data_Val!$A$2:$A$3,0)),0,1))</f>
        <v/>
      </c>
      <c r="Q803" s="44" t="str">
        <f ca="1">IF(Data!O793="","",IF(ISNUMBER(Data!Q793),IF(AND(Data!Q793&gt;(TODAY()-(Data_Val!$L$3*365.25)),Data!Q793&lt;=(TODAY()-(Data_Val!$L$2*365.25))),0,1),1))</f>
        <v/>
      </c>
    </row>
    <row r="804" spans="1:17" ht="12" customHeight="1" x14ac:dyDescent="0.25">
      <c r="A804" s="36" t="str">
        <f>IF(Data!B794="","",IF(COUNTIFS(Data!A$1:'Data'!A794,Data!A794)&lt;=1,0,1))</f>
        <v/>
      </c>
      <c r="B804" s="36"/>
      <c r="C804" s="36" t="str">
        <f>IF(Data!C794="","",(IF(ISNUMBER(MATCH("*@*.?*",Data!C794,0)),0,1)+IF(COUNTIFS(Data!C$1:'Data'!C794,Data!C794)&gt;1,1,0)))</f>
        <v/>
      </c>
      <c r="D804" s="36" t="str">
        <f>IF(Data!B794="","",IF(ISNUMBER(Data!D794),IF(AND(Data!D794&gt;999999999,Data!D794&lt;=9999999999),IF(COUNTIFS(Data!D$1:'Data'!D794,Data!D794)&lt;=1,0,1),1),1))</f>
        <v/>
      </c>
      <c r="E804" s="36" t="str">
        <f>IF(Data!B794="","",IF(ISNUMBER(MATCH(Data!E794,Data_Val!$A$2:$A$3,0)),0,1))</f>
        <v/>
      </c>
      <c r="F804" s="36" t="str">
        <f ca="1">IF(Data!B794="","",IF(ISNUMBER(Data!F794),IF(AND(Data!F794&gt;(TODAY()-(Data_Val!$H$3*365.25)),Data!F794&lt;=(TODAY()-(Data_Val!$H$2*365.25))),0,1),1))</f>
        <v/>
      </c>
      <c r="G804" s="12" t="str">
        <f>IF(Data!B794="","",IF(AND(Data!G794="",Data!H794&lt;&gt;""),1,IF(ISNUMBER(MATCH(Data!G794,Data_Val!$C$2:$C$5,0)),0,1)))</f>
        <v/>
      </c>
      <c r="H804" s="12" t="str">
        <f>IF(Data!B794="","",IF(AND(Data!G794&lt;&gt;"",Data!H794=""),1,IF(Data!G794="",1,IF(ISNUMBER(MATCH(Data!H794,Data_Val!$D$2:$D$35,0)),0,1))))</f>
        <v/>
      </c>
      <c r="I804" s="38" t="str">
        <f>IF(Data!G794="","",IF(Data!G794=Data_Val!$C$2,IF(Data!I794="",0,1),0))</f>
        <v/>
      </c>
      <c r="J804" s="38" t="str">
        <f>IF(Data!I794="","",IF(ISNUMBER(MATCH(Data!J794,Data_Val!$A$2:$A$3,0)),0,1))</f>
        <v/>
      </c>
      <c r="K804" s="38" t="str">
        <f ca="1">IF(Data!I794="","",IF(ISNUMBER(Data!K794),IF(AND(Data!K794&gt;(TODAY()-(Data_Val!$K$3*365.25)),Data!K794&lt;=(TODAY()-(Data_Val!$K$2*365.25))),0,1),1))</f>
        <v/>
      </c>
      <c r="L804" s="16" t="str">
        <f>IF(Data!G794="","",IF(Data!G794=Data_Val!$C$2,IF(Data!L794="",0,1),0))</f>
        <v/>
      </c>
      <c r="M804" s="16" t="str">
        <f>IF(Data!L794="","",IF(ISNUMBER(MATCH(Data!M794,Data_Val!$A$2:$A$3,0)),0,1))</f>
        <v/>
      </c>
      <c r="N804" s="43" t="str">
        <f ca="1">IF(Data!L794="","",IF(ISNUMBER(Data!N794),IF(AND(Data!N794&gt;(TODAY()-(Data_Val!$L$3*365.25)),Data!N794&lt;=(TODAY()-(Data_Val!$L$2*365.25))),0,1),1))</f>
        <v/>
      </c>
      <c r="O804" s="18" t="str">
        <f>IF(Data!$G794="","",IF(Data!$G794=Data_Val!$C$2,IF(Data!O794="",0,1),0))</f>
        <v/>
      </c>
      <c r="P804" s="18" t="str">
        <f>IF(Data!O794="","",IF(ISNUMBER(MATCH(Data!P794,Data_Val!$A$2:$A$3,0)),0,1))</f>
        <v/>
      </c>
      <c r="Q804" s="44" t="str">
        <f ca="1">IF(Data!O794="","",IF(ISNUMBER(Data!Q794),IF(AND(Data!Q794&gt;(TODAY()-(Data_Val!$L$3*365.25)),Data!Q794&lt;=(TODAY()-(Data_Val!$L$2*365.25))),0,1),1))</f>
        <v/>
      </c>
    </row>
    <row r="805" spans="1:17" ht="12" customHeight="1" x14ac:dyDescent="0.25">
      <c r="A805" s="36" t="str">
        <f>IF(Data!B795="","",IF(COUNTIFS(Data!A$1:'Data'!A795,Data!A795)&lt;=1,0,1))</f>
        <v/>
      </c>
      <c r="B805" s="36"/>
      <c r="C805" s="36" t="str">
        <f>IF(Data!C795="","",(IF(ISNUMBER(MATCH("*@*.?*",Data!C795,0)),0,1)+IF(COUNTIFS(Data!C$1:'Data'!C795,Data!C795)&gt;1,1,0)))</f>
        <v/>
      </c>
      <c r="D805" s="36" t="str">
        <f>IF(Data!B795="","",IF(ISNUMBER(Data!D795),IF(AND(Data!D795&gt;999999999,Data!D795&lt;=9999999999),IF(COUNTIFS(Data!D$1:'Data'!D795,Data!D795)&lt;=1,0,1),1),1))</f>
        <v/>
      </c>
      <c r="E805" s="36" t="str">
        <f>IF(Data!B795="","",IF(ISNUMBER(MATCH(Data!E795,Data_Val!$A$2:$A$3,0)),0,1))</f>
        <v/>
      </c>
      <c r="F805" s="36" t="str">
        <f ca="1">IF(Data!B795="","",IF(ISNUMBER(Data!F795),IF(AND(Data!F795&gt;(TODAY()-(Data_Val!$H$3*365.25)),Data!F795&lt;=(TODAY()-(Data_Val!$H$2*365.25))),0,1),1))</f>
        <v/>
      </c>
      <c r="G805" s="12" t="str">
        <f>IF(Data!B795="","",IF(AND(Data!G795="",Data!H795&lt;&gt;""),1,IF(ISNUMBER(MATCH(Data!G795,Data_Val!$C$2:$C$5,0)),0,1)))</f>
        <v/>
      </c>
      <c r="H805" s="12" t="str">
        <f>IF(Data!B795="","",IF(AND(Data!G795&lt;&gt;"",Data!H795=""),1,IF(Data!G795="",1,IF(ISNUMBER(MATCH(Data!H795,Data_Val!$D$2:$D$35,0)),0,1))))</f>
        <v/>
      </c>
      <c r="I805" s="38" t="str">
        <f>IF(Data!G795="","",IF(Data!G795=Data_Val!$C$2,IF(Data!I795="",0,1),0))</f>
        <v/>
      </c>
      <c r="J805" s="38" t="str">
        <f>IF(Data!I795="","",IF(ISNUMBER(MATCH(Data!J795,Data_Val!$A$2:$A$3,0)),0,1))</f>
        <v/>
      </c>
      <c r="K805" s="38" t="str">
        <f ca="1">IF(Data!I795="","",IF(ISNUMBER(Data!K795),IF(AND(Data!K795&gt;(TODAY()-(Data_Val!$K$3*365.25)),Data!K795&lt;=(TODAY()-(Data_Val!$K$2*365.25))),0,1),1))</f>
        <v/>
      </c>
      <c r="L805" s="16" t="str">
        <f>IF(Data!G795="","",IF(Data!G795=Data_Val!$C$2,IF(Data!L795="",0,1),0))</f>
        <v/>
      </c>
      <c r="M805" s="16" t="str">
        <f>IF(Data!L795="","",IF(ISNUMBER(MATCH(Data!M795,Data_Val!$A$2:$A$3,0)),0,1))</f>
        <v/>
      </c>
      <c r="N805" s="43" t="str">
        <f ca="1">IF(Data!L795="","",IF(ISNUMBER(Data!N795),IF(AND(Data!N795&gt;(TODAY()-(Data_Val!$L$3*365.25)),Data!N795&lt;=(TODAY()-(Data_Val!$L$2*365.25))),0,1),1))</f>
        <v/>
      </c>
      <c r="O805" s="18" t="str">
        <f>IF(Data!$G795="","",IF(Data!$G795=Data_Val!$C$2,IF(Data!O795="",0,1),0))</f>
        <v/>
      </c>
      <c r="P805" s="18" t="str">
        <f>IF(Data!O795="","",IF(ISNUMBER(MATCH(Data!P795,Data_Val!$A$2:$A$3,0)),0,1))</f>
        <v/>
      </c>
      <c r="Q805" s="44" t="str">
        <f ca="1">IF(Data!O795="","",IF(ISNUMBER(Data!Q795),IF(AND(Data!Q795&gt;(TODAY()-(Data_Val!$L$3*365.25)),Data!Q795&lt;=(TODAY()-(Data_Val!$L$2*365.25))),0,1),1))</f>
        <v/>
      </c>
    </row>
    <row r="806" spans="1:17" ht="12" customHeight="1" x14ac:dyDescent="0.25">
      <c r="A806" s="36" t="str">
        <f>IF(Data!B796="","",IF(COUNTIFS(Data!A$1:'Data'!A796,Data!A796)&lt;=1,0,1))</f>
        <v/>
      </c>
      <c r="B806" s="36"/>
      <c r="C806" s="36" t="str">
        <f>IF(Data!C796="","",(IF(ISNUMBER(MATCH("*@*.?*",Data!C796,0)),0,1)+IF(COUNTIFS(Data!C$1:'Data'!C796,Data!C796)&gt;1,1,0)))</f>
        <v/>
      </c>
      <c r="D806" s="36" t="str">
        <f>IF(Data!B796="","",IF(ISNUMBER(Data!D796),IF(AND(Data!D796&gt;999999999,Data!D796&lt;=9999999999),IF(COUNTIFS(Data!D$1:'Data'!D796,Data!D796)&lt;=1,0,1),1),1))</f>
        <v/>
      </c>
      <c r="E806" s="36" t="str">
        <f>IF(Data!B796="","",IF(ISNUMBER(MATCH(Data!E796,Data_Val!$A$2:$A$3,0)),0,1))</f>
        <v/>
      </c>
      <c r="F806" s="36" t="str">
        <f ca="1">IF(Data!B796="","",IF(ISNUMBER(Data!F796),IF(AND(Data!F796&gt;(TODAY()-(Data_Val!$H$3*365.25)),Data!F796&lt;=(TODAY()-(Data_Val!$H$2*365.25))),0,1),1))</f>
        <v/>
      </c>
      <c r="G806" s="12" t="str">
        <f>IF(Data!B796="","",IF(AND(Data!G796="",Data!H796&lt;&gt;""),1,IF(ISNUMBER(MATCH(Data!G796,Data_Val!$C$2:$C$5,0)),0,1)))</f>
        <v/>
      </c>
      <c r="H806" s="12" t="str">
        <f>IF(Data!B796="","",IF(AND(Data!G796&lt;&gt;"",Data!H796=""),1,IF(Data!G796="",1,IF(ISNUMBER(MATCH(Data!H796,Data_Val!$D$2:$D$35,0)),0,1))))</f>
        <v/>
      </c>
      <c r="I806" s="38" t="str">
        <f>IF(Data!G796="","",IF(Data!G796=Data_Val!$C$2,IF(Data!I796="",0,1),0))</f>
        <v/>
      </c>
      <c r="J806" s="38" t="str">
        <f>IF(Data!I796="","",IF(ISNUMBER(MATCH(Data!J796,Data_Val!$A$2:$A$3,0)),0,1))</f>
        <v/>
      </c>
      <c r="K806" s="38" t="str">
        <f ca="1">IF(Data!I796="","",IF(ISNUMBER(Data!K796),IF(AND(Data!K796&gt;(TODAY()-(Data_Val!$K$3*365.25)),Data!K796&lt;=(TODAY()-(Data_Val!$K$2*365.25))),0,1),1))</f>
        <v/>
      </c>
      <c r="L806" s="16" t="str">
        <f>IF(Data!G796="","",IF(Data!G796=Data_Val!$C$2,IF(Data!L796="",0,1),0))</f>
        <v/>
      </c>
      <c r="M806" s="16" t="str">
        <f>IF(Data!L796="","",IF(ISNUMBER(MATCH(Data!M796,Data_Val!$A$2:$A$3,0)),0,1))</f>
        <v/>
      </c>
      <c r="N806" s="43" t="str">
        <f ca="1">IF(Data!L796="","",IF(ISNUMBER(Data!N796),IF(AND(Data!N796&gt;(TODAY()-(Data_Val!$L$3*365.25)),Data!N796&lt;=(TODAY()-(Data_Val!$L$2*365.25))),0,1),1))</f>
        <v/>
      </c>
      <c r="O806" s="18" t="str">
        <f>IF(Data!$G796="","",IF(Data!$G796=Data_Val!$C$2,IF(Data!O796="",0,1),0))</f>
        <v/>
      </c>
      <c r="P806" s="18" t="str">
        <f>IF(Data!O796="","",IF(ISNUMBER(MATCH(Data!P796,Data_Val!$A$2:$A$3,0)),0,1))</f>
        <v/>
      </c>
      <c r="Q806" s="44" t="str">
        <f ca="1">IF(Data!O796="","",IF(ISNUMBER(Data!Q796),IF(AND(Data!Q796&gt;(TODAY()-(Data_Val!$L$3*365.25)),Data!Q796&lt;=(TODAY()-(Data_Val!$L$2*365.25))),0,1),1))</f>
        <v/>
      </c>
    </row>
    <row r="807" spans="1:17" ht="12" customHeight="1" x14ac:dyDescent="0.25">
      <c r="A807" s="36" t="str">
        <f>IF(Data!B797="","",IF(COUNTIFS(Data!A$1:'Data'!A797,Data!A797)&lt;=1,0,1))</f>
        <v/>
      </c>
      <c r="B807" s="36"/>
      <c r="C807" s="36" t="str">
        <f>IF(Data!C797="","",(IF(ISNUMBER(MATCH("*@*.?*",Data!C797,0)),0,1)+IF(COUNTIFS(Data!C$1:'Data'!C797,Data!C797)&gt;1,1,0)))</f>
        <v/>
      </c>
      <c r="D807" s="36" t="str">
        <f>IF(Data!B797="","",IF(ISNUMBER(Data!D797),IF(AND(Data!D797&gt;999999999,Data!D797&lt;=9999999999),IF(COUNTIFS(Data!D$1:'Data'!D797,Data!D797)&lt;=1,0,1),1),1))</f>
        <v/>
      </c>
      <c r="E807" s="36" t="str">
        <f>IF(Data!B797="","",IF(ISNUMBER(MATCH(Data!E797,Data_Val!$A$2:$A$3,0)),0,1))</f>
        <v/>
      </c>
      <c r="F807" s="36" t="str">
        <f ca="1">IF(Data!B797="","",IF(ISNUMBER(Data!F797),IF(AND(Data!F797&gt;(TODAY()-(Data_Val!$H$3*365.25)),Data!F797&lt;=(TODAY()-(Data_Val!$H$2*365.25))),0,1),1))</f>
        <v/>
      </c>
      <c r="G807" s="12" t="str">
        <f>IF(Data!B797="","",IF(AND(Data!G797="",Data!H797&lt;&gt;""),1,IF(ISNUMBER(MATCH(Data!G797,Data_Val!$C$2:$C$5,0)),0,1)))</f>
        <v/>
      </c>
      <c r="H807" s="12" t="str">
        <f>IF(Data!B797="","",IF(AND(Data!G797&lt;&gt;"",Data!H797=""),1,IF(Data!G797="",1,IF(ISNUMBER(MATCH(Data!H797,Data_Val!$D$2:$D$35,0)),0,1))))</f>
        <v/>
      </c>
      <c r="I807" s="38" t="str">
        <f>IF(Data!G797="","",IF(Data!G797=Data_Val!$C$2,IF(Data!I797="",0,1),0))</f>
        <v/>
      </c>
      <c r="J807" s="38" t="str">
        <f>IF(Data!I797="","",IF(ISNUMBER(MATCH(Data!J797,Data_Val!$A$2:$A$3,0)),0,1))</f>
        <v/>
      </c>
      <c r="K807" s="38" t="str">
        <f ca="1">IF(Data!I797="","",IF(ISNUMBER(Data!K797),IF(AND(Data!K797&gt;(TODAY()-(Data_Val!$K$3*365.25)),Data!K797&lt;=(TODAY()-(Data_Val!$K$2*365.25))),0,1),1))</f>
        <v/>
      </c>
      <c r="L807" s="16" t="str">
        <f>IF(Data!G797="","",IF(Data!G797=Data_Val!$C$2,IF(Data!L797="",0,1),0))</f>
        <v/>
      </c>
      <c r="M807" s="16" t="str">
        <f>IF(Data!L797="","",IF(ISNUMBER(MATCH(Data!M797,Data_Val!$A$2:$A$3,0)),0,1))</f>
        <v/>
      </c>
      <c r="N807" s="43" t="str">
        <f ca="1">IF(Data!L797="","",IF(ISNUMBER(Data!N797),IF(AND(Data!N797&gt;(TODAY()-(Data_Val!$L$3*365.25)),Data!N797&lt;=(TODAY()-(Data_Val!$L$2*365.25))),0,1),1))</f>
        <v/>
      </c>
      <c r="O807" s="18" t="str">
        <f>IF(Data!$G797="","",IF(Data!$G797=Data_Val!$C$2,IF(Data!O797="",0,1),0))</f>
        <v/>
      </c>
      <c r="P807" s="18" t="str">
        <f>IF(Data!O797="","",IF(ISNUMBER(MATCH(Data!P797,Data_Val!$A$2:$A$3,0)),0,1))</f>
        <v/>
      </c>
      <c r="Q807" s="44" t="str">
        <f ca="1">IF(Data!O797="","",IF(ISNUMBER(Data!Q797),IF(AND(Data!Q797&gt;(TODAY()-(Data_Val!$L$3*365.25)),Data!Q797&lt;=(TODAY()-(Data_Val!$L$2*365.25))),0,1),1))</f>
        <v/>
      </c>
    </row>
    <row r="808" spans="1:17" ht="12" customHeight="1" x14ac:dyDescent="0.25">
      <c r="A808" s="36" t="str">
        <f>IF(Data!B798="","",IF(COUNTIFS(Data!A$1:'Data'!A798,Data!A798)&lt;=1,0,1))</f>
        <v/>
      </c>
      <c r="B808" s="36"/>
      <c r="C808" s="36" t="str">
        <f>IF(Data!C798="","",(IF(ISNUMBER(MATCH("*@*.?*",Data!C798,0)),0,1)+IF(COUNTIFS(Data!C$1:'Data'!C798,Data!C798)&gt;1,1,0)))</f>
        <v/>
      </c>
      <c r="D808" s="36" t="str">
        <f>IF(Data!B798="","",IF(ISNUMBER(Data!D798),IF(AND(Data!D798&gt;999999999,Data!D798&lt;=9999999999),IF(COUNTIFS(Data!D$1:'Data'!D798,Data!D798)&lt;=1,0,1),1),1))</f>
        <v/>
      </c>
      <c r="E808" s="36" t="str">
        <f>IF(Data!B798="","",IF(ISNUMBER(MATCH(Data!E798,Data_Val!$A$2:$A$3,0)),0,1))</f>
        <v/>
      </c>
      <c r="F808" s="36" t="str">
        <f ca="1">IF(Data!B798="","",IF(ISNUMBER(Data!F798),IF(AND(Data!F798&gt;(TODAY()-(Data_Val!$H$3*365.25)),Data!F798&lt;=(TODAY()-(Data_Val!$H$2*365.25))),0,1),1))</f>
        <v/>
      </c>
      <c r="G808" s="12" t="str">
        <f>IF(Data!B798="","",IF(AND(Data!G798="",Data!H798&lt;&gt;""),1,IF(ISNUMBER(MATCH(Data!G798,Data_Val!$C$2:$C$5,0)),0,1)))</f>
        <v/>
      </c>
      <c r="H808" s="12" t="str">
        <f>IF(Data!B798="","",IF(AND(Data!G798&lt;&gt;"",Data!H798=""),1,IF(Data!G798="",1,IF(ISNUMBER(MATCH(Data!H798,Data_Val!$D$2:$D$35,0)),0,1))))</f>
        <v/>
      </c>
      <c r="I808" s="38" t="str">
        <f>IF(Data!G798="","",IF(Data!G798=Data_Val!$C$2,IF(Data!I798="",0,1),0))</f>
        <v/>
      </c>
      <c r="J808" s="38" t="str">
        <f>IF(Data!I798="","",IF(ISNUMBER(MATCH(Data!J798,Data_Val!$A$2:$A$3,0)),0,1))</f>
        <v/>
      </c>
      <c r="K808" s="38" t="str">
        <f ca="1">IF(Data!I798="","",IF(ISNUMBER(Data!K798),IF(AND(Data!K798&gt;(TODAY()-(Data_Val!$K$3*365.25)),Data!K798&lt;=(TODAY()-(Data_Val!$K$2*365.25))),0,1),1))</f>
        <v/>
      </c>
      <c r="L808" s="16" t="str">
        <f>IF(Data!G798="","",IF(Data!G798=Data_Val!$C$2,IF(Data!L798="",0,1),0))</f>
        <v/>
      </c>
      <c r="M808" s="16" t="str">
        <f>IF(Data!L798="","",IF(ISNUMBER(MATCH(Data!M798,Data_Val!$A$2:$A$3,0)),0,1))</f>
        <v/>
      </c>
      <c r="N808" s="43" t="str">
        <f ca="1">IF(Data!L798="","",IF(ISNUMBER(Data!N798),IF(AND(Data!N798&gt;(TODAY()-(Data_Val!$L$3*365.25)),Data!N798&lt;=(TODAY()-(Data_Val!$L$2*365.25))),0,1),1))</f>
        <v/>
      </c>
      <c r="O808" s="18" t="str">
        <f>IF(Data!$G798="","",IF(Data!$G798=Data_Val!$C$2,IF(Data!O798="",0,1),0))</f>
        <v/>
      </c>
      <c r="P808" s="18" t="str">
        <f>IF(Data!O798="","",IF(ISNUMBER(MATCH(Data!P798,Data_Val!$A$2:$A$3,0)),0,1))</f>
        <v/>
      </c>
      <c r="Q808" s="44" t="str">
        <f ca="1">IF(Data!O798="","",IF(ISNUMBER(Data!Q798),IF(AND(Data!Q798&gt;(TODAY()-(Data_Val!$L$3*365.25)),Data!Q798&lt;=(TODAY()-(Data_Val!$L$2*365.25))),0,1),1))</f>
        <v/>
      </c>
    </row>
    <row r="809" spans="1:17" ht="12" customHeight="1" x14ac:dyDescent="0.25">
      <c r="A809" s="36" t="str">
        <f>IF(Data!B799="","",IF(COUNTIFS(Data!A$1:'Data'!A799,Data!A799)&lt;=1,0,1))</f>
        <v/>
      </c>
      <c r="B809" s="36"/>
      <c r="C809" s="36" t="str">
        <f>IF(Data!C799="","",(IF(ISNUMBER(MATCH("*@*.?*",Data!C799,0)),0,1)+IF(COUNTIFS(Data!C$1:'Data'!C799,Data!C799)&gt;1,1,0)))</f>
        <v/>
      </c>
      <c r="D809" s="36" t="str">
        <f>IF(Data!B799="","",IF(ISNUMBER(Data!D799),IF(AND(Data!D799&gt;999999999,Data!D799&lt;=9999999999),IF(COUNTIFS(Data!D$1:'Data'!D799,Data!D799)&lt;=1,0,1),1),1))</f>
        <v/>
      </c>
      <c r="E809" s="36" t="str">
        <f>IF(Data!B799="","",IF(ISNUMBER(MATCH(Data!E799,Data_Val!$A$2:$A$3,0)),0,1))</f>
        <v/>
      </c>
      <c r="F809" s="36" t="str">
        <f ca="1">IF(Data!B799="","",IF(ISNUMBER(Data!F799),IF(AND(Data!F799&gt;(TODAY()-(Data_Val!$H$3*365.25)),Data!F799&lt;=(TODAY()-(Data_Val!$H$2*365.25))),0,1),1))</f>
        <v/>
      </c>
      <c r="G809" s="12" t="str">
        <f>IF(Data!B799="","",IF(AND(Data!G799="",Data!H799&lt;&gt;""),1,IF(ISNUMBER(MATCH(Data!G799,Data_Val!$C$2:$C$5,0)),0,1)))</f>
        <v/>
      </c>
      <c r="H809" s="12" t="str">
        <f>IF(Data!B799="","",IF(AND(Data!G799&lt;&gt;"",Data!H799=""),1,IF(Data!G799="",1,IF(ISNUMBER(MATCH(Data!H799,Data_Val!$D$2:$D$35,0)),0,1))))</f>
        <v/>
      </c>
      <c r="I809" s="38" t="str">
        <f>IF(Data!G799="","",IF(Data!G799=Data_Val!$C$2,IF(Data!I799="",0,1),0))</f>
        <v/>
      </c>
      <c r="J809" s="38" t="str">
        <f>IF(Data!I799="","",IF(ISNUMBER(MATCH(Data!J799,Data_Val!$A$2:$A$3,0)),0,1))</f>
        <v/>
      </c>
      <c r="K809" s="38" t="str">
        <f ca="1">IF(Data!I799="","",IF(ISNUMBER(Data!K799),IF(AND(Data!K799&gt;(TODAY()-(Data_Val!$K$3*365.25)),Data!K799&lt;=(TODAY()-(Data_Val!$K$2*365.25))),0,1),1))</f>
        <v/>
      </c>
      <c r="L809" s="16" t="str">
        <f>IF(Data!G799="","",IF(Data!G799=Data_Val!$C$2,IF(Data!L799="",0,1),0))</f>
        <v/>
      </c>
      <c r="M809" s="16" t="str">
        <f>IF(Data!L799="","",IF(ISNUMBER(MATCH(Data!M799,Data_Val!$A$2:$A$3,0)),0,1))</f>
        <v/>
      </c>
      <c r="N809" s="43" t="str">
        <f ca="1">IF(Data!L799="","",IF(ISNUMBER(Data!N799),IF(AND(Data!N799&gt;(TODAY()-(Data_Val!$L$3*365.25)),Data!N799&lt;=(TODAY()-(Data_Val!$L$2*365.25))),0,1),1))</f>
        <v/>
      </c>
      <c r="O809" s="18" t="str">
        <f>IF(Data!$G799="","",IF(Data!$G799=Data_Val!$C$2,IF(Data!O799="",0,1),0))</f>
        <v/>
      </c>
      <c r="P809" s="18" t="str">
        <f>IF(Data!O799="","",IF(ISNUMBER(MATCH(Data!P799,Data_Val!$A$2:$A$3,0)),0,1))</f>
        <v/>
      </c>
      <c r="Q809" s="44" t="str">
        <f ca="1">IF(Data!O799="","",IF(ISNUMBER(Data!Q799),IF(AND(Data!Q799&gt;(TODAY()-(Data_Val!$L$3*365.25)),Data!Q799&lt;=(TODAY()-(Data_Val!$L$2*365.25))),0,1),1))</f>
        <v/>
      </c>
    </row>
    <row r="810" spans="1:17" ht="12" customHeight="1" x14ac:dyDescent="0.25">
      <c r="A810" s="36" t="str">
        <f>IF(Data!B800="","",IF(COUNTIFS(Data!A$1:'Data'!A800,Data!A800)&lt;=1,0,1))</f>
        <v/>
      </c>
      <c r="B810" s="36"/>
      <c r="C810" s="36" t="str">
        <f>IF(Data!C800="","",(IF(ISNUMBER(MATCH("*@*.?*",Data!C800,0)),0,1)+IF(COUNTIFS(Data!C$1:'Data'!C800,Data!C800)&gt;1,1,0)))</f>
        <v/>
      </c>
      <c r="D810" s="36" t="str">
        <f>IF(Data!B800="","",IF(ISNUMBER(Data!D800),IF(AND(Data!D800&gt;999999999,Data!D800&lt;=9999999999),IF(COUNTIFS(Data!D$1:'Data'!D800,Data!D800)&lt;=1,0,1),1),1))</f>
        <v/>
      </c>
      <c r="E810" s="36" t="str">
        <f>IF(Data!B800="","",IF(ISNUMBER(MATCH(Data!E800,Data_Val!$A$2:$A$3,0)),0,1))</f>
        <v/>
      </c>
      <c r="F810" s="36" t="str">
        <f ca="1">IF(Data!B800="","",IF(ISNUMBER(Data!F800),IF(AND(Data!F800&gt;(TODAY()-(Data_Val!$H$3*365.25)),Data!F800&lt;=(TODAY()-(Data_Val!$H$2*365.25))),0,1),1))</f>
        <v/>
      </c>
      <c r="G810" s="12" t="str">
        <f>IF(Data!B800="","",IF(AND(Data!G800="",Data!H800&lt;&gt;""),1,IF(ISNUMBER(MATCH(Data!G800,Data_Val!$C$2:$C$5,0)),0,1)))</f>
        <v/>
      </c>
      <c r="H810" s="12" t="str">
        <f>IF(Data!B800="","",IF(AND(Data!G800&lt;&gt;"",Data!H800=""),1,IF(Data!G800="",1,IF(ISNUMBER(MATCH(Data!H800,Data_Val!$D$2:$D$35,0)),0,1))))</f>
        <v/>
      </c>
      <c r="I810" s="38" t="str">
        <f>IF(Data!G800="","",IF(Data!G800=Data_Val!$C$2,IF(Data!I800="",0,1),0))</f>
        <v/>
      </c>
      <c r="J810" s="38" t="str">
        <f>IF(Data!I800="","",IF(ISNUMBER(MATCH(Data!J800,Data_Val!$A$2:$A$3,0)),0,1))</f>
        <v/>
      </c>
      <c r="K810" s="38" t="str">
        <f ca="1">IF(Data!I800="","",IF(ISNUMBER(Data!K800),IF(AND(Data!K800&gt;(TODAY()-(Data_Val!$K$3*365.25)),Data!K800&lt;=(TODAY()-(Data_Val!$K$2*365.25))),0,1),1))</f>
        <v/>
      </c>
      <c r="L810" s="16" t="str">
        <f>IF(Data!G800="","",IF(Data!G800=Data_Val!$C$2,IF(Data!L800="",0,1),0))</f>
        <v/>
      </c>
      <c r="M810" s="16" t="str">
        <f>IF(Data!L800="","",IF(ISNUMBER(MATCH(Data!M800,Data_Val!$A$2:$A$3,0)),0,1))</f>
        <v/>
      </c>
      <c r="N810" s="43" t="str">
        <f ca="1">IF(Data!L800="","",IF(ISNUMBER(Data!N800),IF(AND(Data!N800&gt;(TODAY()-(Data_Val!$L$3*365.25)),Data!N800&lt;=(TODAY()-(Data_Val!$L$2*365.25))),0,1),1))</f>
        <v/>
      </c>
      <c r="O810" s="18" t="str">
        <f>IF(Data!$G800="","",IF(Data!$G800=Data_Val!$C$2,IF(Data!O800="",0,1),0))</f>
        <v/>
      </c>
      <c r="P810" s="18" t="str">
        <f>IF(Data!O800="","",IF(ISNUMBER(MATCH(Data!P800,Data_Val!$A$2:$A$3,0)),0,1))</f>
        <v/>
      </c>
      <c r="Q810" s="44" t="str">
        <f ca="1">IF(Data!O800="","",IF(ISNUMBER(Data!Q800),IF(AND(Data!Q800&gt;(TODAY()-(Data_Val!$L$3*365.25)),Data!Q800&lt;=(TODAY()-(Data_Val!$L$2*365.25))),0,1),1))</f>
        <v/>
      </c>
    </row>
    <row r="811" spans="1:17" ht="12" customHeight="1" x14ac:dyDescent="0.25">
      <c r="A811" s="36" t="str">
        <f>IF(Data!B801="","",IF(COUNTIFS(Data!A$1:'Data'!A801,Data!A801)&lt;=1,0,1))</f>
        <v/>
      </c>
      <c r="B811" s="36"/>
      <c r="C811" s="36" t="str">
        <f>IF(Data!C801="","",(IF(ISNUMBER(MATCH("*@*.?*",Data!C801,0)),0,1)+IF(COUNTIFS(Data!C$1:'Data'!C801,Data!C801)&gt;1,1,0)))</f>
        <v/>
      </c>
      <c r="D811" s="36" t="str">
        <f>IF(Data!B801="","",IF(ISNUMBER(Data!D801),IF(AND(Data!D801&gt;999999999,Data!D801&lt;=9999999999),IF(COUNTIFS(Data!D$1:'Data'!D801,Data!D801)&lt;=1,0,1),1),1))</f>
        <v/>
      </c>
      <c r="E811" s="36" t="str">
        <f>IF(Data!B801="","",IF(ISNUMBER(MATCH(Data!E801,Data_Val!$A$2:$A$3,0)),0,1))</f>
        <v/>
      </c>
      <c r="F811" s="36" t="str">
        <f ca="1">IF(Data!B801="","",IF(ISNUMBER(Data!F801),IF(AND(Data!F801&gt;(TODAY()-(Data_Val!$H$3*365.25)),Data!F801&lt;=(TODAY()-(Data_Val!$H$2*365.25))),0,1),1))</f>
        <v/>
      </c>
      <c r="G811" s="12" t="str">
        <f>IF(Data!B801="","",IF(AND(Data!G801="",Data!H801&lt;&gt;""),1,IF(ISNUMBER(MATCH(Data!G801,Data_Val!$C$2:$C$5,0)),0,1)))</f>
        <v/>
      </c>
      <c r="H811" s="12" t="str">
        <f>IF(Data!B801="","",IF(AND(Data!G801&lt;&gt;"",Data!H801=""),1,IF(Data!G801="",1,IF(ISNUMBER(MATCH(Data!H801,Data_Val!$D$2:$D$35,0)),0,1))))</f>
        <v/>
      </c>
      <c r="I811" s="38" t="str">
        <f>IF(Data!G801="","",IF(Data!G801=Data_Val!$C$2,IF(Data!I801="",0,1),0))</f>
        <v/>
      </c>
      <c r="J811" s="38" t="str">
        <f>IF(Data!I801="","",IF(ISNUMBER(MATCH(Data!J801,Data_Val!$A$2:$A$3,0)),0,1))</f>
        <v/>
      </c>
      <c r="K811" s="38" t="str">
        <f ca="1">IF(Data!I801="","",IF(ISNUMBER(Data!K801),IF(AND(Data!K801&gt;(TODAY()-(Data_Val!$K$3*365.25)),Data!K801&lt;=(TODAY()-(Data_Val!$K$2*365.25))),0,1),1))</f>
        <v/>
      </c>
      <c r="L811" s="16" t="str">
        <f>IF(Data!G801="","",IF(Data!G801=Data_Val!$C$2,IF(Data!L801="",0,1),0))</f>
        <v/>
      </c>
      <c r="M811" s="16" t="str">
        <f>IF(Data!L801="","",IF(ISNUMBER(MATCH(Data!M801,Data_Val!$A$2:$A$3,0)),0,1))</f>
        <v/>
      </c>
      <c r="N811" s="43" t="str">
        <f ca="1">IF(Data!L801="","",IF(ISNUMBER(Data!N801),IF(AND(Data!N801&gt;(TODAY()-(Data_Val!$L$3*365.25)),Data!N801&lt;=(TODAY()-(Data_Val!$L$2*365.25))),0,1),1))</f>
        <v/>
      </c>
      <c r="O811" s="18" t="str">
        <f>IF(Data!$G801="","",IF(Data!$G801=Data_Val!$C$2,IF(Data!O801="",0,1),0))</f>
        <v/>
      </c>
      <c r="P811" s="18" t="str">
        <f>IF(Data!O801="","",IF(ISNUMBER(MATCH(Data!P801,Data_Val!$A$2:$A$3,0)),0,1))</f>
        <v/>
      </c>
      <c r="Q811" s="44" t="str">
        <f ca="1">IF(Data!O801="","",IF(ISNUMBER(Data!Q801),IF(AND(Data!Q801&gt;(TODAY()-(Data_Val!$L$3*365.25)),Data!Q801&lt;=(TODAY()-(Data_Val!$L$2*365.25))),0,1),1))</f>
        <v/>
      </c>
    </row>
    <row r="812" spans="1:17" ht="12" customHeight="1" x14ac:dyDescent="0.25">
      <c r="A812" s="36" t="str">
        <f>IF(Data!B802="","",IF(COUNTIFS(Data!A$1:'Data'!A802,Data!A802)&lt;=1,0,1))</f>
        <v/>
      </c>
      <c r="B812" s="36"/>
      <c r="C812" s="36" t="str">
        <f>IF(Data!C802="","",(IF(ISNUMBER(MATCH("*@*.?*",Data!C802,0)),0,1)+IF(COUNTIFS(Data!C$1:'Data'!C802,Data!C802)&gt;1,1,0)))</f>
        <v/>
      </c>
      <c r="D812" s="36" t="str">
        <f>IF(Data!B802="","",IF(ISNUMBER(Data!D802),IF(AND(Data!D802&gt;999999999,Data!D802&lt;=9999999999),IF(COUNTIFS(Data!D$1:'Data'!D802,Data!D802)&lt;=1,0,1),1),1))</f>
        <v/>
      </c>
      <c r="E812" s="36" t="str">
        <f>IF(Data!B802="","",IF(ISNUMBER(MATCH(Data!E802,Data_Val!$A$2:$A$3,0)),0,1))</f>
        <v/>
      </c>
      <c r="F812" s="36" t="str">
        <f ca="1">IF(Data!B802="","",IF(ISNUMBER(Data!F802),IF(AND(Data!F802&gt;(TODAY()-(Data_Val!$H$3*365.25)),Data!F802&lt;=(TODAY()-(Data_Val!$H$2*365.25))),0,1),1))</f>
        <v/>
      </c>
      <c r="G812" s="12" t="str">
        <f>IF(Data!B802="","",IF(AND(Data!G802="",Data!H802&lt;&gt;""),1,IF(ISNUMBER(MATCH(Data!G802,Data_Val!$C$2:$C$5,0)),0,1)))</f>
        <v/>
      </c>
      <c r="H812" s="12" t="str">
        <f>IF(Data!B802="","",IF(AND(Data!G802&lt;&gt;"",Data!H802=""),1,IF(Data!G802="",1,IF(ISNUMBER(MATCH(Data!H802,Data_Val!$D$2:$D$35,0)),0,1))))</f>
        <v/>
      </c>
      <c r="I812" s="38" t="str">
        <f>IF(Data!G802="","",IF(Data!G802=Data_Val!$C$2,IF(Data!I802="",0,1),0))</f>
        <v/>
      </c>
      <c r="J812" s="38" t="str">
        <f>IF(Data!I802="","",IF(ISNUMBER(MATCH(Data!J802,Data_Val!$A$2:$A$3,0)),0,1))</f>
        <v/>
      </c>
      <c r="K812" s="38" t="str">
        <f ca="1">IF(Data!I802="","",IF(ISNUMBER(Data!K802),IF(AND(Data!K802&gt;(TODAY()-(Data_Val!$K$3*365.25)),Data!K802&lt;=(TODAY()-(Data_Val!$K$2*365.25))),0,1),1))</f>
        <v/>
      </c>
      <c r="L812" s="16" t="str">
        <f>IF(Data!G802="","",IF(Data!G802=Data_Val!$C$2,IF(Data!L802="",0,1),0))</f>
        <v/>
      </c>
      <c r="M812" s="16" t="str">
        <f>IF(Data!L802="","",IF(ISNUMBER(MATCH(Data!M802,Data_Val!$A$2:$A$3,0)),0,1))</f>
        <v/>
      </c>
      <c r="N812" s="43" t="str">
        <f ca="1">IF(Data!L802="","",IF(ISNUMBER(Data!N802),IF(AND(Data!N802&gt;(TODAY()-(Data_Val!$L$3*365.25)),Data!N802&lt;=(TODAY()-(Data_Val!$L$2*365.25))),0,1),1))</f>
        <v/>
      </c>
      <c r="O812" s="18" t="str">
        <f>IF(Data!$G802="","",IF(Data!$G802=Data_Val!$C$2,IF(Data!O802="",0,1),0))</f>
        <v/>
      </c>
      <c r="P812" s="18" t="str">
        <f>IF(Data!O802="","",IF(ISNUMBER(MATCH(Data!P802,Data_Val!$A$2:$A$3,0)),0,1))</f>
        <v/>
      </c>
      <c r="Q812" s="44" t="str">
        <f ca="1">IF(Data!O802="","",IF(ISNUMBER(Data!Q802),IF(AND(Data!Q802&gt;(TODAY()-(Data_Val!$L$3*365.25)),Data!Q802&lt;=(TODAY()-(Data_Val!$L$2*365.25))),0,1),1))</f>
        <v/>
      </c>
    </row>
    <row r="813" spans="1:17" ht="12" customHeight="1" x14ac:dyDescent="0.25">
      <c r="A813" s="36" t="str">
        <f>IF(Data!B803="","",IF(COUNTIFS(Data!A$1:'Data'!A803,Data!A803)&lt;=1,0,1))</f>
        <v/>
      </c>
      <c r="B813" s="36"/>
      <c r="C813" s="36" t="str">
        <f>IF(Data!C803="","",(IF(ISNUMBER(MATCH("*@*.?*",Data!C803,0)),0,1)+IF(COUNTIFS(Data!C$1:'Data'!C803,Data!C803)&gt;1,1,0)))</f>
        <v/>
      </c>
      <c r="D813" s="36" t="str">
        <f>IF(Data!B803="","",IF(ISNUMBER(Data!D803),IF(AND(Data!D803&gt;999999999,Data!D803&lt;=9999999999),IF(COUNTIFS(Data!D$1:'Data'!D803,Data!D803)&lt;=1,0,1),1),1))</f>
        <v/>
      </c>
      <c r="E813" s="36" t="str">
        <f>IF(Data!B803="","",IF(ISNUMBER(MATCH(Data!E803,Data_Val!$A$2:$A$3,0)),0,1))</f>
        <v/>
      </c>
      <c r="F813" s="36" t="str">
        <f ca="1">IF(Data!B803="","",IF(ISNUMBER(Data!F803),IF(AND(Data!F803&gt;(TODAY()-(Data_Val!$H$3*365.25)),Data!F803&lt;=(TODAY()-(Data_Val!$H$2*365.25))),0,1),1))</f>
        <v/>
      </c>
      <c r="G813" s="12" t="str">
        <f>IF(Data!B803="","",IF(AND(Data!G803="",Data!H803&lt;&gt;""),1,IF(ISNUMBER(MATCH(Data!G803,Data_Val!$C$2:$C$5,0)),0,1)))</f>
        <v/>
      </c>
      <c r="H813" s="12" t="str">
        <f>IF(Data!B803="","",IF(AND(Data!G803&lt;&gt;"",Data!H803=""),1,IF(Data!G803="",1,IF(ISNUMBER(MATCH(Data!H803,Data_Val!$D$2:$D$35,0)),0,1))))</f>
        <v/>
      </c>
      <c r="I813" s="38" t="str">
        <f>IF(Data!G803="","",IF(Data!G803=Data_Val!$C$2,IF(Data!I803="",0,1),0))</f>
        <v/>
      </c>
      <c r="J813" s="38" t="str">
        <f>IF(Data!I803="","",IF(ISNUMBER(MATCH(Data!J803,Data_Val!$A$2:$A$3,0)),0,1))</f>
        <v/>
      </c>
      <c r="K813" s="38" t="str">
        <f ca="1">IF(Data!I803="","",IF(ISNUMBER(Data!K803),IF(AND(Data!K803&gt;(TODAY()-(Data_Val!$K$3*365.25)),Data!K803&lt;=(TODAY()-(Data_Val!$K$2*365.25))),0,1),1))</f>
        <v/>
      </c>
      <c r="L813" s="16" t="str">
        <f>IF(Data!G803="","",IF(Data!G803=Data_Val!$C$2,IF(Data!L803="",0,1),0))</f>
        <v/>
      </c>
      <c r="M813" s="16" t="str">
        <f>IF(Data!L803="","",IF(ISNUMBER(MATCH(Data!M803,Data_Val!$A$2:$A$3,0)),0,1))</f>
        <v/>
      </c>
      <c r="N813" s="43" t="str">
        <f ca="1">IF(Data!L803="","",IF(ISNUMBER(Data!N803),IF(AND(Data!N803&gt;(TODAY()-(Data_Val!$L$3*365.25)),Data!N803&lt;=(TODAY()-(Data_Val!$L$2*365.25))),0,1),1))</f>
        <v/>
      </c>
      <c r="O813" s="18" t="str">
        <f>IF(Data!$G803="","",IF(Data!$G803=Data_Val!$C$2,IF(Data!O803="",0,1),0))</f>
        <v/>
      </c>
      <c r="P813" s="18" t="str">
        <f>IF(Data!O803="","",IF(ISNUMBER(MATCH(Data!P803,Data_Val!$A$2:$A$3,0)),0,1))</f>
        <v/>
      </c>
      <c r="Q813" s="44" t="str">
        <f ca="1">IF(Data!O803="","",IF(ISNUMBER(Data!Q803),IF(AND(Data!Q803&gt;(TODAY()-(Data_Val!$L$3*365.25)),Data!Q803&lt;=(TODAY()-(Data_Val!$L$2*365.25))),0,1),1))</f>
        <v/>
      </c>
    </row>
    <row r="814" spans="1:17" ht="12" customHeight="1" x14ac:dyDescent="0.25">
      <c r="A814" s="36" t="str">
        <f>IF(Data!B804="","",IF(COUNTIFS(Data!A$1:'Data'!A804,Data!A804)&lt;=1,0,1))</f>
        <v/>
      </c>
      <c r="B814" s="36"/>
      <c r="C814" s="36" t="str">
        <f>IF(Data!C804="","",(IF(ISNUMBER(MATCH("*@*.?*",Data!C804,0)),0,1)+IF(COUNTIFS(Data!C$1:'Data'!C804,Data!C804)&gt;1,1,0)))</f>
        <v/>
      </c>
      <c r="D814" s="36" t="str">
        <f>IF(Data!B804="","",IF(ISNUMBER(Data!D804),IF(AND(Data!D804&gt;999999999,Data!D804&lt;=9999999999),IF(COUNTIFS(Data!D$1:'Data'!D804,Data!D804)&lt;=1,0,1),1),1))</f>
        <v/>
      </c>
      <c r="E814" s="36" t="str">
        <f>IF(Data!B804="","",IF(ISNUMBER(MATCH(Data!E804,Data_Val!$A$2:$A$3,0)),0,1))</f>
        <v/>
      </c>
      <c r="F814" s="36" t="str">
        <f ca="1">IF(Data!B804="","",IF(ISNUMBER(Data!F804),IF(AND(Data!F804&gt;(TODAY()-(Data_Val!$H$3*365.25)),Data!F804&lt;=(TODAY()-(Data_Val!$H$2*365.25))),0,1),1))</f>
        <v/>
      </c>
      <c r="G814" s="12" t="str">
        <f>IF(Data!B804="","",IF(AND(Data!G804="",Data!H804&lt;&gt;""),1,IF(ISNUMBER(MATCH(Data!G804,Data_Val!$C$2:$C$5,0)),0,1)))</f>
        <v/>
      </c>
      <c r="H814" s="12" t="str">
        <f>IF(Data!B804="","",IF(AND(Data!G804&lt;&gt;"",Data!H804=""),1,IF(Data!G804="",1,IF(ISNUMBER(MATCH(Data!H804,Data_Val!$D$2:$D$35,0)),0,1))))</f>
        <v/>
      </c>
      <c r="I814" s="38" t="str">
        <f>IF(Data!G804="","",IF(Data!G804=Data_Val!$C$2,IF(Data!I804="",0,1),0))</f>
        <v/>
      </c>
      <c r="J814" s="38" t="str">
        <f>IF(Data!I804="","",IF(ISNUMBER(MATCH(Data!J804,Data_Val!$A$2:$A$3,0)),0,1))</f>
        <v/>
      </c>
      <c r="K814" s="38" t="str">
        <f ca="1">IF(Data!I804="","",IF(ISNUMBER(Data!K804),IF(AND(Data!K804&gt;(TODAY()-(Data_Val!$K$3*365.25)),Data!K804&lt;=(TODAY()-(Data_Val!$K$2*365.25))),0,1),1))</f>
        <v/>
      </c>
      <c r="L814" s="16" t="str">
        <f>IF(Data!G804="","",IF(Data!G804=Data_Val!$C$2,IF(Data!L804="",0,1),0))</f>
        <v/>
      </c>
      <c r="M814" s="16" t="str">
        <f>IF(Data!L804="","",IF(ISNUMBER(MATCH(Data!M804,Data_Val!$A$2:$A$3,0)),0,1))</f>
        <v/>
      </c>
      <c r="N814" s="43" t="str">
        <f ca="1">IF(Data!L804="","",IF(ISNUMBER(Data!N804),IF(AND(Data!N804&gt;(TODAY()-(Data_Val!$L$3*365.25)),Data!N804&lt;=(TODAY()-(Data_Val!$L$2*365.25))),0,1),1))</f>
        <v/>
      </c>
      <c r="O814" s="18" t="str">
        <f>IF(Data!$G804="","",IF(Data!$G804=Data_Val!$C$2,IF(Data!O804="",0,1),0))</f>
        <v/>
      </c>
      <c r="P814" s="18" t="str">
        <f>IF(Data!O804="","",IF(ISNUMBER(MATCH(Data!P804,Data_Val!$A$2:$A$3,0)),0,1))</f>
        <v/>
      </c>
      <c r="Q814" s="44" t="str">
        <f ca="1">IF(Data!O804="","",IF(ISNUMBER(Data!Q804),IF(AND(Data!Q804&gt;(TODAY()-(Data_Val!$L$3*365.25)),Data!Q804&lt;=(TODAY()-(Data_Val!$L$2*365.25))),0,1),1))</f>
        <v/>
      </c>
    </row>
    <row r="815" spans="1:17" ht="12" customHeight="1" x14ac:dyDescent="0.25">
      <c r="A815" s="36" t="str">
        <f>IF(Data!B805="","",IF(COUNTIFS(Data!A$1:'Data'!A805,Data!A805)&lt;=1,0,1))</f>
        <v/>
      </c>
      <c r="B815" s="36"/>
      <c r="C815" s="36" t="str">
        <f>IF(Data!C805="","",(IF(ISNUMBER(MATCH("*@*.?*",Data!C805,0)),0,1)+IF(COUNTIFS(Data!C$1:'Data'!C805,Data!C805)&gt;1,1,0)))</f>
        <v/>
      </c>
      <c r="D815" s="36" t="str">
        <f>IF(Data!B805="","",IF(ISNUMBER(Data!D805),IF(AND(Data!D805&gt;999999999,Data!D805&lt;=9999999999),IF(COUNTIFS(Data!D$1:'Data'!D805,Data!D805)&lt;=1,0,1),1),1))</f>
        <v/>
      </c>
      <c r="E815" s="36" t="str">
        <f>IF(Data!B805="","",IF(ISNUMBER(MATCH(Data!E805,Data_Val!$A$2:$A$3,0)),0,1))</f>
        <v/>
      </c>
      <c r="F815" s="36" t="str">
        <f ca="1">IF(Data!B805="","",IF(ISNUMBER(Data!F805),IF(AND(Data!F805&gt;(TODAY()-(Data_Val!$H$3*365.25)),Data!F805&lt;=(TODAY()-(Data_Val!$H$2*365.25))),0,1),1))</f>
        <v/>
      </c>
      <c r="G815" s="12" t="str">
        <f>IF(Data!B805="","",IF(AND(Data!G805="",Data!H805&lt;&gt;""),1,IF(ISNUMBER(MATCH(Data!G805,Data_Val!$C$2:$C$5,0)),0,1)))</f>
        <v/>
      </c>
      <c r="H815" s="12" t="str">
        <f>IF(Data!B805="","",IF(AND(Data!G805&lt;&gt;"",Data!H805=""),1,IF(Data!G805="",1,IF(ISNUMBER(MATCH(Data!H805,Data_Val!$D$2:$D$35,0)),0,1))))</f>
        <v/>
      </c>
      <c r="I815" s="38" t="str">
        <f>IF(Data!G805="","",IF(Data!G805=Data_Val!$C$2,IF(Data!I805="",0,1),0))</f>
        <v/>
      </c>
      <c r="J815" s="38" t="str">
        <f>IF(Data!I805="","",IF(ISNUMBER(MATCH(Data!J805,Data_Val!$A$2:$A$3,0)),0,1))</f>
        <v/>
      </c>
      <c r="K815" s="38" t="str">
        <f ca="1">IF(Data!I805="","",IF(ISNUMBER(Data!K805),IF(AND(Data!K805&gt;(TODAY()-(Data_Val!$K$3*365.25)),Data!K805&lt;=(TODAY()-(Data_Val!$K$2*365.25))),0,1),1))</f>
        <v/>
      </c>
      <c r="L815" s="16" t="str">
        <f>IF(Data!G805="","",IF(Data!G805=Data_Val!$C$2,IF(Data!L805="",0,1),0))</f>
        <v/>
      </c>
      <c r="M815" s="16" t="str">
        <f>IF(Data!L805="","",IF(ISNUMBER(MATCH(Data!M805,Data_Val!$A$2:$A$3,0)),0,1))</f>
        <v/>
      </c>
      <c r="N815" s="43" t="str">
        <f ca="1">IF(Data!L805="","",IF(ISNUMBER(Data!N805),IF(AND(Data!N805&gt;(TODAY()-(Data_Val!$L$3*365.25)),Data!N805&lt;=(TODAY()-(Data_Val!$L$2*365.25))),0,1),1))</f>
        <v/>
      </c>
      <c r="O815" s="18" t="str">
        <f>IF(Data!$G805="","",IF(Data!$G805=Data_Val!$C$2,IF(Data!O805="",0,1),0))</f>
        <v/>
      </c>
      <c r="P815" s="18" t="str">
        <f>IF(Data!O805="","",IF(ISNUMBER(MATCH(Data!P805,Data_Val!$A$2:$A$3,0)),0,1))</f>
        <v/>
      </c>
      <c r="Q815" s="44" t="str">
        <f ca="1">IF(Data!O805="","",IF(ISNUMBER(Data!Q805),IF(AND(Data!Q805&gt;(TODAY()-(Data_Val!$L$3*365.25)),Data!Q805&lt;=(TODAY()-(Data_Val!$L$2*365.25))),0,1),1))</f>
        <v/>
      </c>
    </row>
    <row r="816" spans="1:17" ht="12" customHeight="1" x14ac:dyDescent="0.25">
      <c r="A816" s="36" t="str">
        <f>IF(Data!B806="","",IF(COUNTIFS(Data!A$1:'Data'!A806,Data!A806)&lt;=1,0,1))</f>
        <v/>
      </c>
      <c r="B816" s="36"/>
      <c r="C816" s="36" t="str">
        <f>IF(Data!C806="","",(IF(ISNUMBER(MATCH("*@*.?*",Data!C806,0)),0,1)+IF(COUNTIFS(Data!C$1:'Data'!C806,Data!C806)&gt;1,1,0)))</f>
        <v/>
      </c>
      <c r="D816" s="36" t="str">
        <f>IF(Data!B806="","",IF(ISNUMBER(Data!D806),IF(AND(Data!D806&gt;999999999,Data!D806&lt;=9999999999),IF(COUNTIFS(Data!D$1:'Data'!D806,Data!D806)&lt;=1,0,1),1),1))</f>
        <v/>
      </c>
      <c r="E816" s="36" t="str">
        <f>IF(Data!B806="","",IF(ISNUMBER(MATCH(Data!E806,Data_Val!$A$2:$A$3,0)),0,1))</f>
        <v/>
      </c>
      <c r="F816" s="36" t="str">
        <f ca="1">IF(Data!B806="","",IF(ISNUMBER(Data!F806),IF(AND(Data!F806&gt;(TODAY()-(Data_Val!$H$3*365.25)),Data!F806&lt;=(TODAY()-(Data_Val!$H$2*365.25))),0,1),1))</f>
        <v/>
      </c>
      <c r="G816" s="12" t="str">
        <f>IF(Data!B806="","",IF(AND(Data!G806="",Data!H806&lt;&gt;""),1,IF(ISNUMBER(MATCH(Data!G806,Data_Val!$C$2:$C$5,0)),0,1)))</f>
        <v/>
      </c>
      <c r="H816" s="12" t="str">
        <f>IF(Data!B806="","",IF(AND(Data!G806&lt;&gt;"",Data!H806=""),1,IF(Data!G806="",1,IF(ISNUMBER(MATCH(Data!H806,Data_Val!$D$2:$D$35,0)),0,1))))</f>
        <v/>
      </c>
      <c r="I816" s="38" t="str">
        <f>IF(Data!G806="","",IF(Data!G806=Data_Val!$C$2,IF(Data!I806="",0,1),0))</f>
        <v/>
      </c>
      <c r="J816" s="38" t="str">
        <f>IF(Data!I806="","",IF(ISNUMBER(MATCH(Data!J806,Data_Val!$A$2:$A$3,0)),0,1))</f>
        <v/>
      </c>
      <c r="K816" s="38" t="str">
        <f ca="1">IF(Data!I806="","",IF(ISNUMBER(Data!K806),IF(AND(Data!K806&gt;(TODAY()-(Data_Val!$K$3*365.25)),Data!K806&lt;=(TODAY()-(Data_Val!$K$2*365.25))),0,1),1))</f>
        <v/>
      </c>
      <c r="L816" s="16" t="str">
        <f>IF(Data!G806="","",IF(Data!G806=Data_Val!$C$2,IF(Data!L806="",0,1),0))</f>
        <v/>
      </c>
      <c r="M816" s="16" t="str">
        <f>IF(Data!L806="","",IF(ISNUMBER(MATCH(Data!M806,Data_Val!$A$2:$A$3,0)),0,1))</f>
        <v/>
      </c>
      <c r="N816" s="43" t="str">
        <f ca="1">IF(Data!L806="","",IF(ISNUMBER(Data!N806),IF(AND(Data!N806&gt;(TODAY()-(Data_Val!$L$3*365.25)),Data!N806&lt;=(TODAY()-(Data_Val!$L$2*365.25))),0,1),1))</f>
        <v/>
      </c>
      <c r="O816" s="18" t="str">
        <f>IF(Data!$G806="","",IF(Data!$G806=Data_Val!$C$2,IF(Data!O806="",0,1),0))</f>
        <v/>
      </c>
      <c r="P816" s="18" t="str">
        <f>IF(Data!O806="","",IF(ISNUMBER(MATCH(Data!P806,Data_Val!$A$2:$A$3,0)),0,1))</f>
        <v/>
      </c>
      <c r="Q816" s="44" t="str">
        <f ca="1">IF(Data!O806="","",IF(ISNUMBER(Data!Q806),IF(AND(Data!Q806&gt;(TODAY()-(Data_Val!$L$3*365.25)),Data!Q806&lt;=(TODAY()-(Data_Val!$L$2*365.25))),0,1),1))</f>
        <v/>
      </c>
    </row>
    <row r="817" spans="1:17" ht="12" customHeight="1" x14ac:dyDescent="0.25">
      <c r="A817" s="36" t="str">
        <f>IF(Data!B807="","",IF(COUNTIFS(Data!A$1:'Data'!A807,Data!A807)&lt;=1,0,1))</f>
        <v/>
      </c>
      <c r="B817" s="36"/>
      <c r="C817" s="36" t="str">
        <f>IF(Data!C807="","",(IF(ISNUMBER(MATCH("*@*.?*",Data!C807,0)),0,1)+IF(COUNTIFS(Data!C$1:'Data'!C807,Data!C807)&gt;1,1,0)))</f>
        <v/>
      </c>
      <c r="D817" s="36" t="str">
        <f>IF(Data!B807="","",IF(ISNUMBER(Data!D807),IF(AND(Data!D807&gt;999999999,Data!D807&lt;=9999999999),IF(COUNTIFS(Data!D$1:'Data'!D807,Data!D807)&lt;=1,0,1),1),1))</f>
        <v/>
      </c>
      <c r="E817" s="36" t="str">
        <f>IF(Data!B807="","",IF(ISNUMBER(MATCH(Data!E807,Data_Val!$A$2:$A$3,0)),0,1))</f>
        <v/>
      </c>
      <c r="F817" s="36" t="str">
        <f ca="1">IF(Data!B807="","",IF(ISNUMBER(Data!F807),IF(AND(Data!F807&gt;(TODAY()-(Data_Val!$H$3*365.25)),Data!F807&lt;=(TODAY()-(Data_Val!$H$2*365.25))),0,1),1))</f>
        <v/>
      </c>
      <c r="G817" s="12" t="str">
        <f>IF(Data!B807="","",IF(AND(Data!G807="",Data!H807&lt;&gt;""),1,IF(ISNUMBER(MATCH(Data!G807,Data_Val!$C$2:$C$5,0)),0,1)))</f>
        <v/>
      </c>
      <c r="H817" s="12" t="str">
        <f>IF(Data!B807="","",IF(AND(Data!G807&lt;&gt;"",Data!H807=""),1,IF(Data!G807="",1,IF(ISNUMBER(MATCH(Data!H807,Data_Val!$D$2:$D$35,0)),0,1))))</f>
        <v/>
      </c>
      <c r="I817" s="38" t="str">
        <f>IF(Data!G807="","",IF(Data!G807=Data_Val!$C$2,IF(Data!I807="",0,1),0))</f>
        <v/>
      </c>
      <c r="J817" s="38" t="str">
        <f>IF(Data!I807="","",IF(ISNUMBER(MATCH(Data!J807,Data_Val!$A$2:$A$3,0)),0,1))</f>
        <v/>
      </c>
      <c r="K817" s="38" t="str">
        <f ca="1">IF(Data!I807="","",IF(ISNUMBER(Data!K807),IF(AND(Data!K807&gt;(TODAY()-(Data_Val!$K$3*365.25)),Data!K807&lt;=(TODAY()-(Data_Val!$K$2*365.25))),0,1),1))</f>
        <v/>
      </c>
      <c r="L817" s="16" t="str">
        <f>IF(Data!G807="","",IF(Data!G807=Data_Val!$C$2,IF(Data!L807="",0,1),0))</f>
        <v/>
      </c>
      <c r="M817" s="16" t="str">
        <f>IF(Data!L807="","",IF(ISNUMBER(MATCH(Data!M807,Data_Val!$A$2:$A$3,0)),0,1))</f>
        <v/>
      </c>
      <c r="N817" s="43" t="str">
        <f ca="1">IF(Data!L807="","",IF(ISNUMBER(Data!N807),IF(AND(Data!N807&gt;(TODAY()-(Data_Val!$L$3*365.25)),Data!N807&lt;=(TODAY()-(Data_Val!$L$2*365.25))),0,1),1))</f>
        <v/>
      </c>
      <c r="O817" s="18" t="str">
        <f>IF(Data!$G807="","",IF(Data!$G807=Data_Val!$C$2,IF(Data!O807="",0,1),0))</f>
        <v/>
      </c>
      <c r="P817" s="18" t="str">
        <f>IF(Data!O807="","",IF(ISNUMBER(MATCH(Data!P807,Data_Val!$A$2:$A$3,0)),0,1))</f>
        <v/>
      </c>
      <c r="Q817" s="44" t="str">
        <f ca="1">IF(Data!O807="","",IF(ISNUMBER(Data!Q807),IF(AND(Data!Q807&gt;(TODAY()-(Data_Val!$L$3*365.25)),Data!Q807&lt;=(TODAY()-(Data_Val!$L$2*365.25))),0,1),1))</f>
        <v/>
      </c>
    </row>
    <row r="818" spans="1:17" ht="12" customHeight="1" x14ac:dyDescent="0.25">
      <c r="A818" s="36" t="str">
        <f>IF(Data!B808="","",IF(COUNTIFS(Data!A$1:'Data'!A808,Data!A808)&lt;=1,0,1))</f>
        <v/>
      </c>
      <c r="B818" s="36"/>
      <c r="C818" s="36" t="str">
        <f>IF(Data!C808="","",(IF(ISNUMBER(MATCH("*@*.?*",Data!C808,0)),0,1)+IF(COUNTIFS(Data!C$1:'Data'!C808,Data!C808)&gt;1,1,0)))</f>
        <v/>
      </c>
      <c r="D818" s="36" t="str">
        <f>IF(Data!B808="","",IF(ISNUMBER(Data!D808),IF(AND(Data!D808&gt;999999999,Data!D808&lt;=9999999999),IF(COUNTIFS(Data!D$1:'Data'!D808,Data!D808)&lt;=1,0,1),1),1))</f>
        <v/>
      </c>
      <c r="E818" s="36" t="str">
        <f>IF(Data!B808="","",IF(ISNUMBER(MATCH(Data!E808,Data_Val!$A$2:$A$3,0)),0,1))</f>
        <v/>
      </c>
      <c r="F818" s="36" t="str">
        <f ca="1">IF(Data!B808="","",IF(ISNUMBER(Data!F808),IF(AND(Data!F808&gt;(TODAY()-(Data_Val!$H$3*365.25)),Data!F808&lt;=(TODAY()-(Data_Val!$H$2*365.25))),0,1),1))</f>
        <v/>
      </c>
      <c r="G818" s="12" t="str">
        <f>IF(Data!B808="","",IF(AND(Data!G808="",Data!H808&lt;&gt;""),1,IF(ISNUMBER(MATCH(Data!G808,Data_Val!$C$2:$C$5,0)),0,1)))</f>
        <v/>
      </c>
      <c r="H818" s="12" t="str">
        <f>IF(Data!B808="","",IF(AND(Data!G808&lt;&gt;"",Data!H808=""),1,IF(Data!G808="",1,IF(ISNUMBER(MATCH(Data!H808,Data_Val!$D$2:$D$35,0)),0,1))))</f>
        <v/>
      </c>
      <c r="I818" s="38" t="str">
        <f>IF(Data!G808="","",IF(Data!G808=Data_Val!$C$2,IF(Data!I808="",0,1),0))</f>
        <v/>
      </c>
      <c r="J818" s="38" t="str">
        <f>IF(Data!I808="","",IF(ISNUMBER(MATCH(Data!J808,Data_Val!$A$2:$A$3,0)),0,1))</f>
        <v/>
      </c>
      <c r="K818" s="38" t="str">
        <f ca="1">IF(Data!I808="","",IF(ISNUMBER(Data!K808),IF(AND(Data!K808&gt;(TODAY()-(Data_Val!$K$3*365.25)),Data!K808&lt;=(TODAY()-(Data_Val!$K$2*365.25))),0,1),1))</f>
        <v/>
      </c>
      <c r="L818" s="16" t="str">
        <f>IF(Data!G808="","",IF(Data!G808=Data_Val!$C$2,IF(Data!L808="",0,1),0))</f>
        <v/>
      </c>
      <c r="M818" s="16" t="str">
        <f>IF(Data!L808="","",IF(ISNUMBER(MATCH(Data!M808,Data_Val!$A$2:$A$3,0)),0,1))</f>
        <v/>
      </c>
      <c r="N818" s="43" t="str">
        <f ca="1">IF(Data!L808="","",IF(ISNUMBER(Data!N808),IF(AND(Data!N808&gt;(TODAY()-(Data_Val!$L$3*365.25)),Data!N808&lt;=(TODAY()-(Data_Val!$L$2*365.25))),0,1),1))</f>
        <v/>
      </c>
      <c r="O818" s="18" t="str">
        <f>IF(Data!$G808="","",IF(Data!$G808=Data_Val!$C$2,IF(Data!O808="",0,1),0))</f>
        <v/>
      </c>
      <c r="P818" s="18" t="str">
        <f>IF(Data!O808="","",IF(ISNUMBER(MATCH(Data!P808,Data_Val!$A$2:$A$3,0)),0,1))</f>
        <v/>
      </c>
      <c r="Q818" s="44" t="str">
        <f ca="1">IF(Data!O808="","",IF(ISNUMBER(Data!Q808),IF(AND(Data!Q808&gt;(TODAY()-(Data_Val!$L$3*365.25)),Data!Q808&lt;=(TODAY()-(Data_Val!$L$2*365.25))),0,1),1))</f>
        <v/>
      </c>
    </row>
    <row r="819" spans="1:17" ht="12" customHeight="1" x14ac:dyDescent="0.25">
      <c r="A819" s="36" t="str">
        <f>IF(Data!B809="","",IF(COUNTIFS(Data!A$1:'Data'!A809,Data!A809)&lt;=1,0,1))</f>
        <v/>
      </c>
      <c r="B819" s="36"/>
      <c r="C819" s="36" t="str">
        <f>IF(Data!C809="","",(IF(ISNUMBER(MATCH("*@*.?*",Data!C809,0)),0,1)+IF(COUNTIFS(Data!C$1:'Data'!C809,Data!C809)&gt;1,1,0)))</f>
        <v/>
      </c>
      <c r="D819" s="36" t="str">
        <f>IF(Data!B809="","",IF(ISNUMBER(Data!D809),IF(AND(Data!D809&gt;999999999,Data!D809&lt;=9999999999),IF(COUNTIFS(Data!D$1:'Data'!D809,Data!D809)&lt;=1,0,1),1),1))</f>
        <v/>
      </c>
      <c r="E819" s="36" t="str">
        <f>IF(Data!B809="","",IF(ISNUMBER(MATCH(Data!E809,Data_Val!$A$2:$A$3,0)),0,1))</f>
        <v/>
      </c>
      <c r="F819" s="36" t="str">
        <f ca="1">IF(Data!B809="","",IF(ISNUMBER(Data!F809),IF(AND(Data!F809&gt;(TODAY()-(Data_Val!$H$3*365.25)),Data!F809&lt;=(TODAY()-(Data_Val!$H$2*365.25))),0,1),1))</f>
        <v/>
      </c>
      <c r="G819" s="12" t="str">
        <f>IF(Data!B809="","",IF(AND(Data!G809="",Data!H809&lt;&gt;""),1,IF(ISNUMBER(MATCH(Data!G809,Data_Val!$C$2:$C$5,0)),0,1)))</f>
        <v/>
      </c>
      <c r="H819" s="12" t="str">
        <f>IF(Data!B809="","",IF(AND(Data!G809&lt;&gt;"",Data!H809=""),1,IF(Data!G809="",1,IF(ISNUMBER(MATCH(Data!H809,Data_Val!$D$2:$D$35,0)),0,1))))</f>
        <v/>
      </c>
      <c r="I819" s="38" t="str">
        <f>IF(Data!G809="","",IF(Data!G809=Data_Val!$C$2,IF(Data!I809="",0,1),0))</f>
        <v/>
      </c>
      <c r="J819" s="38" t="str">
        <f>IF(Data!I809="","",IF(ISNUMBER(MATCH(Data!J809,Data_Val!$A$2:$A$3,0)),0,1))</f>
        <v/>
      </c>
      <c r="K819" s="38" t="str">
        <f ca="1">IF(Data!I809="","",IF(ISNUMBER(Data!K809),IF(AND(Data!K809&gt;(TODAY()-(Data_Val!$K$3*365.25)),Data!K809&lt;=(TODAY()-(Data_Val!$K$2*365.25))),0,1),1))</f>
        <v/>
      </c>
      <c r="L819" s="16" t="str">
        <f>IF(Data!G809="","",IF(Data!G809=Data_Val!$C$2,IF(Data!L809="",0,1),0))</f>
        <v/>
      </c>
      <c r="M819" s="16" t="str">
        <f>IF(Data!L809="","",IF(ISNUMBER(MATCH(Data!M809,Data_Val!$A$2:$A$3,0)),0,1))</f>
        <v/>
      </c>
      <c r="N819" s="43" t="str">
        <f ca="1">IF(Data!L809="","",IF(ISNUMBER(Data!N809),IF(AND(Data!N809&gt;(TODAY()-(Data_Val!$L$3*365.25)),Data!N809&lt;=(TODAY()-(Data_Val!$L$2*365.25))),0,1),1))</f>
        <v/>
      </c>
      <c r="O819" s="18" t="str">
        <f>IF(Data!$G809="","",IF(Data!$G809=Data_Val!$C$2,IF(Data!O809="",0,1),0))</f>
        <v/>
      </c>
      <c r="P819" s="18" t="str">
        <f>IF(Data!O809="","",IF(ISNUMBER(MATCH(Data!P809,Data_Val!$A$2:$A$3,0)),0,1))</f>
        <v/>
      </c>
      <c r="Q819" s="44" t="str">
        <f ca="1">IF(Data!O809="","",IF(ISNUMBER(Data!Q809),IF(AND(Data!Q809&gt;(TODAY()-(Data_Val!$L$3*365.25)),Data!Q809&lt;=(TODAY()-(Data_Val!$L$2*365.25))),0,1),1))</f>
        <v/>
      </c>
    </row>
    <row r="820" spans="1:17" ht="12" customHeight="1" x14ac:dyDescent="0.25">
      <c r="A820" s="36" t="str">
        <f>IF(Data!B810="","",IF(COUNTIFS(Data!A$1:'Data'!A810,Data!A810)&lt;=1,0,1))</f>
        <v/>
      </c>
      <c r="B820" s="36"/>
      <c r="C820" s="36" t="str">
        <f>IF(Data!C810="","",(IF(ISNUMBER(MATCH("*@*.?*",Data!C810,0)),0,1)+IF(COUNTIFS(Data!C$1:'Data'!C810,Data!C810)&gt;1,1,0)))</f>
        <v/>
      </c>
      <c r="D820" s="36" t="str">
        <f>IF(Data!B810="","",IF(ISNUMBER(Data!D810),IF(AND(Data!D810&gt;999999999,Data!D810&lt;=9999999999),IF(COUNTIFS(Data!D$1:'Data'!D810,Data!D810)&lt;=1,0,1),1),1))</f>
        <v/>
      </c>
      <c r="E820" s="36" t="str">
        <f>IF(Data!B810="","",IF(ISNUMBER(MATCH(Data!E810,Data_Val!$A$2:$A$3,0)),0,1))</f>
        <v/>
      </c>
      <c r="F820" s="36" t="str">
        <f ca="1">IF(Data!B810="","",IF(ISNUMBER(Data!F810),IF(AND(Data!F810&gt;(TODAY()-(Data_Val!$H$3*365.25)),Data!F810&lt;=(TODAY()-(Data_Val!$H$2*365.25))),0,1),1))</f>
        <v/>
      </c>
      <c r="G820" s="12" t="str">
        <f>IF(Data!B810="","",IF(AND(Data!G810="",Data!H810&lt;&gt;""),1,IF(ISNUMBER(MATCH(Data!G810,Data_Val!$C$2:$C$5,0)),0,1)))</f>
        <v/>
      </c>
      <c r="H820" s="12" t="str">
        <f>IF(Data!B810="","",IF(AND(Data!G810&lt;&gt;"",Data!H810=""),1,IF(Data!G810="",1,IF(ISNUMBER(MATCH(Data!H810,Data_Val!$D$2:$D$35,0)),0,1))))</f>
        <v/>
      </c>
      <c r="I820" s="38" t="str">
        <f>IF(Data!G810="","",IF(Data!G810=Data_Val!$C$2,IF(Data!I810="",0,1),0))</f>
        <v/>
      </c>
      <c r="J820" s="38" t="str">
        <f>IF(Data!I810="","",IF(ISNUMBER(MATCH(Data!J810,Data_Val!$A$2:$A$3,0)),0,1))</f>
        <v/>
      </c>
      <c r="K820" s="38" t="str">
        <f ca="1">IF(Data!I810="","",IF(ISNUMBER(Data!K810),IF(AND(Data!K810&gt;(TODAY()-(Data_Val!$K$3*365.25)),Data!K810&lt;=(TODAY()-(Data_Val!$K$2*365.25))),0,1),1))</f>
        <v/>
      </c>
      <c r="L820" s="16" t="str">
        <f>IF(Data!G810="","",IF(Data!G810=Data_Val!$C$2,IF(Data!L810="",0,1),0))</f>
        <v/>
      </c>
      <c r="M820" s="16" t="str">
        <f>IF(Data!L810="","",IF(ISNUMBER(MATCH(Data!M810,Data_Val!$A$2:$A$3,0)),0,1))</f>
        <v/>
      </c>
      <c r="N820" s="43" t="str">
        <f ca="1">IF(Data!L810="","",IF(ISNUMBER(Data!N810),IF(AND(Data!N810&gt;(TODAY()-(Data_Val!$L$3*365.25)),Data!N810&lt;=(TODAY()-(Data_Val!$L$2*365.25))),0,1),1))</f>
        <v/>
      </c>
      <c r="O820" s="18" t="str">
        <f>IF(Data!$G810="","",IF(Data!$G810=Data_Val!$C$2,IF(Data!O810="",0,1),0))</f>
        <v/>
      </c>
      <c r="P820" s="18" t="str">
        <f>IF(Data!O810="","",IF(ISNUMBER(MATCH(Data!P810,Data_Val!$A$2:$A$3,0)),0,1))</f>
        <v/>
      </c>
      <c r="Q820" s="44" t="str">
        <f ca="1">IF(Data!O810="","",IF(ISNUMBER(Data!Q810),IF(AND(Data!Q810&gt;(TODAY()-(Data_Val!$L$3*365.25)),Data!Q810&lt;=(TODAY()-(Data_Val!$L$2*365.25))),0,1),1))</f>
        <v/>
      </c>
    </row>
    <row r="821" spans="1:17" ht="12" customHeight="1" x14ac:dyDescent="0.25">
      <c r="A821" s="36" t="str">
        <f>IF(Data!B811="","",IF(COUNTIFS(Data!A$1:'Data'!A811,Data!A811)&lt;=1,0,1))</f>
        <v/>
      </c>
      <c r="B821" s="36"/>
      <c r="C821" s="36" t="str">
        <f>IF(Data!C811="","",(IF(ISNUMBER(MATCH("*@*.?*",Data!C811,0)),0,1)+IF(COUNTIFS(Data!C$1:'Data'!C811,Data!C811)&gt;1,1,0)))</f>
        <v/>
      </c>
      <c r="D821" s="36" t="str">
        <f>IF(Data!B811="","",IF(ISNUMBER(Data!D811),IF(AND(Data!D811&gt;999999999,Data!D811&lt;=9999999999),IF(COUNTIFS(Data!D$1:'Data'!D811,Data!D811)&lt;=1,0,1),1),1))</f>
        <v/>
      </c>
      <c r="E821" s="36" t="str">
        <f>IF(Data!B811="","",IF(ISNUMBER(MATCH(Data!E811,Data_Val!$A$2:$A$3,0)),0,1))</f>
        <v/>
      </c>
      <c r="F821" s="36" t="str">
        <f ca="1">IF(Data!B811="","",IF(ISNUMBER(Data!F811),IF(AND(Data!F811&gt;(TODAY()-(Data_Val!$H$3*365.25)),Data!F811&lt;=(TODAY()-(Data_Val!$H$2*365.25))),0,1),1))</f>
        <v/>
      </c>
      <c r="G821" s="12" t="str">
        <f>IF(Data!B811="","",IF(AND(Data!G811="",Data!H811&lt;&gt;""),1,IF(ISNUMBER(MATCH(Data!G811,Data_Val!$C$2:$C$5,0)),0,1)))</f>
        <v/>
      </c>
      <c r="H821" s="12" t="str">
        <f>IF(Data!B811="","",IF(AND(Data!G811&lt;&gt;"",Data!H811=""),1,IF(Data!G811="",1,IF(ISNUMBER(MATCH(Data!H811,Data_Val!$D$2:$D$35,0)),0,1))))</f>
        <v/>
      </c>
      <c r="I821" s="38" t="str">
        <f>IF(Data!G811="","",IF(Data!G811=Data_Val!$C$2,IF(Data!I811="",0,1),0))</f>
        <v/>
      </c>
      <c r="J821" s="38" t="str">
        <f>IF(Data!I811="","",IF(ISNUMBER(MATCH(Data!J811,Data_Val!$A$2:$A$3,0)),0,1))</f>
        <v/>
      </c>
      <c r="K821" s="38" t="str">
        <f ca="1">IF(Data!I811="","",IF(ISNUMBER(Data!K811),IF(AND(Data!K811&gt;(TODAY()-(Data_Val!$K$3*365.25)),Data!K811&lt;=(TODAY()-(Data_Val!$K$2*365.25))),0,1),1))</f>
        <v/>
      </c>
      <c r="L821" s="16" t="str">
        <f>IF(Data!G811="","",IF(Data!G811=Data_Val!$C$2,IF(Data!L811="",0,1),0))</f>
        <v/>
      </c>
      <c r="M821" s="16" t="str">
        <f>IF(Data!L811="","",IF(ISNUMBER(MATCH(Data!M811,Data_Val!$A$2:$A$3,0)),0,1))</f>
        <v/>
      </c>
      <c r="N821" s="43" t="str">
        <f ca="1">IF(Data!L811="","",IF(ISNUMBER(Data!N811),IF(AND(Data!N811&gt;(TODAY()-(Data_Val!$L$3*365.25)),Data!N811&lt;=(TODAY()-(Data_Val!$L$2*365.25))),0,1),1))</f>
        <v/>
      </c>
      <c r="O821" s="18" t="str">
        <f>IF(Data!$G811="","",IF(Data!$G811=Data_Val!$C$2,IF(Data!O811="",0,1),0))</f>
        <v/>
      </c>
      <c r="P821" s="18" t="str">
        <f>IF(Data!O811="","",IF(ISNUMBER(MATCH(Data!P811,Data_Val!$A$2:$A$3,0)),0,1))</f>
        <v/>
      </c>
      <c r="Q821" s="44" t="str">
        <f ca="1">IF(Data!O811="","",IF(ISNUMBER(Data!Q811),IF(AND(Data!Q811&gt;(TODAY()-(Data_Val!$L$3*365.25)),Data!Q811&lt;=(TODAY()-(Data_Val!$L$2*365.25))),0,1),1))</f>
        <v/>
      </c>
    </row>
    <row r="822" spans="1:17" ht="12" customHeight="1" x14ac:dyDescent="0.25">
      <c r="A822" s="36" t="str">
        <f>IF(Data!B812="","",IF(COUNTIFS(Data!A$1:'Data'!A812,Data!A812)&lt;=1,0,1))</f>
        <v/>
      </c>
      <c r="B822" s="36"/>
      <c r="C822" s="36" t="str">
        <f>IF(Data!C812="","",(IF(ISNUMBER(MATCH("*@*.?*",Data!C812,0)),0,1)+IF(COUNTIFS(Data!C$1:'Data'!C812,Data!C812)&gt;1,1,0)))</f>
        <v/>
      </c>
      <c r="D822" s="36" t="str">
        <f>IF(Data!B812="","",IF(ISNUMBER(Data!D812),IF(AND(Data!D812&gt;999999999,Data!D812&lt;=9999999999),IF(COUNTIFS(Data!D$1:'Data'!D812,Data!D812)&lt;=1,0,1),1),1))</f>
        <v/>
      </c>
      <c r="E822" s="36" t="str">
        <f>IF(Data!B812="","",IF(ISNUMBER(MATCH(Data!E812,Data_Val!$A$2:$A$3,0)),0,1))</f>
        <v/>
      </c>
      <c r="F822" s="36" t="str">
        <f ca="1">IF(Data!B812="","",IF(ISNUMBER(Data!F812),IF(AND(Data!F812&gt;(TODAY()-(Data_Val!$H$3*365.25)),Data!F812&lt;=(TODAY()-(Data_Val!$H$2*365.25))),0,1),1))</f>
        <v/>
      </c>
      <c r="G822" s="12" t="str">
        <f>IF(Data!B812="","",IF(AND(Data!G812="",Data!H812&lt;&gt;""),1,IF(ISNUMBER(MATCH(Data!G812,Data_Val!$C$2:$C$5,0)),0,1)))</f>
        <v/>
      </c>
      <c r="H822" s="12" t="str">
        <f>IF(Data!B812="","",IF(AND(Data!G812&lt;&gt;"",Data!H812=""),1,IF(Data!G812="",1,IF(ISNUMBER(MATCH(Data!H812,Data_Val!$D$2:$D$35,0)),0,1))))</f>
        <v/>
      </c>
      <c r="I822" s="38" t="str">
        <f>IF(Data!G812="","",IF(Data!G812=Data_Val!$C$2,IF(Data!I812="",0,1),0))</f>
        <v/>
      </c>
      <c r="J822" s="38" t="str">
        <f>IF(Data!I812="","",IF(ISNUMBER(MATCH(Data!J812,Data_Val!$A$2:$A$3,0)),0,1))</f>
        <v/>
      </c>
      <c r="K822" s="38" t="str">
        <f ca="1">IF(Data!I812="","",IF(ISNUMBER(Data!K812),IF(AND(Data!K812&gt;(TODAY()-(Data_Val!$K$3*365.25)),Data!K812&lt;=(TODAY()-(Data_Val!$K$2*365.25))),0,1),1))</f>
        <v/>
      </c>
      <c r="L822" s="16" t="str">
        <f>IF(Data!G812="","",IF(Data!G812=Data_Val!$C$2,IF(Data!L812="",0,1),0))</f>
        <v/>
      </c>
      <c r="M822" s="16" t="str">
        <f>IF(Data!L812="","",IF(ISNUMBER(MATCH(Data!M812,Data_Val!$A$2:$A$3,0)),0,1))</f>
        <v/>
      </c>
      <c r="N822" s="43" t="str">
        <f ca="1">IF(Data!L812="","",IF(ISNUMBER(Data!N812),IF(AND(Data!N812&gt;(TODAY()-(Data_Val!$L$3*365.25)),Data!N812&lt;=(TODAY()-(Data_Val!$L$2*365.25))),0,1),1))</f>
        <v/>
      </c>
      <c r="O822" s="18" t="str">
        <f>IF(Data!$G812="","",IF(Data!$G812=Data_Val!$C$2,IF(Data!O812="",0,1),0))</f>
        <v/>
      </c>
      <c r="P822" s="18" t="str">
        <f>IF(Data!O812="","",IF(ISNUMBER(MATCH(Data!P812,Data_Val!$A$2:$A$3,0)),0,1))</f>
        <v/>
      </c>
      <c r="Q822" s="44" t="str">
        <f ca="1">IF(Data!O812="","",IF(ISNUMBER(Data!Q812),IF(AND(Data!Q812&gt;(TODAY()-(Data_Val!$L$3*365.25)),Data!Q812&lt;=(TODAY()-(Data_Val!$L$2*365.25))),0,1),1))</f>
        <v/>
      </c>
    </row>
    <row r="823" spans="1:17" ht="12" customHeight="1" x14ac:dyDescent="0.25">
      <c r="A823" s="36" t="str">
        <f>IF(Data!B813="","",IF(COUNTIFS(Data!A$1:'Data'!A813,Data!A813)&lt;=1,0,1))</f>
        <v/>
      </c>
      <c r="B823" s="36"/>
      <c r="C823" s="36" t="str">
        <f>IF(Data!C813="","",(IF(ISNUMBER(MATCH("*@*.?*",Data!C813,0)),0,1)+IF(COUNTIFS(Data!C$1:'Data'!C813,Data!C813)&gt;1,1,0)))</f>
        <v/>
      </c>
      <c r="D823" s="36" t="str">
        <f>IF(Data!B813="","",IF(ISNUMBER(Data!D813),IF(AND(Data!D813&gt;999999999,Data!D813&lt;=9999999999),IF(COUNTIFS(Data!D$1:'Data'!D813,Data!D813)&lt;=1,0,1),1),1))</f>
        <v/>
      </c>
      <c r="E823" s="36" t="str">
        <f>IF(Data!B813="","",IF(ISNUMBER(MATCH(Data!E813,Data_Val!$A$2:$A$3,0)),0,1))</f>
        <v/>
      </c>
      <c r="F823" s="36" t="str">
        <f ca="1">IF(Data!B813="","",IF(ISNUMBER(Data!F813),IF(AND(Data!F813&gt;(TODAY()-(Data_Val!$H$3*365.25)),Data!F813&lt;=(TODAY()-(Data_Val!$H$2*365.25))),0,1),1))</f>
        <v/>
      </c>
      <c r="G823" s="12" t="str">
        <f>IF(Data!B813="","",IF(AND(Data!G813="",Data!H813&lt;&gt;""),1,IF(ISNUMBER(MATCH(Data!G813,Data_Val!$C$2:$C$5,0)),0,1)))</f>
        <v/>
      </c>
      <c r="H823" s="12" t="str">
        <f>IF(Data!B813="","",IF(AND(Data!G813&lt;&gt;"",Data!H813=""),1,IF(Data!G813="",1,IF(ISNUMBER(MATCH(Data!H813,Data_Val!$D$2:$D$35,0)),0,1))))</f>
        <v/>
      </c>
      <c r="I823" s="38" t="str">
        <f>IF(Data!G813="","",IF(Data!G813=Data_Val!$C$2,IF(Data!I813="",0,1),0))</f>
        <v/>
      </c>
      <c r="J823" s="38" t="str">
        <f>IF(Data!I813="","",IF(ISNUMBER(MATCH(Data!J813,Data_Val!$A$2:$A$3,0)),0,1))</f>
        <v/>
      </c>
      <c r="K823" s="38" t="str">
        <f ca="1">IF(Data!I813="","",IF(ISNUMBER(Data!K813),IF(AND(Data!K813&gt;(TODAY()-(Data_Val!$K$3*365.25)),Data!K813&lt;=(TODAY()-(Data_Val!$K$2*365.25))),0,1),1))</f>
        <v/>
      </c>
      <c r="L823" s="16" t="str">
        <f>IF(Data!G813="","",IF(Data!G813=Data_Val!$C$2,IF(Data!L813="",0,1),0))</f>
        <v/>
      </c>
      <c r="M823" s="16" t="str">
        <f>IF(Data!L813="","",IF(ISNUMBER(MATCH(Data!M813,Data_Val!$A$2:$A$3,0)),0,1))</f>
        <v/>
      </c>
      <c r="N823" s="43" t="str">
        <f ca="1">IF(Data!L813="","",IF(ISNUMBER(Data!N813),IF(AND(Data!N813&gt;(TODAY()-(Data_Val!$L$3*365.25)),Data!N813&lt;=(TODAY()-(Data_Val!$L$2*365.25))),0,1),1))</f>
        <v/>
      </c>
      <c r="O823" s="18" t="str">
        <f>IF(Data!$G813="","",IF(Data!$G813=Data_Val!$C$2,IF(Data!O813="",0,1),0))</f>
        <v/>
      </c>
      <c r="P823" s="18" t="str">
        <f>IF(Data!O813="","",IF(ISNUMBER(MATCH(Data!P813,Data_Val!$A$2:$A$3,0)),0,1))</f>
        <v/>
      </c>
      <c r="Q823" s="44" t="str">
        <f ca="1">IF(Data!O813="","",IF(ISNUMBER(Data!Q813),IF(AND(Data!Q813&gt;(TODAY()-(Data_Val!$L$3*365.25)),Data!Q813&lt;=(TODAY()-(Data_Val!$L$2*365.25))),0,1),1))</f>
        <v/>
      </c>
    </row>
    <row r="824" spans="1:17" ht="12" customHeight="1" x14ac:dyDescent="0.25">
      <c r="A824" s="36" t="str">
        <f>IF(Data!B814="","",IF(COUNTIFS(Data!A$1:'Data'!A814,Data!A814)&lt;=1,0,1))</f>
        <v/>
      </c>
      <c r="B824" s="36"/>
      <c r="C824" s="36" t="str">
        <f>IF(Data!C814="","",(IF(ISNUMBER(MATCH("*@*.?*",Data!C814,0)),0,1)+IF(COUNTIFS(Data!C$1:'Data'!C814,Data!C814)&gt;1,1,0)))</f>
        <v/>
      </c>
      <c r="D824" s="36" t="str">
        <f>IF(Data!B814="","",IF(ISNUMBER(Data!D814),IF(AND(Data!D814&gt;999999999,Data!D814&lt;=9999999999),IF(COUNTIFS(Data!D$1:'Data'!D814,Data!D814)&lt;=1,0,1),1),1))</f>
        <v/>
      </c>
      <c r="E824" s="36" t="str">
        <f>IF(Data!B814="","",IF(ISNUMBER(MATCH(Data!E814,Data_Val!$A$2:$A$3,0)),0,1))</f>
        <v/>
      </c>
      <c r="F824" s="36" t="str">
        <f ca="1">IF(Data!B814="","",IF(ISNUMBER(Data!F814),IF(AND(Data!F814&gt;(TODAY()-(Data_Val!$H$3*365.25)),Data!F814&lt;=(TODAY()-(Data_Val!$H$2*365.25))),0,1),1))</f>
        <v/>
      </c>
      <c r="G824" s="12" t="str">
        <f>IF(Data!B814="","",IF(AND(Data!G814="",Data!H814&lt;&gt;""),1,IF(ISNUMBER(MATCH(Data!G814,Data_Val!$C$2:$C$5,0)),0,1)))</f>
        <v/>
      </c>
      <c r="H824" s="12" t="str">
        <f>IF(Data!B814="","",IF(AND(Data!G814&lt;&gt;"",Data!H814=""),1,IF(Data!G814="",1,IF(ISNUMBER(MATCH(Data!H814,Data_Val!$D$2:$D$35,0)),0,1))))</f>
        <v/>
      </c>
      <c r="I824" s="38" t="str">
        <f>IF(Data!G814="","",IF(Data!G814=Data_Val!$C$2,IF(Data!I814="",0,1),0))</f>
        <v/>
      </c>
      <c r="J824" s="38" t="str">
        <f>IF(Data!I814="","",IF(ISNUMBER(MATCH(Data!J814,Data_Val!$A$2:$A$3,0)),0,1))</f>
        <v/>
      </c>
      <c r="K824" s="38" t="str">
        <f ca="1">IF(Data!I814="","",IF(ISNUMBER(Data!K814),IF(AND(Data!K814&gt;(TODAY()-(Data_Val!$K$3*365.25)),Data!K814&lt;=(TODAY()-(Data_Val!$K$2*365.25))),0,1),1))</f>
        <v/>
      </c>
      <c r="L824" s="16" t="str">
        <f>IF(Data!G814="","",IF(Data!G814=Data_Val!$C$2,IF(Data!L814="",0,1),0))</f>
        <v/>
      </c>
      <c r="M824" s="16" t="str">
        <f>IF(Data!L814="","",IF(ISNUMBER(MATCH(Data!M814,Data_Val!$A$2:$A$3,0)),0,1))</f>
        <v/>
      </c>
      <c r="N824" s="43" t="str">
        <f ca="1">IF(Data!L814="","",IF(ISNUMBER(Data!N814),IF(AND(Data!N814&gt;(TODAY()-(Data_Val!$L$3*365.25)),Data!N814&lt;=(TODAY()-(Data_Val!$L$2*365.25))),0,1),1))</f>
        <v/>
      </c>
      <c r="O824" s="18" t="str">
        <f>IF(Data!$G814="","",IF(Data!$G814=Data_Val!$C$2,IF(Data!O814="",0,1),0))</f>
        <v/>
      </c>
      <c r="P824" s="18" t="str">
        <f>IF(Data!O814="","",IF(ISNUMBER(MATCH(Data!P814,Data_Val!$A$2:$A$3,0)),0,1))</f>
        <v/>
      </c>
      <c r="Q824" s="44" t="str">
        <f ca="1">IF(Data!O814="","",IF(ISNUMBER(Data!Q814),IF(AND(Data!Q814&gt;(TODAY()-(Data_Val!$L$3*365.25)),Data!Q814&lt;=(TODAY()-(Data_Val!$L$2*365.25))),0,1),1))</f>
        <v/>
      </c>
    </row>
    <row r="825" spans="1:17" ht="12" customHeight="1" x14ac:dyDescent="0.25">
      <c r="A825" s="36" t="str">
        <f>IF(Data!B815="","",IF(COUNTIFS(Data!A$1:'Data'!A815,Data!A815)&lt;=1,0,1))</f>
        <v/>
      </c>
      <c r="B825" s="36"/>
      <c r="C825" s="36" t="str">
        <f>IF(Data!C815="","",(IF(ISNUMBER(MATCH("*@*.?*",Data!C815,0)),0,1)+IF(COUNTIFS(Data!C$1:'Data'!C815,Data!C815)&gt;1,1,0)))</f>
        <v/>
      </c>
      <c r="D825" s="36" t="str">
        <f>IF(Data!B815="","",IF(ISNUMBER(Data!D815),IF(AND(Data!D815&gt;999999999,Data!D815&lt;=9999999999),IF(COUNTIFS(Data!D$1:'Data'!D815,Data!D815)&lt;=1,0,1),1),1))</f>
        <v/>
      </c>
      <c r="E825" s="36" t="str">
        <f>IF(Data!B815="","",IF(ISNUMBER(MATCH(Data!E815,Data_Val!$A$2:$A$3,0)),0,1))</f>
        <v/>
      </c>
      <c r="F825" s="36" t="str">
        <f ca="1">IF(Data!B815="","",IF(ISNUMBER(Data!F815),IF(AND(Data!F815&gt;(TODAY()-(Data_Val!$H$3*365.25)),Data!F815&lt;=(TODAY()-(Data_Val!$H$2*365.25))),0,1),1))</f>
        <v/>
      </c>
      <c r="G825" s="12" t="str">
        <f>IF(Data!B815="","",IF(AND(Data!G815="",Data!H815&lt;&gt;""),1,IF(ISNUMBER(MATCH(Data!G815,Data_Val!$C$2:$C$5,0)),0,1)))</f>
        <v/>
      </c>
      <c r="H825" s="12" t="str">
        <f>IF(Data!B815="","",IF(AND(Data!G815&lt;&gt;"",Data!H815=""),1,IF(Data!G815="",1,IF(ISNUMBER(MATCH(Data!H815,Data_Val!$D$2:$D$35,0)),0,1))))</f>
        <v/>
      </c>
      <c r="I825" s="38" t="str">
        <f>IF(Data!G815="","",IF(Data!G815=Data_Val!$C$2,IF(Data!I815="",0,1),0))</f>
        <v/>
      </c>
      <c r="J825" s="38" t="str">
        <f>IF(Data!I815="","",IF(ISNUMBER(MATCH(Data!J815,Data_Val!$A$2:$A$3,0)),0,1))</f>
        <v/>
      </c>
      <c r="K825" s="38" t="str">
        <f ca="1">IF(Data!I815="","",IF(ISNUMBER(Data!K815),IF(AND(Data!K815&gt;(TODAY()-(Data_Val!$K$3*365.25)),Data!K815&lt;=(TODAY()-(Data_Val!$K$2*365.25))),0,1),1))</f>
        <v/>
      </c>
      <c r="L825" s="16" t="str">
        <f>IF(Data!G815="","",IF(Data!G815=Data_Val!$C$2,IF(Data!L815="",0,1),0))</f>
        <v/>
      </c>
      <c r="M825" s="16" t="str">
        <f>IF(Data!L815="","",IF(ISNUMBER(MATCH(Data!M815,Data_Val!$A$2:$A$3,0)),0,1))</f>
        <v/>
      </c>
      <c r="N825" s="43" t="str">
        <f ca="1">IF(Data!L815="","",IF(ISNUMBER(Data!N815),IF(AND(Data!N815&gt;(TODAY()-(Data_Val!$L$3*365.25)),Data!N815&lt;=(TODAY()-(Data_Val!$L$2*365.25))),0,1),1))</f>
        <v/>
      </c>
      <c r="O825" s="18" t="str">
        <f>IF(Data!$G815="","",IF(Data!$G815=Data_Val!$C$2,IF(Data!O815="",0,1),0))</f>
        <v/>
      </c>
      <c r="P825" s="18" t="str">
        <f>IF(Data!O815="","",IF(ISNUMBER(MATCH(Data!P815,Data_Val!$A$2:$A$3,0)),0,1))</f>
        <v/>
      </c>
      <c r="Q825" s="44" t="str">
        <f ca="1">IF(Data!O815="","",IF(ISNUMBER(Data!Q815),IF(AND(Data!Q815&gt;(TODAY()-(Data_Val!$L$3*365.25)),Data!Q815&lt;=(TODAY()-(Data_Val!$L$2*365.25))),0,1),1))</f>
        <v/>
      </c>
    </row>
    <row r="826" spans="1:17" ht="12" customHeight="1" x14ac:dyDescent="0.25">
      <c r="A826" s="36" t="str">
        <f>IF(Data!B816="","",IF(COUNTIFS(Data!A$1:'Data'!A816,Data!A816)&lt;=1,0,1))</f>
        <v/>
      </c>
      <c r="B826" s="36"/>
      <c r="C826" s="36" t="str">
        <f>IF(Data!C816="","",(IF(ISNUMBER(MATCH("*@*.?*",Data!C816,0)),0,1)+IF(COUNTIFS(Data!C$1:'Data'!C816,Data!C816)&gt;1,1,0)))</f>
        <v/>
      </c>
      <c r="D826" s="36" t="str">
        <f>IF(Data!B816="","",IF(ISNUMBER(Data!D816),IF(AND(Data!D816&gt;999999999,Data!D816&lt;=9999999999),IF(COUNTIFS(Data!D$1:'Data'!D816,Data!D816)&lt;=1,0,1),1),1))</f>
        <v/>
      </c>
      <c r="E826" s="36" t="str">
        <f>IF(Data!B816="","",IF(ISNUMBER(MATCH(Data!E816,Data_Val!$A$2:$A$3,0)),0,1))</f>
        <v/>
      </c>
      <c r="F826" s="36" t="str">
        <f ca="1">IF(Data!B816="","",IF(ISNUMBER(Data!F816),IF(AND(Data!F816&gt;(TODAY()-(Data_Val!$H$3*365.25)),Data!F816&lt;=(TODAY()-(Data_Val!$H$2*365.25))),0,1),1))</f>
        <v/>
      </c>
      <c r="G826" s="12" t="str">
        <f>IF(Data!B816="","",IF(AND(Data!G816="",Data!H816&lt;&gt;""),1,IF(ISNUMBER(MATCH(Data!G816,Data_Val!$C$2:$C$5,0)),0,1)))</f>
        <v/>
      </c>
      <c r="H826" s="12" t="str">
        <f>IF(Data!B816="","",IF(AND(Data!G816&lt;&gt;"",Data!H816=""),1,IF(Data!G816="",1,IF(ISNUMBER(MATCH(Data!H816,Data_Val!$D$2:$D$35,0)),0,1))))</f>
        <v/>
      </c>
      <c r="I826" s="38" t="str">
        <f>IF(Data!G816="","",IF(Data!G816=Data_Val!$C$2,IF(Data!I816="",0,1),0))</f>
        <v/>
      </c>
      <c r="J826" s="38" t="str">
        <f>IF(Data!I816="","",IF(ISNUMBER(MATCH(Data!J816,Data_Val!$A$2:$A$3,0)),0,1))</f>
        <v/>
      </c>
      <c r="K826" s="38" t="str">
        <f ca="1">IF(Data!I816="","",IF(ISNUMBER(Data!K816),IF(AND(Data!K816&gt;(TODAY()-(Data_Val!$K$3*365.25)),Data!K816&lt;=(TODAY()-(Data_Val!$K$2*365.25))),0,1),1))</f>
        <v/>
      </c>
      <c r="L826" s="16" t="str">
        <f>IF(Data!G816="","",IF(Data!G816=Data_Val!$C$2,IF(Data!L816="",0,1),0))</f>
        <v/>
      </c>
      <c r="M826" s="16" t="str">
        <f>IF(Data!L816="","",IF(ISNUMBER(MATCH(Data!M816,Data_Val!$A$2:$A$3,0)),0,1))</f>
        <v/>
      </c>
      <c r="N826" s="43" t="str">
        <f ca="1">IF(Data!L816="","",IF(ISNUMBER(Data!N816),IF(AND(Data!N816&gt;(TODAY()-(Data_Val!$L$3*365.25)),Data!N816&lt;=(TODAY()-(Data_Val!$L$2*365.25))),0,1),1))</f>
        <v/>
      </c>
      <c r="O826" s="18" t="str">
        <f>IF(Data!$G816="","",IF(Data!$G816=Data_Val!$C$2,IF(Data!O816="",0,1),0))</f>
        <v/>
      </c>
      <c r="P826" s="18" t="str">
        <f>IF(Data!O816="","",IF(ISNUMBER(MATCH(Data!P816,Data_Val!$A$2:$A$3,0)),0,1))</f>
        <v/>
      </c>
      <c r="Q826" s="44" t="str">
        <f ca="1">IF(Data!O816="","",IF(ISNUMBER(Data!Q816),IF(AND(Data!Q816&gt;(TODAY()-(Data_Val!$L$3*365.25)),Data!Q816&lt;=(TODAY()-(Data_Val!$L$2*365.25))),0,1),1))</f>
        <v/>
      </c>
    </row>
    <row r="827" spans="1:17" ht="12" customHeight="1" x14ac:dyDescent="0.25">
      <c r="A827" s="36" t="str">
        <f>IF(Data!B817="","",IF(COUNTIFS(Data!A$1:'Data'!A817,Data!A817)&lt;=1,0,1))</f>
        <v/>
      </c>
      <c r="B827" s="36"/>
      <c r="C827" s="36" t="str">
        <f>IF(Data!C817="","",(IF(ISNUMBER(MATCH("*@*.?*",Data!C817,0)),0,1)+IF(COUNTIFS(Data!C$1:'Data'!C817,Data!C817)&gt;1,1,0)))</f>
        <v/>
      </c>
      <c r="D827" s="36" t="str">
        <f>IF(Data!B817="","",IF(ISNUMBER(Data!D817),IF(AND(Data!D817&gt;999999999,Data!D817&lt;=9999999999),IF(COUNTIFS(Data!D$1:'Data'!D817,Data!D817)&lt;=1,0,1),1),1))</f>
        <v/>
      </c>
      <c r="E827" s="36" t="str">
        <f>IF(Data!B817="","",IF(ISNUMBER(MATCH(Data!E817,Data_Val!$A$2:$A$3,0)),0,1))</f>
        <v/>
      </c>
      <c r="F827" s="36" t="str">
        <f ca="1">IF(Data!B817="","",IF(ISNUMBER(Data!F817),IF(AND(Data!F817&gt;(TODAY()-(Data_Val!$H$3*365.25)),Data!F817&lt;=(TODAY()-(Data_Val!$H$2*365.25))),0,1),1))</f>
        <v/>
      </c>
      <c r="G827" s="12" t="str">
        <f>IF(Data!B817="","",IF(AND(Data!G817="",Data!H817&lt;&gt;""),1,IF(ISNUMBER(MATCH(Data!G817,Data_Val!$C$2:$C$5,0)),0,1)))</f>
        <v/>
      </c>
      <c r="H827" s="12" t="str">
        <f>IF(Data!B817="","",IF(AND(Data!G817&lt;&gt;"",Data!H817=""),1,IF(Data!G817="",1,IF(ISNUMBER(MATCH(Data!H817,Data_Val!$D$2:$D$35,0)),0,1))))</f>
        <v/>
      </c>
      <c r="I827" s="38" t="str">
        <f>IF(Data!G817="","",IF(Data!G817=Data_Val!$C$2,IF(Data!I817="",0,1),0))</f>
        <v/>
      </c>
      <c r="J827" s="38" t="str">
        <f>IF(Data!I817="","",IF(ISNUMBER(MATCH(Data!J817,Data_Val!$A$2:$A$3,0)),0,1))</f>
        <v/>
      </c>
      <c r="K827" s="38" t="str">
        <f ca="1">IF(Data!I817="","",IF(ISNUMBER(Data!K817),IF(AND(Data!K817&gt;(TODAY()-(Data_Val!$K$3*365.25)),Data!K817&lt;=(TODAY()-(Data_Val!$K$2*365.25))),0,1),1))</f>
        <v/>
      </c>
      <c r="L827" s="16" t="str">
        <f>IF(Data!G817="","",IF(Data!G817=Data_Val!$C$2,IF(Data!L817="",0,1),0))</f>
        <v/>
      </c>
      <c r="M827" s="16" t="str">
        <f>IF(Data!L817="","",IF(ISNUMBER(MATCH(Data!M817,Data_Val!$A$2:$A$3,0)),0,1))</f>
        <v/>
      </c>
      <c r="N827" s="43" t="str">
        <f ca="1">IF(Data!L817="","",IF(ISNUMBER(Data!N817),IF(AND(Data!N817&gt;(TODAY()-(Data_Val!$L$3*365.25)),Data!N817&lt;=(TODAY()-(Data_Val!$L$2*365.25))),0,1),1))</f>
        <v/>
      </c>
      <c r="O827" s="18" t="str">
        <f>IF(Data!$G817="","",IF(Data!$G817=Data_Val!$C$2,IF(Data!O817="",0,1),0))</f>
        <v/>
      </c>
      <c r="P827" s="18" t="str">
        <f>IF(Data!O817="","",IF(ISNUMBER(MATCH(Data!P817,Data_Val!$A$2:$A$3,0)),0,1))</f>
        <v/>
      </c>
      <c r="Q827" s="44" t="str">
        <f ca="1">IF(Data!O817="","",IF(ISNUMBER(Data!Q817),IF(AND(Data!Q817&gt;(TODAY()-(Data_Val!$L$3*365.25)),Data!Q817&lt;=(TODAY()-(Data_Val!$L$2*365.25))),0,1),1))</f>
        <v/>
      </c>
    </row>
    <row r="828" spans="1:17" ht="12" customHeight="1" x14ac:dyDescent="0.25">
      <c r="A828" s="36" t="str">
        <f>IF(Data!B818="","",IF(COUNTIFS(Data!A$1:'Data'!A818,Data!A818)&lt;=1,0,1))</f>
        <v/>
      </c>
      <c r="B828" s="36"/>
      <c r="C828" s="36" t="str">
        <f>IF(Data!C818="","",(IF(ISNUMBER(MATCH("*@*.?*",Data!C818,0)),0,1)+IF(COUNTIFS(Data!C$1:'Data'!C818,Data!C818)&gt;1,1,0)))</f>
        <v/>
      </c>
      <c r="D828" s="36" t="str">
        <f>IF(Data!B818="","",IF(ISNUMBER(Data!D818),IF(AND(Data!D818&gt;999999999,Data!D818&lt;=9999999999),IF(COUNTIFS(Data!D$1:'Data'!D818,Data!D818)&lt;=1,0,1),1),1))</f>
        <v/>
      </c>
      <c r="E828" s="36" t="str">
        <f>IF(Data!B818="","",IF(ISNUMBER(MATCH(Data!E818,Data_Val!$A$2:$A$3,0)),0,1))</f>
        <v/>
      </c>
      <c r="F828" s="36" t="str">
        <f ca="1">IF(Data!B818="","",IF(ISNUMBER(Data!F818),IF(AND(Data!F818&gt;(TODAY()-(Data_Val!$H$3*365.25)),Data!F818&lt;=(TODAY()-(Data_Val!$H$2*365.25))),0,1),1))</f>
        <v/>
      </c>
      <c r="G828" s="12" t="str">
        <f>IF(Data!B818="","",IF(AND(Data!G818="",Data!H818&lt;&gt;""),1,IF(ISNUMBER(MATCH(Data!G818,Data_Val!$C$2:$C$5,0)),0,1)))</f>
        <v/>
      </c>
      <c r="H828" s="12" t="str">
        <f>IF(Data!B818="","",IF(AND(Data!G818&lt;&gt;"",Data!H818=""),1,IF(Data!G818="",1,IF(ISNUMBER(MATCH(Data!H818,Data_Val!$D$2:$D$35,0)),0,1))))</f>
        <v/>
      </c>
      <c r="I828" s="38" t="str">
        <f>IF(Data!G818="","",IF(Data!G818=Data_Val!$C$2,IF(Data!I818="",0,1),0))</f>
        <v/>
      </c>
      <c r="J828" s="38" t="str">
        <f>IF(Data!I818="","",IF(ISNUMBER(MATCH(Data!J818,Data_Val!$A$2:$A$3,0)),0,1))</f>
        <v/>
      </c>
      <c r="K828" s="38" t="str">
        <f ca="1">IF(Data!I818="","",IF(ISNUMBER(Data!K818),IF(AND(Data!K818&gt;(TODAY()-(Data_Val!$K$3*365.25)),Data!K818&lt;=(TODAY()-(Data_Val!$K$2*365.25))),0,1),1))</f>
        <v/>
      </c>
      <c r="L828" s="16" t="str">
        <f>IF(Data!G818="","",IF(Data!G818=Data_Val!$C$2,IF(Data!L818="",0,1),0))</f>
        <v/>
      </c>
      <c r="M828" s="16" t="str">
        <f>IF(Data!L818="","",IF(ISNUMBER(MATCH(Data!M818,Data_Val!$A$2:$A$3,0)),0,1))</f>
        <v/>
      </c>
      <c r="N828" s="43" t="str">
        <f ca="1">IF(Data!L818="","",IF(ISNUMBER(Data!N818),IF(AND(Data!N818&gt;(TODAY()-(Data_Val!$L$3*365.25)),Data!N818&lt;=(TODAY()-(Data_Val!$L$2*365.25))),0,1),1))</f>
        <v/>
      </c>
      <c r="O828" s="18" t="str">
        <f>IF(Data!$G818="","",IF(Data!$G818=Data_Val!$C$2,IF(Data!O818="",0,1),0))</f>
        <v/>
      </c>
      <c r="P828" s="18" t="str">
        <f>IF(Data!O818="","",IF(ISNUMBER(MATCH(Data!P818,Data_Val!$A$2:$A$3,0)),0,1))</f>
        <v/>
      </c>
      <c r="Q828" s="44" t="str">
        <f ca="1">IF(Data!O818="","",IF(ISNUMBER(Data!Q818),IF(AND(Data!Q818&gt;(TODAY()-(Data_Val!$L$3*365.25)),Data!Q818&lt;=(TODAY()-(Data_Val!$L$2*365.25))),0,1),1))</f>
        <v/>
      </c>
    </row>
    <row r="829" spans="1:17" ht="12" customHeight="1" x14ac:dyDescent="0.25">
      <c r="A829" s="36" t="str">
        <f>IF(Data!B819="","",IF(COUNTIFS(Data!A$1:'Data'!A819,Data!A819)&lt;=1,0,1))</f>
        <v/>
      </c>
      <c r="B829" s="36"/>
      <c r="C829" s="36" t="str">
        <f>IF(Data!C819="","",(IF(ISNUMBER(MATCH("*@*.?*",Data!C819,0)),0,1)+IF(COUNTIFS(Data!C$1:'Data'!C819,Data!C819)&gt;1,1,0)))</f>
        <v/>
      </c>
      <c r="D829" s="36" t="str">
        <f>IF(Data!B819="","",IF(ISNUMBER(Data!D819),IF(AND(Data!D819&gt;999999999,Data!D819&lt;=9999999999),IF(COUNTIFS(Data!D$1:'Data'!D819,Data!D819)&lt;=1,0,1),1),1))</f>
        <v/>
      </c>
      <c r="E829" s="36" t="str">
        <f>IF(Data!B819="","",IF(ISNUMBER(MATCH(Data!E819,Data_Val!$A$2:$A$3,0)),0,1))</f>
        <v/>
      </c>
      <c r="F829" s="36" t="str">
        <f ca="1">IF(Data!B819="","",IF(ISNUMBER(Data!F819),IF(AND(Data!F819&gt;(TODAY()-(Data_Val!$H$3*365.25)),Data!F819&lt;=(TODAY()-(Data_Val!$H$2*365.25))),0,1),1))</f>
        <v/>
      </c>
      <c r="G829" s="12" t="str">
        <f>IF(Data!B819="","",IF(AND(Data!G819="",Data!H819&lt;&gt;""),1,IF(ISNUMBER(MATCH(Data!G819,Data_Val!$C$2:$C$5,0)),0,1)))</f>
        <v/>
      </c>
      <c r="H829" s="12" t="str">
        <f>IF(Data!B819="","",IF(AND(Data!G819&lt;&gt;"",Data!H819=""),1,IF(Data!G819="",1,IF(ISNUMBER(MATCH(Data!H819,Data_Val!$D$2:$D$35,0)),0,1))))</f>
        <v/>
      </c>
      <c r="I829" s="38" t="str">
        <f>IF(Data!G819="","",IF(Data!G819=Data_Val!$C$2,IF(Data!I819="",0,1),0))</f>
        <v/>
      </c>
      <c r="J829" s="38" t="str">
        <f>IF(Data!I819="","",IF(ISNUMBER(MATCH(Data!J819,Data_Val!$A$2:$A$3,0)),0,1))</f>
        <v/>
      </c>
      <c r="K829" s="38" t="str">
        <f ca="1">IF(Data!I819="","",IF(ISNUMBER(Data!K819),IF(AND(Data!K819&gt;(TODAY()-(Data_Val!$K$3*365.25)),Data!K819&lt;=(TODAY()-(Data_Val!$K$2*365.25))),0,1),1))</f>
        <v/>
      </c>
      <c r="L829" s="16" t="str">
        <f>IF(Data!G819="","",IF(Data!G819=Data_Val!$C$2,IF(Data!L819="",0,1),0))</f>
        <v/>
      </c>
      <c r="M829" s="16" t="str">
        <f>IF(Data!L819="","",IF(ISNUMBER(MATCH(Data!M819,Data_Val!$A$2:$A$3,0)),0,1))</f>
        <v/>
      </c>
      <c r="N829" s="43" t="str">
        <f ca="1">IF(Data!L819="","",IF(ISNUMBER(Data!N819),IF(AND(Data!N819&gt;(TODAY()-(Data_Val!$L$3*365.25)),Data!N819&lt;=(TODAY()-(Data_Val!$L$2*365.25))),0,1),1))</f>
        <v/>
      </c>
      <c r="O829" s="18" t="str">
        <f>IF(Data!$G819="","",IF(Data!$G819=Data_Val!$C$2,IF(Data!O819="",0,1),0))</f>
        <v/>
      </c>
      <c r="P829" s="18" t="str">
        <f>IF(Data!O819="","",IF(ISNUMBER(MATCH(Data!P819,Data_Val!$A$2:$A$3,0)),0,1))</f>
        <v/>
      </c>
      <c r="Q829" s="44" t="str">
        <f ca="1">IF(Data!O819="","",IF(ISNUMBER(Data!Q819),IF(AND(Data!Q819&gt;(TODAY()-(Data_Val!$L$3*365.25)),Data!Q819&lt;=(TODAY()-(Data_Val!$L$2*365.25))),0,1),1))</f>
        <v/>
      </c>
    </row>
    <row r="830" spans="1:17" ht="12" customHeight="1" x14ac:dyDescent="0.25">
      <c r="A830" s="36" t="str">
        <f>IF(Data!B820="","",IF(COUNTIFS(Data!A$1:'Data'!A820,Data!A820)&lt;=1,0,1))</f>
        <v/>
      </c>
      <c r="B830" s="36"/>
      <c r="C830" s="36" t="str">
        <f>IF(Data!C820="","",(IF(ISNUMBER(MATCH("*@*.?*",Data!C820,0)),0,1)+IF(COUNTIFS(Data!C$1:'Data'!C820,Data!C820)&gt;1,1,0)))</f>
        <v/>
      </c>
      <c r="D830" s="36" t="str">
        <f>IF(Data!B820="","",IF(ISNUMBER(Data!D820),IF(AND(Data!D820&gt;999999999,Data!D820&lt;=9999999999),IF(COUNTIFS(Data!D$1:'Data'!D820,Data!D820)&lt;=1,0,1),1),1))</f>
        <v/>
      </c>
      <c r="E830" s="36" t="str">
        <f>IF(Data!B820="","",IF(ISNUMBER(MATCH(Data!E820,Data_Val!$A$2:$A$3,0)),0,1))</f>
        <v/>
      </c>
      <c r="F830" s="36" t="str">
        <f ca="1">IF(Data!B820="","",IF(ISNUMBER(Data!F820),IF(AND(Data!F820&gt;(TODAY()-(Data_Val!$H$3*365.25)),Data!F820&lt;=(TODAY()-(Data_Val!$H$2*365.25))),0,1),1))</f>
        <v/>
      </c>
      <c r="G830" s="12" t="str">
        <f>IF(Data!B820="","",IF(AND(Data!G820="",Data!H820&lt;&gt;""),1,IF(ISNUMBER(MATCH(Data!G820,Data_Val!$C$2:$C$5,0)),0,1)))</f>
        <v/>
      </c>
      <c r="H830" s="12" t="str">
        <f>IF(Data!B820="","",IF(AND(Data!G820&lt;&gt;"",Data!H820=""),1,IF(Data!G820="",1,IF(ISNUMBER(MATCH(Data!H820,Data_Val!$D$2:$D$35,0)),0,1))))</f>
        <v/>
      </c>
      <c r="I830" s="38" t="str">
        <f>IF(Data!G820="","",IF(Data!G820=Data_Val!$C$2,IF(Data!I820="",0,1),0))</f>
        <v/>
      </c>
      <c r="J830" s="38" t="str">
        <f>IF(Data!I820="","",IF(ISNUMBER(MATCH(Data!J820,Data_Val!$A$2:$A$3,0)),0,1))</f>
        <v/>
      </c>
      <c r="K830" s="38" t="str">
        <f ca="1">IF(Data!I820="","",IF(ISNUMBER(Data!K820),IF(AND(Data!K820&gt;(TODAY()-(Data_Val!$K$3*365.25)),Data!K820&lt;=(TODAY()-(Data_Val!$K$2*365.25))),0,1),1))</f>
        <v/>
      </c>
      <c r="L830" s="16" t="str">
        <f>IF(Data!G820="","",IF(Data!G820=Data_Val!$C$2,IF(Data!L820="",0,1),0))</f>
        <v/>
      </c>
      <c r="M830" s="16" t="str">
        <f>IF(Data!L820="","",IF(ISNUMBER(MATCH(Data!M820,Data_Val!$A$2:$A$3,0)),0,1))</f>
        <v/>
      </c>
      <c r="N830" s="43" t="str">
        <f ca="1">IF(Data!L820="","",IF(ISNUMBER(Data!N820),IF(AND(Data!N820&gt;(TODAY()-(Data_Val!$L$3*365.25)),Data!N820&lt;=(TODAY()-(Data_Val!$L$2*365.25))),0,1),1))</f>
        <v/>
      </c>
      <c r="O830" s="18" t="str">
        <f>IF(Data!$G820="","",IF(Data!$G820=Data_Val!$C$2,IF(Data!O820="",0,1),0))</f>
        <v/>
      </c>
      <c r="P830" s="18" t="str">
        <f>IF(Data!O820="","",IF(ISNUMBER(MATCH(Data!P820,Data_Val!$A$2:$A$3,0)),0,1))</f>
        <v/>
      </c>
      <c r="Q830" s="44" t="str">
        <f ca="1">IF(Data!O820="","",IF(ISNUMBER(Data!Q820),IF(AND(Data!Q820&gt;(TODAY()-(Data_Val!$L$3*365.25)),Data!Q820&lt;=(TODAY()-(Data_Val!$L$2*365.25))),0,1),1))</f>
        <v/>
      </c>
    </row>
    <row r="831" spans="1:17" ht="12" customHeight="1" x14ac:dyDescent="0.25">
      <c r="A831" s="36" t="str">
        <f>IF(Data!B821="","",IF(COUNTIFS(Data!A$1:'Data'!A821,Data!A821)&lt;=1,0,1))</f>
        <v/>
      </c>
      <c r="B831" s="36"/>
      <c r="C831" s="36" t="str">
        <f>IF(Data!C821="","",(IF(ISNUMBER(MATCH("*@*.?*",Data!C821,0)),0,1)+IF(COUNTIFS(Data!C$1:'Data'!C821,Data!C821)&gt;1,1,0)))</f>
        <v/>
      </c>
      <c r="D831" s="36" t="str">
        <f>IF(Data!B821="","",IF(ISNUMBER(Data!D821),IF(AND(Data!D821&gt;999999999,Data!D821&lt;=9999999999),IF(COUNTIFS(Data!D$1:'Data'!D821,Data!D821)&lt;=1,0,1),1),1))</f>
        <v/>
      </c>
      <c r="E831" s="36" t="str">
        <f>IF(Data!B821="","",IF(ISNUMBER(MATCH(Data!E821,Data_Val!$A$2:$A$3,0)),0,1))</f>
        <v/>
      </c>
      <c r="F831" s="36" t="str">
        <f ca="1">IF(Data!B821="","",IF(ISNUMBER(Data!F821),IF(AND(Data!F821&gt;(TODAY()-(Data_Val!$H$3*365.25)),Data!F821&lt;=(TODAY()-(Data_Val!$H$2*365.25))),0,1),1))</f>
        <v/>
      </c>
      <c r="G831" s="12" t="str">
        <f>IF(Data!B821="","",IF(AND(Data!G821="",Data!H821&lt;&gt;""),1,IF(ISNUMBER(MATCH(Data!G821,Data_Val!$C$2:$C$5,0)),0,1)))</f>
        <v/>
      </c>
      <c r="H831" s="12" t="str">
        <f>IF(Data!B821="","",IF(AND(Data!G821&lt;&gt;"",Data!H821=""),1,IF(Data!G821="",1,IF(ISNUMBER(MATCH(Data!H821,Data_Val!$D$2:$D$35,0)),0,1))))</f>
        <v/>
      </c>
      <c r="I831" s="38" t="str">
        <f>IF(Data!G821="","",IF(Data!G821=Data_Val!$C$2,IF(Data!I821="",0,1),0))</f>
        <v/>
      </c>
      <c r="J831" s="38" t="str">
        <f>IF(Data!I821="","",IF(ISNUMBER(MATCH(Data!J821,Data_Val!$A$2:$A$3,0)),0,1))</f>
        <v/>
      </c>
      <c r="K831" s="38" t="str">
        <f ca="1">IF(Data!I821="","",IF(ISNUMBER(Data!K821),IF(AND(Data!K821&gt;(TODAY()-(Data_Val!$K$3*365.25)),Data!K821&lt;=(TODAY()-(Data_Val!$K$2*365.25))),0,1),1))</f>
        <v/>
      </c>
      <c r="L831" s="16" t="str">
        <f>IF(Data!G821="","",IF(Data!G821=Data_Val!$C$2,IF(Data!L821="",0,1),0))</f>
        <v/>
      </c>
      <c r="M831" s="16" t="str">
        <f>IF(Data!L821="","",IF(ISNUMBER(MATCH(Data!M821,Data_Val!$A$2:$A$3,0)),0,1))</f>
        <v/>
      </c>
      <c r="N831" s="43" t="str">
        <f ca="1">IF(Data!L821="","",IF(ISNUMBER(Data!N821),IF(AND(Data!N821&gt;(TODAY()-(Data_Val!$L$3*365.25)),Data!N821&lt;=(TODAY()-(Data_Val!$L$2*365.25))),0,1),1))</f>
        <v/>
      </c>
      <c r="O831" s="18" t="str">
        <f>IF(Data!$G821="","",IF(Data!$G821=Data_Val!$C$2,IF(Data!O821="",0,1),0))</f>
        <v/>
      </c>
      <c r="P831" s="18" t="str">
        <f>IF(Data!O821="","",IF(ISNUMBER(MATCH(Data!P821,Data_Val!$A$2:$A$3,0)),0,1))</f>
        <v/>
      </c>
      <c r="Q831" s="44" t="str">
        <f ca="1">IF(Data!O821="","",IF(ISNUMBER(Data!Q821),IF(AND(Data!Q821&gt;(TODAY()-(Data_Val!$L$3*365.25)),Data!Q821&lt;=(TODAY()-(Data_Val!$L$2*365.25))),0,1),1))</f>
        <v/>
      </c>
    </row>
    <row r="832" spans="1:17" ht="12" customHeight="1" x14ac:dyDescent="0.25">
      <c r="A832" s="36" t="str">
        <f>IF(Data!B822="","",IF(COUNTIFS(Data!A$1:'Data'!A822,Data!A822)&lt;=1,0,1))</f>
        <v/>
      </c>
      <c r="B832" s="36"/>
      <c r="C832" s="36" t="str">
        <f>IF(Data!C822="","",(IF(ISNUMBER(MATCH("*@*.?*",Data!C822,0)),0,1)+IF(COUNTIFS(Data!C$1:'Data'!C822,Data!C822)&gt;1,1,0)))</f>
        <v/>
      </c>
      <c r="D832" s="36" t="str">
        <f>IF(Data!B822="","",IF(ISNUMBER(Data!D822),IF(AND(Data!D822&gt;999999999,Data!D822&lt;=9999999999),IF(COUNTIFS(Data!D$1:'Data'!D822,Data!D822)&lt;=1,0,1),1),1))</f>
        <v/>
      </c>
      <c r="E832" s="36" t="str">
        <f>IF(Data!B822="","",IF(ISNUMBER(MATCH(Data!E822,Data_Val!$A$2:$A$3,0)),0,1))</f>
        <v/>
      </c>
      <c r="F832" s="36" t="str">
        <f ca="1">IF(Data!B822="","",IF(ISNUMBER(Data!F822),IF(AND(Data!F822&gt;(TODAY()-(Data_Val!$H$3*365.25)),Data!F822&lt;=(TODAY()-(Data_Val!$H$2*365.25))),0,1),1))</f>
        <v/>
      </c>
      <c r="G832" s="12" t="str">
        <f>IF(Data!B822="","",IF(AND(Data!G822="",Data!H822&lt;&gt;""),1,IF(ISNUMBER(MATCH(Data!G822,Data_Val!$C$2:$C$5,0)),0,1)))</f>
        <v/>
      </c>
      <c r="H832" s="12" t="str">
        <f>IF(Data!B822="","",IF(AND(Data!G822&lt;&gt;"",Data!H822=""),1,IF(Data!G822="",1,IF(ISNUMBER(MATCH(Data!H822,Data_Val!$D$2:$D$35,0)),0,1))))</f>
        <v/>
      </c>
      <c r="I832" s="38" t="str">
        <f>IF(Data!G822="","",IF(Data!G822=Data_Val!$C$2,IF(Data!I822="",0,1),0))</f>
        <v/>
      </c>
      <c r="J832" s="38" t="str">
        <f>IF(Data!I822="","",IF(ISNUMBER(MATCH(Data!J822,Data_Val!$A$2:$A$3,0)),0,1))</f>
        <v/>
      </c>
      <c r="K832" s="38" t="str">
        <f ca="1">IF(Data!I822="","",IF(ISNUMBER(Data!K822),IF(AND(Data!K822&gt;(TODAY()-(Data_Val!$K$3*365.25)),Data!K822&lt;=(TODAY()-(Data_Val!$K$2*365.25))),0,1),1))</f>
        <v/>
      </c>
      <c r="L832" s="16" t="str">
        <f>IF(Data!G822="","",IF(Data!G822=Data_Val!$C$2,IF(Data!L822="",0,1),0))</f>
        <v/>
      </c>
      <c r="M832" s="16" t="str">
        <f>IF(Data!L822="","",IF(ISNUMBER(MATCH(Data!M822,Data_Val!$A$2:$A$3,0)),0,1))</f>
        <v/>
      </c>
      <c r="N832" s="43" t="str">
        <f ca="1">IF(Data!L822="","",IF(ISNUMBER(Data!N822),IF(AND(Data!N822&gt;(TODAY()-(Data_Val!$L$3*365.25)),Data!N822&lt;=(TODAY()-(Data_Val!$L$2*365.25))),0,1),1))</f>
        <v/>
      </c>
      <c r="O832" s="18" t="str">
        <f>IF(Data!$G822="","",IF(Data!$G822=Data_Val!$C$2,IF(Data!O822="",0,1),0))</f>
        <v/>
      </c>
      <c r="P832" s="18" t="str">
        <f>IF(Data!O822="","",IF(ISNUMBER(MATCH(Data!P822,Data_Val!$A$2:$A$3,0)),0,1))</f>
        <v/>
      </c>
      <c r="Q832" s="44" t="str">
        <f ca="1">IF(Data!O822="","",IF(ISNUMBER(Data!Q822),IF(AND(Data!Q822&gt;(TODAY()-(Data_Val!$L$3*365.25)),Data!Q822&lt;=(TODAY()-(Data_Val!$L$2*365.25))),0,1),1))</f>
        <v/>
      </c>
    </row>
    <row r="833" spans="1:17" ht="12" customHeight="1" x14ac:dyDescent="0.25">
      <c r="A833" s="36" t="str">
        <f>IF(Data!B823="","",IF(COUNTIFS(Data!A$1:'Data'!A823,Data!A823)&lt;=1,0,1))</f>
        <v/>
      </c>
      <c r="B833" s="36"/>
      <c r="C833" s="36" t="str">
        <f>IF(Data!C823="","",(IF(ISNUMBER(MATCH("*@*.?*",Data!C823,0)),0,1)+IF(COUNTIFS(Data!C$1:'Data'!C823,Data!C823)&gt;1,1,0)))</f>
        <v/>
      </c>
      <c r="D833" s="36" t="str">
        <f>IF(Data!B823="","",IF(ISNUMBER(Data!D823),IF(AND(Data!D823&gt;999999999,Data!D823&lt;=9999999999),IF(COUNTIFS(Data!D$1:'Data'!D823,Data!D823)&lt;=1,0,1),1),1))</f>
        <v/>
      </c>
      <c r="E833" s="36" t="str">
        <f>IF(Data!B823="","",IF(ISNUMBER(MATCH(Data!E823,Data_Val!$A$2:$A$3,0)),0,1))</f>
        <v/>
      </c>
      <c r="F833" s="36" t="str">
        <f ca="1">IF(Data!B823="","",IF(ISNUMBER(Data!F823),IF(AND(Data!F823&gt;(TODAY()-(Data_Val!$H$3*365.25)),Data!F823&lt;=(TODAY()-(Data_Val!$H$2*365.25))),0,1),1))</f>
        <v/>
      </c>
      <c r="G833" s="12" t="str">
        <f>IF(Data!B823="","",IF(AND(Data!G823="",Data!H823&lt;&gt;""),1,IF(ISNUMBER(MATCH(Data!G823,Data_Val!$C$2:$C$5,0)),0,1)))</f>
        <v/>
      </c>
      <c r="H833" s="12" t="str">
        <f>IF(Data!B823="","",IF(AND(Data!G823&lt;&gt;"",Data!H823=""),1,IF(Data!G823="",1,IF(ISNUMBER(MATCH(Data!H823,Data_Val!$D$2:$D$35,0)),0,1))))</f>
        <v/>
      </c>
      <c r="I833" s="38" t="str">
        <f>IF(Data!G823="","",IF(Data!G823=Data_Val!$C$2,IF(Data!I823="",0,1),0))</f>
        <v/>
      </c>
      <c r="J833" s="38" t="str">
        <f>IF(Data!I823="","",IF(ISNUMBER(MATCH(Data!J823,Data_Val!$A$2:$A$3,0)),0,1))</f>
        <v/>
      </c>
      <c r="K833" s="38" t="str">
        <f ca="1">IF(Data!I823="","",IF(ISNUMBER(Data!K823),IF(AND(Data!K823&gt;(TODAY()-(Data_Val!$K$3*365.25)),Data!K823&lt;=(TODAY()-(Data_Val!$K$2*365.25))),0,1),1))</f>
        <v/>
      </c>
      <c r="L833" s="16" t="str">
        <f>IF(Data!G823="","",IF(Data!G823=Data_Val!$C$2,IF(Data!L823="",0,1),0))</f>
        <v/>
      </c>
      <c r="M833" s="16" t="str">
        <f>IF(Data!L823="","",IF(ISNUMBER(MATCH(Data!M823,Data_Val!$A$2:$A$3,0)),0,1))</f>
        <v/>
      </c>
      <c r="N833" s="43" t="str">
        <f ca="1">IF(Data!L823="","",IF(ISNUMBER(Data!N823),IF(AND(Data!N823&gt;(TODAY()-(Data_Val!$L$3*365.25)),Data!N823&lt;=(TODAY()-(Data_Val!$L$2*365.25))),0,1),1))</f>
        <v/>
      </c>
      <c r="O833" s="18" t="str">
        <f>IF(Data!$G823="","",IF(Data!$G823=Data_Val!$C$2,IF(Data!O823="",0,1),0))</f>
        <v/>
      </c>
      <c r="P833" s="18" t="str">
        <f>IF(Data!O823="","",IF(ISNUMBER(MATCH(Data!P823,Data_Val!$A$2:$A$3,0)),0,1))</f>
        <v/>
      </c>
      <c r="Q833" s="44" t="str">
        <f ca="1">IF(Data!O823="","",IF(ISNUMBER(Data!Q823),IF(AND(Data!Q823&gt;(TODAY()-(Data_Val!$L$3*365.25)),Data!Q823&lt;=(TODAY()-(Data_Val!$L$2*365.25))),0,1),1))</f>
        <v/>
      </c>
    </row>
    <row r="834" spans="1:17" ht="12" customHeight="1" x14ac:dyDescent="0.25">
      <c r="A834" s="36" t="str">
        <f>IF(Data!B824="","",IF(COUNTIFS(Data!A$1:'Data'!A824,Data!A824)&lt;=1,0,1))</f>
        <v/>
      </c>
      <c r="B834" s="36"/>
      <c r="C834" s="36" t="str">
        <f>IF(Data!C824="","",(IF(ISNUMBER(MATCH("*@*.?*",Data!C824,0)),0,1)+IF(COUNTIFS(Data!C$1:'Data'!C824,Data!C824)&gt;1,1,0)))</f>
        <v/>
      </c>
      <c r="D834" s="36" t="str">
        <f>IF(Data!B824="","",IF(ISNUMBER(Data!D824),IF(AND(Data!D824&gt;999999999,Data!D824&lt;=9999999999),IF(COUNTIFS(Data!D$1:'Data'!D824,Data!D824)&lt;=1,0,1),1),1))</f>
        <v/>
      </c>
      <c r="E834" s="36" t="str">
        <f>IF(Data!B824="","",IF(ISNUMBER(MATCH(Data!E824,Data_Val!$A$2:$A$3,0)),0,1))</f>
        <v/>
      </c>
      <c r="F834" s="36" t="str">
        <f ca="1">IF(Data!B824="","",IF(ISNUMBER(Data!F824),IF(AND(Data!F824&gt;(TODAY()-(Data_Val!$H$3*365.25)),Data!F824&lt;=(TODAY()-(Data_Val!$H$2*365.25))),0,1),1))</f>
        <v/>
      </c>
      <c r="G834" s="12" t="str">
        <f>IF(Data!B824="","",IF(AND(Data!G824="",Data!H824&lt;&gt;""),1,IF(ISNUMBER(MATCH(Data!G824,Data_Val!$C$2:$C$5,0)),0,1)))</f>
        <v/>
      </c>
      <c r="H834" s="12" t="str">
        <f>IF(Data!B824="","",IF(AND(Data!G824&lt;&gt;"",Data!H824=""),1,IF(Data!G824="",1,IF(ISNUMBER(MATCH(Data!H824,Data_Val!$D$2:$D$35,0)),0,1))))</f>
        <v/>
      </c>
      <c r="I834" s="38" t="str">
        <f>IF(Data!G824="","",IF(Data!G824=Data_Val!$C$2,IF(Data!I824="",0,1),0))</f>
        <v/>
      </c>
      <c r="J834" s="38" t="str">
        <f>IF(Data!I824="","",IF(ISNUMBER(MATCH(Data!J824,Data_Val!$A$2:$A$3,0)),0,1))</f>
        <v/>
      </c>
      <c r="K834" s="38" t="str">
        <f ca="1">IF(Data!I824="","",IF(ISNUMBER(Data!K824),IF(AND(Data!K824&gt;(TODAY()-(Data_Val!$K$3*365.25)),Data!K824&lt;=(TODAY()-(Data_Val!$K$2*365.25))),0,1),1))</f>
        <v/>
      </c>
      <c r="L834" s="16" t="str">
        <f>IF(Data!G824="","",IF(Data!G824=Data_Val!$C$2,IF(Data!L824="",0,1),0))</f>
        <v/>
      </c>
      <c r="M834" s="16" t="str">
        <f>IF(Data!L824="","",IF(ISNUMBER(MATCH(Data!M824,Data_Val!$A$2:$A$3,0)),0,1))</f>
        <v/>
      </c>
      <c r="N834" s="43" t="str">
        <f ca="1">IF(Data!L824="","",IF(ISNUMBER(Data!N824),IF(AND(Data!N824&gt;(TODAY()-(Data_Val!$L$3*365.25)),Data!N824&lt;=(TODAY()-(Data_Val!$L$2*365.25))),0,1),1))</f>
        <v/>
      </c>
      <c r="O834" s="18" t="str">
        <f>IF(Data!$G824="","",IF(Data!$G824=Data_Val!$C$2,IF(Data!O824="",0,1),0))</f>
        <v/>
      </c>
      <c r="P834" s="18" t="str">
        <f>IF(Data!O824="","",IF(ISNUMBER(MATCH(Data!P824,Data_Val!$A$2:$A$3,0)),0,1))</f>
        <v/>
      </c>
      <c r="Q834" s="44" t="str">
        <f ca="1">IF(Data!O824="","",IF(ISNUMBER(Data!Q824),IF(AND(Data!Q824&gt;(TODAY()-(Data_Val!$L$3*365.25)),Data!Q824&lt;=(TODAY()-(Data_Val!$L$2*365.25))),0,1),1))</f>
        <v/>
      </c>
    </row>
    <row r="835" spans="1:17" ht="12" customHeight="1" x14ac:dyDescent="0.25">
      <c r="A835" s="36" t="str">
        <f>IF(Data!B825="","",IF(COUNTIFS(Data!A$1:'Data'!A825,Data!A825)&lt;=1,0,1))</f>
        <v/>
      </c>
      <c r="B835" s="36"/>
      <c r="C835" s="36" t="str">
        <f>IF(Data!C825="","",(IF(ISNUMBER(MATCH("*@*.?*",Data!C825,0)),0,1)+IF(COUNTIFS(Data!C$1:'Data'!C825,Data!C825)&gt;1,1,0)))</f>
        <v/>
      </c>
      <c r="D835" s="36" t="str">
        <f>IF(Data!B825="","",IF(ISNUMBER(Data!D825),IF(AND(Data!D825&gt;999999999,Data!D825&lt;=9999999999),IF(COUNTIFS(Data!D$1:'Data'!D825,Data!D825)&lt;=1,0,1),1),1))</f>
        <v/>
      </c>
      <c r="E835" s="36" t="str">
        <f>IF(Data!B825="","",IF(ISNUMBER(MATCH(Data!E825,Data_Val!$A$2:$A$3,0)),0,1))</f>
        <v/>
      </c>
      <c r="F835" s="36" t="str">
        <f ca="1">IF(Data!B825="","",IF(ISNUMBER(Data!F825),IF(AND(Data!F825&gt;(TODAY()-(Data_Val!$H$3*365.25)),Data!F825&lt;=(TODAY()-(Data_Val!$H$2*365.25))),0,1),1))</f>
        <v/>
      </c>
      <c r="G835" s="12" t="str">
        <f>IF(Data!B825="","",IF(AND(Data!G825="",Data!H825&lt;&gt;""),1,IF(ISNUMBER(MATCH(Data!G825,Data_Val!$C$2:$C$5,0)),0,1)))</f>
        <v/>
      </c>
      <c r="H835" s="12" t="str">
        <f>IF(Data!B825="","",IF(AND(Data!G825&lt;&gt;"",Data!H825=""),1,IF(Data!G825="",1,IF(ISNUMBER(MATCH(Data!H825,Data_Val!$D$2:$D$35,0)),0,1))))</f>
        <v/>
      </c>
      <c r="I835" s="38" t="str">
        <f>IF(Data!G825="","",IF(Data!G825=Data_Val!$C$2,IF(Data!I825="",0,1),0))</f>
        <v/>
      </c>
      <c r="J835" s="38" t="str">
        <f>IF(Data!I825="","",IF(ISNUMBER(MATCH(Data!J825,Data_Val!$A$2:$A$3,0)),0,1))</f>
        <v/>
      </c>
      <c r="K835" s="38" t="str">
        <f ca="1">IF(Data!I825="","",IF(ISNUMBER(Data!K825),IF(AND(Data!K825&gt;(TODAY()-(Data_Val!$K$3*365.25)),Data!K825&lt;=(TODAY()-(Data_Val!$K$2*365.25))),0,1),1))</f>
        <v/>
      </c>
      <c r="L835" s="16" t="str">
        <f>IF(Data!G825="","",IF(Data!G825=Data_Val!$C$2,IF(Data!L825="",0,1),0))</f>
        <v/>
      </c>
      <c r="M835" s="16" t="str">
        <f>IF(Data!L825="","",IF(ISNUMBER(MATCH(Data!M825,Data_Val!$A$2:$A$3,0)),0,1))</f>
        <v/>
      </c>
      <c r="N835" s="43" t="str">
        <f ca="1">IF(Data!L825="","",IF(ISNUMBER(Data!N825),IF(AND(Data!N825&gt;(TODAY()-(Data_Val!$L$3*365.25)),Data!N825&lt;=(TODAY()-(Data_Val!$L$2*365.25))),0,1),1))</f>
        <v/>
      </c>
      <c r="O835" s="18" t="str">
        <f>IF(Data!$G825="","",IF(Data!$G825=Data_Val!$C$2,IF(Data!O825="",0,1),0))</f>
        <v/>
      </c>
      <c r="P835" s="18" t="str">
        <f>IF(Data!O825="","",IF(ISNUMBER(MATCH(Data!P825,Data_Val!$A$2:$A$3,0)),0,1))</f>
        <v/>
      </c>
      <c r="Q835" s="44" t="str">
        <f ca="1">IF(Data!O825="","",IF(ISNUMBER(Data!Q825),IF(AND(Data!Q825&gt;(TODAY()-(Data_Val!$L$3*365.25)),Data!Q825&lt;=(TODAY()-(Data_Val!$L$2*365.25))),0,1),1))</f>
        <v/>
      </c>
    </row>
    <row r="836" spans="1:17" ht="12" customHeight="1" x14ac:dyDescent="0.25">
      <c r="A836" s="36" t="str">
        <f>IF(Data!B826="","",IF(COUNTIFS(Data!A$1:'Data'!A826,Data!A826)&lt;=1,0,1))</f>
        <v/>
      </c>
      <c r="B836" s="36"/>
      <c r="C836" s="36" t="str">
        <f>IF(Data!C826="","",(IF(ISNUMBER(MATCH("*@*.?*",Data!C826,0)),0,1)+IF(COUNTIFS(Data!C$1:'Data'!C826,Data!C826)&gt;1,1,0)))</f>
        <v/>
      </c>
      <c r="D836" s="36" t="str">
        <f>IF(Data!B826="","",IF(ISNUMBER(Data!D826),IF(AND(Data!D826&gt;999999999,Data!D826&lt;=9999999999),IF(COUNTIFS(Data!D$1:'Data'!D826,Data!D826)&lt;=1,0,1),1),1))</f>
        <v/>
      </c>
      <c r="E836" s="36" t="str">
        <f>IF(Data!B826="","",IF(ISNUMBER(MATCH(Data!E826,Data_Val!$A$2:$A$3,0)),0,1))</f>
        <v/>
      </c>
      <c r="F836" s="36" t="str">
        <f ca="1">IF(Data!B826="","",IF(ISNUMBER(Data!F826),IF(AND(Data!F826&gt;(TODAY()-(Data_Val!$H$3*365.25)),Data!F826&lt;=(TODAY()-(Data_Val!$H$2*365.25))),0,1),1))</f>
        <v/>
      </c>
      <c r="G836" s="12" t="str">
        <f>IF(Data!B826="","",IF(AND(Data!G826="",Data!H826&lt;&gt;""),1,IF(ISNUMBER(MATCH(Data!G826,Data_Val!$C$2:$C$5,0)),0,1)))</f>
        <v/>
      </c>
      <c r="H836" s="12" t="str">
        <f>IF(Data!B826="","",IF(AND(Data!G826&lt;&gt;"",Data!H826=""),1,IF(Data!G826="",1,IF(ISNUMBER(MATCH(Data!H826,Data_Val!$D$2:$D$35,0)),0,1))))</f>
        <v/>
      </c>
      <c r="I836" s="38" t="str">
        <f>IF(Data!G826="","",IF(Data!G826=Data_Val!$C$2,IF(Data!I826="",0,1),0))</f>
        <v/>
      </c>
      <c r="J836" s="38" t="str">
        <f>IF(Data!I826="","",IF(ISNUMBER(MATCH(Data!J826,Data_Val!$A$2:$A$3,0)),0,1))</f>
        <v/>
      </c>
      <c r="K836" s="38" t="str">
        <f ca="1">IF(Data!I826="","",IF(ISNUMBER(Data!K826),IF(AND(Data!K826&gt;(TODAY()-(Data_Val!$K$3*365.25)),Data!K826&lt;=(TODAY()-(Data_Val!$K$2*365.25))),0,1),1))</f>
        <v/>
      </c>
      <c r="L836" s="16" t="str">
        <f>IF(Data!G826="","",IF(Data!G826=Data_Val!$C$2,IF(Data!L826="",0,1),0))</f>
        <v/>
      </c>
      <c r="M836" s="16" t="str">
        <f>IF(Data!L826="","",IF(ISNUMBER(MATCH(Data!M826,Data_Val!$A$2:$A$3,0)),0,1))</f>
        <v/>
      </c>
      <c r="N836" s="43" t="str">
        <f ca="1">IF(Data!L826="","",IF(ISNUMBER(Data!N826),IF(AND(Data!N826&gt;(TODAY()-(Data_Val!$L$3*365.25)),Data!N826&lt;=(TODAY()-(Data_Val!$L$2*365.25))),0,1),1))</f>
        <v/>
      </c>
      <c r="O836" s="18" t="str">
        <f>IF(Data!$G826="","",IF(Data!$G826=Data_Val!$C$2,IF(Data!O826="",0,1),0))</f>
        <v/>
      </c>
      <c r="P836" s="18" t="str">
        <f>IF(Data!O826="","",IF(ISNUMBER(MATCH(Data!P826,Data_Val!$A$2:$A$3,0)),0,1))</f>
        <v/>
      </c>
      <c r="Q836" s="44" t="str">
        <f ca="1">IF(Data!O826="","",IF(ISNUMBER(Data!Q826),IF(AND(Data!Q826&gt;(TODAY()-(Data_Val!$L$3*365.25)),Data!Q826&lt;=(TODAY()-(Data_Val!$L$2*365.25))),0,1),1))</f>
        <v/>
      </c>
    </row>
    <row r="837" spans="1:17" ht="12" customHeight="1" x14ac:dyDescent="0.25">
      <c r="A837" s="36" t="str">
        <f>IF(Data!B827="","",IF(COUNTIFS(Data!A$1:'Data'!A827,Data!A827)&lt;=1,0,1))</f>
        <v/>
      </c>
      <c r="B837" s="36"/>
      <c r="C837" s="36" t="str">
        <f>IF(Data!C827="","",(IF(ISNUMBER(MATCH("*@*.?*",Data!C827,0)),0,1)+IF(COUNTIFS(Data!C$1:'Data'!C827,Data!C827)&gt;1,1,0)))</f>
        <v/>
      </c>
      <c r="D837" s="36" t="str">
        <f>IF(Data!B827="","",IF(ISNUMBER(Data!D827),IF(AND(Data!D827&gt;999999999,Data!D827&lt;=9999999999),IF(COUNTIFS(Data!D$1:'Data'!D827,Data!D827)&lt;=1,0,1),1),1))</f>
        <v/>
      </c>
      <c r="E837" s="36" t="str">
        <f>IF(Data!B827="","",IF(ISNUMBER(MATCH(Data!E827,Data_Val!$A$2:$A$3,0)),0,1))</f>
        <v/>
      </c>
      <c r="F837" s="36" t="str">
        <f ca="1">IF(Data!B827="","",IF(ISNUMBER(Data!F827),IF(AND(Data!F827&gt;(TODAY()-(Data_Val!$H$3*365.25)),Data!F827&lt;=(TODAY()-(Data_Val!$H$2*365.25))),0,1),1))</f>
        <v/>
      </c>
      <c r="G837" s="12" t="str">
        <f>IF(Data!B827="","",IF(AND(Data!G827="",Data!H827&lt;&gt;""),1,IF(ISNUMBER(MATCH(Data!G827,Data_Val!$C$2:$C$5,0)),0,1)))</f>
        <v/>
      </c>
      <c r="H837" s="12" t="str">
        <f>IF(Data!B827="","",IF(AND(Data!G827&lt;&gt;"",Data!H827=""),1,IF(Data!G827="",1,IF(ISNUMBER(MATCH(Data!H827,Data_Val!$D$2:$D$35,0)),0,1))))</f>
        <v/>
      </c>
      <c r="I837" s="38" t="str">
        <f>IF(Data!G827="","",IF(Data!G827=Data_Val!$C$2,IF(Data!I827="",0,1),0))</f>
        <v/>
      </c>
      <c r="J837" s="38" t="str">
        <f>IF(Data!I827="","",IF(ISNUMBER(MATCH(Data!J827,Data_Val!$A$2:$A$3,0)),0,1))</f>
        <v/>
      </c>
      <c r="K837" s="38" t="str">
        <f ca="1">IF(Data!I827="","",IF(ISNUMBER(Data!K827),IF(AND(Data!K827&gt;(TODAY()-(Data_Val!$K$3*365.25)),Data!K827&lt;=(TODAY()-(Data_Val!$K$2*365.25))),0,1),1))</f>
        <v/>
      </c>
      <c r="L837" s="16" t="str">
        <f>IF(Data!G827="","",IF(Data!G827=Data_Val!$C$2,IF(Data!L827="",0,1),0))</f>
        <v/>
      </c>
      <c r="M837" s="16" t="str">
        <f>IF(Data!L827="","",IF(ISNUMBER(MATCH(Data!M827,Data_Val!$A$2:$A$3,0)),0,1))</f>
        <v/>
      </c>
      <c r="N837" s="43" t="str">
        <f ca="1">IF(Data!L827="","",IF(ISNUMBER(Data!N827),IF(AND(Data!N827&gt;(TODAY()-(Data_Val!$L$3*365.25)),Data!N827&lt;=(TODAY()-(Data_Val!$L$2*365.25))),0,1),1))</f>
        <v/>
      </c>
      <c r="O837" s="18" t="str">
        <f>IF(Data!$G827="","",IF(Data!$G827=Data_Val!$C$2,IF(Data!O827="",0,1),0))</f>
        <v/>
      </c>
      <c r="P837" s="18" t="str">
        <f>IF(Data!O827="","",IF(ISNUMBER(MATCH(Data!P827,Data_Val!$A$2:$A$3,0)),0,1))</f>
        <v/>
      </c>
      <c r="Q837" s="44" t="str">
        <f ca="1">IF(Data!O827="","",IF(ISNUMBER(Data!Q827),IF(AND(Data!Q827&gt;(TODAY()-(Data_Val!$L$3*365.25)),Data!Q827&lt;=(TODAY()-(Data_Val!$L$2*365.25))),0,1),1))</f>
        <v/>
      </c>
    </row>
    <row r="838" spans="1:17" ht="12" customHeight="1" x14ac:dyDescent="0.25">
      <c r="A838" s="36" t="str">
        <f>IF(Data!B828="","",IF(COUNTIFS(Data!A$1:'Data'!A828,Data!A828)&lt;=1,0,1))</f>
        <v/>
      </c>
      <c r="B838" s="36"/>
      <c r="C838" s="36" t="str">
        <f>IF(Data!C828="","",(IF(ISNUMBER(MATCH("*@*.?*",Data!C828,0)),0,1)+IF(COUNTIFS(Data!C$1:'Data'!C828,Data!C828)&gt;1,1,0)))</f>
        <v/>
      </c>
      <c r="D838" s="36" t="str">
        <f>IF(Data!B828="","",IF(ISNUMBER(Data!D828),IF(AND(Data!D828&gt;999999999,Data!D828&lt;=9999999999),IF(COUNTIFS(Data!D$1:'Data'!D828,Data!D828)&lt;=1,0,1),1),1))</f>
        <v/>
      </c>
      <c r="E838" s="36" t="str">
        <f>IF(Data!B828="","",IF(ISNUMBER(MATCH(Data!E828,Data_Val!$A$2:$A$3,0)),0,1))</f>
        <v/>
      </c>
      <c r="F838" s="36" t="str">
        <f ca="1">IF(Data!B828="","",IF(ISNUMBER(Data!F828),IF(AND(Data!F828&gt;(TODAY()-(Data_Val!$H$3*365.25)),Data!F828&lt;=(TODAY()-(Data_Val!$H$2*365.25))),0,1),1))</f>
        <v/>
      </c>
      <c r="G838" s="12" t="str">
        <f>IF(Data!B828="","",IF(AND(Data!G828="",Data!H828&lt;&gt;""),1,IF(ISNUMBER(MATCH(Data!G828,Data_Val!$C$2:$C$5,0)),0,1)))</f>
        <v/>
      </c>
      <c r="H838" s="12" t="str">
        <f>IF(Data!B828="","",IF(AND(Data!G828&lt;&gt;"",Data!H828=""),1,IF(Data!G828="",1,IF(ISNUMBER(MATCH(Data!H828,Data_Val!$D$2:$D$35,0)),0,1))))</f>
        <v/>
      </c>
      <c r="I838" s="38" t="str">
        <f>IF(Data!G828="","",IF(Data!G828=Data_Val!$C$2,IF(Data!I828="",0,1),0))</f>
        <v/>
      </c>
      <c r="J838" s="38" t="str">
        <f>IF(Data!I828="","",IF(ISNUMBER(MATCH(Data!J828,Data_Val!$A$2:$A$3,0)),0,1))</f>
        <v/>
      </c>
      <c r="K838" s="38" t="str">
        <f ca="1">IF(Data!I828="","",IF(ISNUMBER(Data!K828),IF(AND(Data!K828&gt;(TODAY()-(Data_Val!$K$3*365.25)),Data!K828&lt;=(TODAY()-(Data_Val!$K$2*365.25))),0,1),1))</f>
        <v/>
      </c>
      <c r="L838" s="16" t="str">
        <f>IF(Data!G828="","",IF(Data!G828=Data_Val!$C$2,IF(Data!L828="",0,1),0))</f>
        <v/>
      </c>
      <c r="M838" s="16" t="str">
        <f>IF(Data!L828="","",IF(ISNUMBER(MATCH(Data!M828,Data_Val!$A$2:$A$3,0)),0,1))</f>
        <v/>
      </c>
      <c r="N838" s="43" t="str">
        <f ca="1">IF(Data!L828="","",IF(ISNUMBER(Data!N828),IF(AND(Data!N828&gt;(TODAY()-(Data_Val!$L$3*365.25)),Data!N828&lt;=(TODAY()-(Data_Val!$L$2*365.25))),0,1),1))</f>
        <v/>
      </c>
      <c r="O838" s="18" t="str">
        <f>IF(Data!$G828="","",IF(Data!$G828=Data_Val!$C$2,IF(Data!O828="",0,1),0))</f>
        <v/>
      </c>
      <c r="P838" s="18" t="str">
        <f>IF(Data!O828="","",IF(ISNUMBER(MATCH(Data!P828,Data_Val!$A$2:$A$3,0)),0,1))</f>
        <v/>
      </c>
      <c r="Q838" s="44" t="str">
        <f ca="1">IF(Data!O828="","",IF(ISNUMBER(Data!Q828),IF(AND(Data!Q828&gt;(TODAY()-(Data_Val!$L$3*365.25)),Data!Q828&lt;=(TODAY()-(Data_Val!$L$2*365.25))),0,1),1))</f>
        <v/>
      </c>
    </row>
    <row r="839" spans="1:17" ht="12" customHeight="1" x14ac:dyDescent="0.25">
      <c r="A839" s="36" t="str">
        <f>IF(Data!B829="","",IF(COUNTIFS(Data!A$1:'Data'!A829,Data!A829)&lt;=1,0,1))</f>
        <v/>
      </c>
      <c r="B839" s="36"/>
      <c r="C839" s="36" t="str">
        <f>IF(Data!C829="","",(IF(ISNUMBER(MATCH("*@*.?*",Data!C829,0)),0,1)+IF(COUNTIFS(Data!C$1:'Data'!C829,Data!C829)&gt;1,1,0)))</f>
        <v/>
      </c>
      <c r="D839" s="36" t="str">
        <f>IF(Data!B829="","",IF(ISNUMBER(Data!D829),IF(AND(Data!D829&gt;999999999,Data!D829&lt;=9999999999),IF(COUNTIFS(Data!D$1:'Data'!D829,Data!D829)&lt;=1,0,1),1),1))</f>
        <v/>
      </c>
      <c r="E839" s="36" t="str">
        <f>IF(Data!B829="","",IF(ISNUMBER(MATCH(Data!E829,Data_Val!$A$2:$A$3,0)),0,1))</f>
        <v/>
      </c>
      <c r="F839" s="36" t="str">
        <f ca="1">IF(Data!B829="","",IF(ISNUMBER(Data!F829),IF(AND(Data!F829&gt;(TODAY()-(Data_Val!$H$3*365.25)),Data!F829&lt;=(TODAY()-(Data_Val!$H$2*365.25))),0,1),1))</f>
        <v/>
      </c>
      <c r="G839" s="12" t="str">
        <f>IF(Data!B829="","",IF(AND(Data!G829="",Data!H829&lt;&gt;""),1,IF(ISNUMBER(MATCH(Data!G829,Data_Val!$C$2:$C$5,0)),0,1)))</f>
        <v/>
      </c>
      <c r="H839" s="12" t="str">
        <f>IF(Data!B829="","",IF(AND(Data!G829&lt;&gt;"",Data!H829=""),1,IF(Data!G829="",1,IF(ISNUMBER(MATCH(Data!H829,Data_Val!$D$2:$D$35,0)),0,1))))</f>
        <v/>
      </c>
      <c r="I839" s="38" t="str">
        <f>IF(Data!G829="","",IF(Data!G829=Data_Val!$C$2,IF(Data!I829="",0,1),0))</f>
        <v/>
      </c>
      <c r="J839" s="38" t="str">
        <f>IF(Data!I829="","",IF(ISNUMBER(MATCH(Data!J829,Data_Val!$A$2:$A$3,0)),0,1))</f>
        <v/>
      </c>
      <c r="K839" s="38" t="str">
        <f ca="1">IF(Data!I829="","",IF(ISNUMBER(Data!K829),IF(AND(Data!K829&gt;(TODAY()-(Data_Val!$K$3*365.25)),Data!K829&lt;=(TODAY()-(Data_Val!$K$2*365.25))),0,1),1))</f>
        <v/>
      </c>
      <c r="L839" s="16" t="str">
        <f>IF(Data!G829="","",IF(Data!G829=Data_Val!$C$2,IF(Data!L829="",0,1),0))</f>
        <v/>
      </c>
      <c r="M839" s="16" t="str">
        <f>IF(Data!L829="","",IF(ISNUMBER(MATCH(Data!M829,Data_Val!$A$2:$A$3,0)),0,1))</f>
        <v/>
      </c>
      <c r="N839" s="43" t="str">
        <f ca="1">IF(Data!L829="","",IF(ISNUMBER(Data!N829),IF(AND(Data!N829&gt;(TODAY()-(Data_Val!$L$3*365.25)),Data!N829&lt;=(TODAY()-(Data_Val!$L$2*365.25))),0,1),1))</f>
        <v/>
      </c>
      <c r="O839" s="18" t="str">
        <f>IF(Data!$G829="","",IF(Data!$G829=Data_Val!$C$2,IF(Data!O829="",0,1),0))</f>
        <v/>
      </c>
      <c r="P839" s="18" t="str">
        <f>IF(Data!O829="","",IF(ISNUMBER(MATCH(Data!P829,Data_Val!$A$2:$A$3,0)),0,1))</f>
        <v/>
      </c>
      <c r="Q839" s="44" t="str">
        <f ca="1">IF(Data!O829="","",IF(ISNUMBER(Data!Q829),IF(AND(Data!Q829&gt;(TODAY()-(Data_Val!$L$3*365.25)),Data!Q829&lt;=(TODAY()-(Data_Val!$L$2*365.25))),0,1),1))</f>
        <v/>
      </c>
    </row>
    <row r="840" spans="1:17" ht="12" customHeight="1" x14ac:dyDescent="0.25">
      <c r="A840" s="36" t="str">
        <f>IF(Data!B830="","",IF(COUNTIFS(Data!A$1:'Data'!A830,Data!A830)&lt;=1,0,1))</f>
        <v/>
      </c>
      <c r="B840" s="36"/>
      <c r="C840" s="36" t="str">
        <f>IF(Data!C830="","",(IF(ISNUMBER(MATCH("*@*.?*",Data!C830,0)),0,1)+IF(COUNTIFS(Data!C$1:'Data'!C830,Data!C830)&gt;1,1,0)))</f>
        <v/>
      </c>
      <c r="D840" s="36" t="str">
        <f>IF(Data!B830="","",IF(ISNUMBER(Data!D830),IF(AND(Data!D830&gt;999999999,Data!D830&lt;=9999999999),IF(COUNTIFS(Data!D$1:'Data'!D830,Data!D830)&lt;=1,0,1),1),1))</f>
        <v/>
      </c>
      <c r="E840" s="36" t="str">
        <f>IF(Data!B830="","",IF(ISNUMBER(MATCH(Data!E830,Data_Val!$A$2:$A$3,0)),0,1))</f>
        <v/>
      </c>
      <c r="F840" s="36" t="str">
        <f ca="1">IF(Data!B830="","",IF(ISNUMBER(Data!F830),IF(AND(Data!F830&gt;(TODAY()-(Data_Val!$H$3*365.25)),Data!F830&lt;=(TODAY()-(Data_Val!$H$2*365.25))),0,1),1))</f>
        <v/>
      </c>
      <c r="G840" s="12" t="str">
        <f>IF(Data!B830="","",IF(AND(Data!G830="",Data!H830&lt;&gt;""),1,IF(ISNUMBER(MATCH(Data!G830,Data_Val!$C$2:$C$5,0)),0,1)))</f>
        <v/>
      </c>
      <c r="H840" s="12" t="str">
        <f>IF(Data!B830="","",IF(AND(Data!G830&lt;&gt;"",Data!H830=""),1,IF(Data!G830="",1,IF(ISNUMBER(MATCH(Data!H830,Data_Val!$D$2:$D$35,0)),0,1))))</f>
        <v/>
      </c>
      <c r="I840" s="38" t="str">
        <f>IF(Data!G830="","",IF(Data!G830=Data_Val!$C$2,IF(Data!I830="",0,1),0))</f>
        <v/>
      </c>
      <c r="J840" s="38" t="str">
        <f>IF(Data!I830="","",IF(ISNUMBER(MATCH(Data!J830,Data_Val!$A$2:$A$3,0)),0,1))</f>
        <v/>
      </c>
      <c r="K840" s="38" t="str">
        <f ca="1">IF(Data!I830="","",IF(ISNUMBER(Data!K830),IF(AND(Data!K830&gt;(TODAY()-(Data_Val!$K$3*365.25)),Data!K830&lt;=(TODAY()-(Data_Val!$K$2*365.25))),0,1),1))</f>
        <v/>
      </c>
      <c r="L840" s="16" t="str">
        <f>IF(Data!G830="","",IF(Data!G830=Data_Val!$C$2,IF(Data!L830="",0,1),0))</f>
        <v/>
      </c>
      <c r="M840" s="16" t="str">
        <f>IF(Data!L830="","",IF(ISNUMBER(MATCH(Data!M830,Data_Val!$A$2:$A$3,0)),0,1))</f>
        <v/>
      </c>
      <c r="N840" s="43" t="str">
        <f ca="1">IF(Data!L830="","",IF(ISNUMBER(Data!N830),IF(AND(Data!N830&gt;(TODAY()-(Data_Val!$L$3*365.25)),Data!N830&lt;=(TODAY()-(Data_Val!$L$2*365.25))),0,1),1))</f>
        <v/>
      </c>
      <c r="O840" s="18" t="str">
        <f>IF(Data!$G830="","",IF(Data!$G830=Data_Val!$C$2,IF(Data!O830="",0,1),0))</f>
        <v/>
      </c>
      <c r="P840" s="18" t="str">
        <f>IF(Data!O830="","",IF(ISNUMBER(MATCH(Data!P830,Data_Val!$A$2:$A$3,0)),0,1))</f>
        <v/>
      </c>
      <c r="Q840" s="44" t="str">
        <f ca="1">IF(Data!O830="","",IF(ISNUMBER(Data!Q830),IF(AND(Data!Q830&gt;(TODAY()-(Data_Val!$L$3*365.25)),Data!Q830&lt;=(TODAY()-(Data_Val!$L$2*365.25))),0,1),1))</f>
        <v/>
      </c>
    </row>
    <row r="841" spans="1:17" ht="12" customHeight="1" x14ac:dyDescent="0.25">
      <c r="A841" s="36" t="str">
        <f>IF(Data!B831="","",IF(COUNTIFS(Data!A$1:'Data'!A831,Data!A831)&lt;=1,0,1))</f>
        <v/>
      </c>
      <c r="B841" s="36"/>
      <c r="C841" s="36" t="str">
        <f>IF(Data!C831="","",(IF(ISNUMBER(MATCH("*@*.?*",Data!C831,0)),0,1)+IF(COUNTIFS(Data!C$1:'Data'!C831,Data!C831)&gt;1,1,0)))</f>
        <v/>
      </c>
      <c r="D841" s="36" t="str">
        <f>IF(Data!B831="","",IF(ISNUMBER(Data!D831),IF(AND(Data!D831&gt;999999999,Data!D831&lt;=9999999999),IF(COUNTIFS(Data!D$1:'Data'!D831,Data!D831)&lt;=1,0,1),1),1))</f>
        <v/>
      </c>
      <c r="E841" s="36" t="str">
        <f>IF(Data!B831="","",IF(ISNUMBER(MATCH(Data!E831,Data_Val!$A$2:$A$3,0)),0,1))</f>
        <v/>
      </c>
      <c r="F841" s="36" t="str">
        <f ca="1">IF(Data!B831="","",IF(ISNUMBER(Data!F831),IF(AND(Data!F831&gt;(TODAY()-(Data_Val!$H$3*365.25)),Data!F831&lt;=(TODAY()-(Data_Val!$H$2*365.25))),0,1),1))</f>
        <v/>
      </c>
      <c r="G841" s="12" t="str">
        <f>IF(Data!B831="","",IF(AND(Data!G831="",Data!H831&lt;&gt;""),1,IF(ISNUMBER(MATCH(Data!G831,Data_Val!$C$2:$C$5,0)),0,1)))</f>
        <v/>
      </c>
      <c r="H841" s="12" t="str">
        <f>IF(Data!B831="","",IF(AND(Data!G831&lt;&gt;"",Data!H831=""),1,IF(Data!G831="",1,IF(ISNUMBER(MATCH(Data!H831,Data_Val!$D$2:$D$35,0)),0,1))))</f>
        <v/>
      </c>
      <c r="I841" s="38" t="str">
        <f>IF(Data!G831="","",IF(Data!G831=Data_Val!$C$2,IF(Data!I831="",0,1),0))</f>
        <v/>
      </c>
      <c r="J841" s="38" t="str">
        <f>IF(Data!I831="","",IF(ISNUMBER(MATCH(Data!J831,Data_Val!$A$2:$A$3,0)),0,1))</f>
        <v/>
      </c>
      <c r="K841" s="38" t="str">
        <f ca="1">IF(Data!I831="","",IF(ISNUMBER(Data!K831),IF(AND(Data!K831&gt;(TODAY()-(Data_Val!$K$3*365.25)),Data!K831&lt;=(TODAY()-(Data_Val!$K$2*365.25))),0,1),1))</f>
        <v/>
      </c>
      <c r="L841" s="16" t="str">
        <f>IF(Data!G831="","",IF(Data!G831=Data_Val!$C$2,IF(Data!L831="",0,1),0))</f>
        <v/>
      </c>
      <c r="M841" s="16" t="str">
        <f>IF(Data!L831="","",IF(ISNUMBER(MATCH(Data!M831,Data_Val!$A$2:$A$3,0)),0,1))</f>
        <v/>
      </c>
      <c r="N841" s="43" t="str">
        <f ca="1">IF(Data!L831="","",IF(ISNUMBER(Data!N831),IF(AND(Data!N831&gt;(TODAY()-(Data_Val!$L$3*365.25)),Data!N831&lt;=(TODAY()-(Data_Val!$L$2*365.25))),0,1),1))</f>
        <v/>
      </c>
      <c r="O841" s="18" t="str">
        <f>IF(Data!$G831="","",IF(Data!$G831=Data_Val!$C$2,IF(Data!O831="",0,1),0))</f>
        <v/>
      </c>
      <c r="P841" s="18" t="str">
        <f>IF(Data!O831="","",IF(ISNUMBER(MATCH(Data!P831,Data_Val!$A$2:$A$3,0)),0,1))</f>
        <v/>
      </c>
      <c r="Q841" s="44" t="str">
        <f ca="1">IF(Data!O831="","",IF(ISNUMBER(Data!Q831),IF(AND(Data!Q831&gt;(TODAY()-(Data_Val!$L$3*365.25)),Data!Q831&lt;=(TODAY()-(Data_Val!$L$2*365.25))),0,1),1))</f>
        <v/>
      </c>
    </row>
    <row r="842" spans="1:17" ht="12" customHeight="1" x14ac:dyDescent="0.25">
      <c r="A842" s="36" t="str">
        <f>IF(Data!B832="","",IF(COUNTIFS(Data!A$1:'Data'!A832,Data!A832)&lt;=1,0,1))</f>
        <v/>
      </c>
      <c r="B842" s="36"/>
      <c r="C842" s="36" t="str">
        <f>IF(Data!C832="","",(IF(ISNUMBER(MATCH("*@*.?*",Data!C832,0)),0,1)+IF(COUNTIFS(Data!C$1:'Data'!C832,Data!C832)&gt;1,1,0)))</f>
        <v/>
      </c>
      <c r="D842" s="36" t="str">
        <f>IF(Data!B832="","",IF(ISNUMBER(Data!D832),IF(AND(Data!D832&gt;999999999,Data!D832&lt;=9999999999),IF(COUNTIFS(Data!D$1:'Data'!D832,Data!D832)&lt;=1,0,1),1),1))</f>
        <v/>
      </c>
      <c r="E842" s="36" t="str">
        <f>IF(Data!B832="","",IF(ISNUMBER(MATCH(Data!E832,Data_Val!$A$2:$A$3,0)),0,1))</f>
        <v/>
      </c>
      <c r="F842" s="36" t="str">
        <f ca="1">IF(Data!B832="","",IF(ISNUMBER(Data!F832),IF(AND(Data!F832&gt;(TODAY()-(Data_Val!$H$3*365.25)),Data!F832&lt;=(TODAY()-(Data_Val!$H$2*365.25))),0,1),1))</f>
        <v/>
      </c>
      <c r="G842" s="12" t="str">
        <f>IF(Data!B832="","",IF(AND(Data!G832="",Data!H832&lt;&gt;""),1,IF(ISNUMBER(MATCH(Data!G832,Data_Val!$C$2:$C$5,0)),0,1)))</f>
        <v/>
      </c>
      <c r="H842" s="12" t="str">
        <f>IF(Data!B832="","",IF(AND(Data!G832&lt;&gt;"",Data!H832=""),1,IF(Data!G832="",1,IF(ISNUMBER(MATCH(Data!H832,Data_Val!$D$2:$D$35,0)),0,1))))</f>
        <v/>
      </c>
      <c r="I842" s="38" t="str">
        <f>IF(Data!G832="","",IF(Data!G832=Data_Val!$C$2,IF(Data!I832="",0,1),0))</f>
        <v/>
      </c>
      <c r="J842" s="38" t="str">
        <f>IF(Data!I832="","",IF(ISNUMBER(MATCH(Data!J832,Data_Val!$A$2:$A$3,0)),0,1))</f>
        <v/>
      </c>
      <c r="K842" s="38" t="str">
        <f ca="1">IF(Data!I832="","",IF(ISNUMBER(Data!K832),IF(AND(Data!K832&gt;(TODAY()-(Data_Val!$K$3*365.25)),Data!K832&lt;=(TODAY()-(Data_Val!$K$2*365.25))),0,1),1))</f>
        <v/>
      </c>
      <c r="L842" s="16" t="str">
        <f>IF(Data!G832="","",IF(Data!G832=Data_Val!$C$2,IF(Data!L832="",0,1),0))</f>
        <v/>
      </c>
      <c r="M842" s="16" t="str">
        <f>IF(Data!L832="","",IF(ISNUMBER(MATCH(Data!M832,Data_Val!$A$2:$A$3,0)),0,1))</f>
        <v/>
      </c>
      <c r="N842" s="43" t="str">
        <f ca="1">IF(Data!L832="","",IF(ISNUMBER(Data!N832),IF(AND(Data!N832&gt;(TODAY()-(Data_Val!$L$3*365.25)),Data!N832&lt;=(TODAY()-(Data_Val!$L$2*365.25))),0,1),1))</f>
        <v/>
      </c>
      <c r="O842" s="18" t="str">
        <f>IF(Data!$G832="","",IF(Data!$G832=Data_Val!$C$2,IF(Data!O832="",0,1),0))</f>
        <v/>
      </c>
      <c r="P842" s="18" t="str">
        <f>IF(Data!O832="","",IF(ISNUMBER(MATCH(Data!P832,Data_Val!$A$2:$A$3,0)),0,1))</f>
        <v/>
      </c>
      <c r="Q842" s="44" t="str">
        <f ca="1">IF(Data!O832="","",IF(ISNUMBER(Data!Q832),IF(AND(Data!Q832&gt;(TODAY()-(Data_Val!$L$3*365.25)),Data!Q832&lt;=(TODAY()-(Data_Val!$L$2*365.25))),0,1),1))</f>
        <v/>
      </c>
    </row>
    <row r="843" spans="1:17" ht="12" customHeight="1" x14ac:dyDescent="0.25">
      <c r="A843" s="36" t="str">
        <f>IF(Data!B833="","",IF(COUNTIFS(Data!A$1:'Data'!A833,Data!A833)&lt;=1,0,1))</f>
        <v/>
      </c>
      <c r="B843" s="36"/>
      <c r="C843" s="36" t="str">
        <f>IF(Data!C833="","",(IF(ISNUMBER(MATCH("*@*.?*",Data!C833,0)),0,1)+IF(COUNTIFS(Data!C$1:'Data'!C833,Data!C833)&gt;1,1,0)))</f>
        <v/>
      </c>
      <c r="D843" s="36" t="str">
        <f>IF(Data!B833="","",IF(ISNUMBER(Data!D833),IF(AND(Data!D833&gt;999999999,Data!D833&lt;=9999999999),IF(COUNTIFS(Data!D$1:'Data'!D833,Data!D833)&lt;=1,0,1),1),1))</f>
        <v/>
      </c>
      <c r="E843" s="36" t="str">
        <f>IF(Data!B833="","",IF(ISNUMBER(MATCH(Data!E833,Data_Val!$A$2:$A$3,0)),0,1))</f>
        <v/>
      </c>
      <c r="F843" s="36" t="str">
        <f ca="1">IF(Data!B833="","",IF(ISNUMBER(Data!F833),IF(AND(Data!F833&gt;(TODAY()-(Data_Val!$H$3*365.25)),Data!F833&lt;=(TODAY()-(Data_Val!$H$2*365.25))),0,1),1))</f>
        <v/>
      </c>
      <c r="G843" s="12" t="str">
        <f>IF(Data!B833="","",IF(AND(Data!G833="",Data!H833&lt;&gt;""),1,IF(ISNUMBER(MATCH(Data!G833,Data_Val!$C$2:$C$5,0)),0,1)))</f>
        <v/>
      </c>
      <c r="H843" s="12" t="str">
        <f>IF(Data!B833="","",IF(AND(Data!G833&lt;&gt;"",Data!H833=""),1,IF(Data!G833="",1,IF(ISNUMBER(MATCH(Data!H833,Data_Val!$D$2:$D$35,0)),0,1))))</f>
        <v/>
      </c>
      <c r="I843" s="38" t="str">
        <f>IF(Data!G833="","",IF(Data!G833=Data_Val!$C$2,IF(Data!I833="",0,1),0))</f>
        <v/>
      </c>
      <c r="J843" s="38" t="str">
        <f>IF(Data!I833="","",IF(ISNUMBER(MATCH(Data!J833,Data_Val!$A$2:$A$3,0)),0,1))</f>
        <v/>
      </c>
      <c r="K843" s="38" t="str">
        <f ca="1">IF(Data!I833="","",IF(ISNUMBER(Data!K833),IF(AND(Data!K833&gt;(TODAY()-(Data_Val!$K$3*365.25)),Data!K833&lt;=(TODAY()-(Data_Val!$K$2*365.25))),0,1),1))</f>
        <v/>
      </c>
      <c r="L843" s="16" t="str">
        <f>IF(Data!G833="","",IF(Data!G833=Data_Val!$C$2,IF(Data!L833="",0,1),0))</f>
        <v/>
      </c>
      <c r="M843" s="16" t="str">
        <f>IF(Data!L833="","",IF(ISNUMBER(MATCH(Data!M833,Data_Val!$A$2:$A$3,0)),0,1))</f>
        <v/>
      </c>
      <c r="N843" s="43" t="str">
        <f ca="1">IF(Data!L833="","",IF(ISNUMBER(Data!N833),IF(AND(Data!N833&gt;(TODAY()-(Data_Val!$L$3*365.25)),Data!N833&lt;=(TODAY()-(Data_Val!$L$2*365.25))),0,1),1))</f>
        <v/>
      </c>
      <c r="O843" s="18" t="str">
        <f>IF(Data!$G833="","",IF(Data!$G833=Data_Val!$C$2,IF(Data!O833="",0,1),0))</f>
        <v/>
      </c>
      <c r="P843" s="18" t="str">
        <f>IF(Data!O833="","",IF(ISNUMBER(MATCH(Data!P833,Data_Val!$A$2:$A$3,0)),0,1))</f>
        <v/>
      </c>
      <c r="Q843" s="44" t="str">
        <f ca="1">IF(Data!O833="","",IF(ISNUMBER(Data!Q833),IF(AND(Data!Q833&gt;(TODAY()-(Data_Val!$L$3*365.25)),Data!Q833&lt;=(TODAY()-(Data_Val!$L$2*365.25))),0,1),1))</f>
        <v/>
      </c>
    </row>
    <row r="844" spans="1:17" ht="12" customHeight="1" x14ac:dyDescent="0.25">
      <c r="A844" s="36" t="str">
        <f>IF(Data!B834="","",IF(COUNTIFS(Data!A$1:'Data'!A834,Data!A834)&lt;=1,0,1))</f>
        <v/>
      </c>
      <c r="B844" s="36"/>
      <c r="C844" s="36" t="str">
        <f>IF(Data!C834="","",(IF(ISNUMBER(MATCH("*@*.?*",Data!C834,0)),0,1)+IF(COUNTIFS(Data!C$1:'Data'!C834,Data!C834)&gt;1,1,0)))</f>
        <v/>
      </c>
      <c r="D844" s="36" t="str">
        <f>IF(Data!B834="","",IF(ISNUMBER(Data!D834),IF(AND(Data!D834&gt;999999999,Data!D834&lt;=9999999999),IF(COUNTIFS(Data!D$1:'Data'!D834,Data!D834)&lt;=1,0,1),1),1))</f>
        <v/>
      </c>
      <c r="E844" s="36" t="str">
        <f>IF(Data!B834="","",IF(ISNUMBER(MATCH(Data!E834,Data_Val!$A$2:$A$3,0)),0,1))</f>
        <v/>
      </c>
      <c r="F844" s="36" t="str">
        <f ca="1">IF(Data!B834="","",IF(ISNUMBER(Data!F834),IF(AND(Data!F834&gt;(TODAY()-(Data_Val!$H$3*365.25)),Data!F834&lt;=(TODAY()-(Data_Val!$H$2*365.25))),0,1),1))</f>
        <v/>
      </c>
      <c r="G844" s="12" t="str">
        <f>IF(Data!B834="","",IF(AND(Data!G834="",Data!H834&lt;&gt;""),1,IF(ISNUMBER(MATCH(Data!G834,Data_Val!$C$2:$C$5,0)),0,1)))</f>
        <v/>
      </c>
      <c r="H844" s="12" t="str">
        <f>IF(Data!B834="","",IF(AND(Data!G834&lt;&gt;"",Data!H834=""),1,IF(Data!G834="",1,IF(ISNUMBER(MATCH(Data!H834,Data_Val!$D$2:$D$35,0)),0,1))))</f>
        <v/>
      </c>
      <c r="I844" s="38" t="str">
        <f>IF(Data!G834="","",IF(Data!G834=Data_Val!$C$2,IF(Data!I834="",0,1),0))</f>
        <v/>
      </c>
      <c r="J844" s="38" t="str">
        <f>IF(Data!I834="","",IF(ISNUMBER(MATCH(Data!J834,Data_Val!$A$2:$A$3,0)),0,1))</f>
        <v/>
      </c>
      <c r="K844" s="38" t="str">
        <f ca="1">IF(Data!I834="","",IF(ISNUMBER(Data!K834),IF(AND(Data!K834&gt;(TODAY()-(Data_Val!$K$3*365.25)),Data!K834&lt;=(TODAY()-(Data_Val!$K$2*365.25))),0,1),1))</f>
        <v/>
      </c>
      <c r="L844" s="16" t="str">
        <f>IF(Data!G834="","",IF(Data!G834=Data_Val!$C$2,IF(Data!L834="",0,1),0))</f>
        <v/>
      </c>
      <c r="M844" s="16" t="str">
        <f>IF(Data!L834="","",IF(ISNUMBER(MATCH(Data!M834,Data_Val!$A$2:$A$3,0)),0,1))</f>
        <v/>
      </c>
      <c r="N844" s="43" t="str">
        <f ca="1">IF(Data!L834="","",IF(ISNUMBER(Data!N834),IF(AND(Data!N834&gt;(TODAY()-(Data_Val!$L$3*365.25)),Data!N834&lt;=(TODAY()-(Data_Val!$L$2*365.25))),0,1),1))</f>
        <v/>
      </c>
      <c r="O844" s="18" t="str">
        <f>IF(Data!$G834="","",IF(Data!$G834=Data_Val!$C$2,IF(Data!O834="",0,1),0))</f>
        <v/>
      </c>
      <c r="P844" s="18" t="str">
        <f>IF(Data!O834="","",IF(ISNUMBER(MATCH(Data!P834,Data_Val!$A$2:$A$3,0)),0,1))</f>
        <v/>
      </c>
      <c r="Q844" s="44" t="str">
        <f ca="1">IF(Data!O834="","",IF(ISNUMBER(Data!Q834),IF(AND(Data!Q834&gt;(TODAY()-(Data_Val!$L$3*365.25)),Data!Q834&lt;=(TODAY()-(Data_Val!$L$2*365.25))),0,1),1))</f>
        <v/>
      </c>
    </row>
    <row r="845" spans="1:17" ht="12" customHeight="1" x14ac:dyDescent="0.25">
      <c r="A845" s="36" t="str">
        <f>IF(Data!B835="","",IF(COUNTIFS(Data!A$1:'Data'!A835,Data!A835)&lt;=1,0,1))</f>
        <v/>
      </c>
      <c r="B845" s="36"/>
      <c r="C845" s="36" t="str">
        <f>IF(Data!C835="","",(IF(ISNUMBER(MATCH("*@*.?*",Data!C835,0)),0,1)+IF(COUNTIFS(Data!C$1:'Data'!C835,Data!C835)&gt;1,1,0)))</f>
        <v/>
      </c>
      <c r="D845" s="36" t="str">
        <f>IF(Data!B835="","",IF(ISNUMBER(Data!D835),IF(AND(Data!D835&gt;999999999,Data!D835&lt;=9999999999),IF(COUNTIFS(Data!D$1:'Data'!D835,Data!D835)&lt;=1,0,1),1),1))</f>
        <v/>
      </c>
      <c r="E845" s="36" t="str">
        <f>IF(Data!B835="","",IF(ISNUMBER(MATCH(Data!E835,Data_Val!$A$2:$A$3,0)),0,1))</f>
        <v/>
      </c>
      <c r="F845" s="36" t="str">
        <f ca="1">IF(Data!B835="","",IF(ISNUMBER(Data!F835),IF(AND(Data!F835&gt;(TODAY()-(Data_Val!$H$3*365.25)),Data!F835&lt;=(TODAY()-(Data_Val!$H$2*365.25))),0,1),1))</f>
        <v/>
      </c>
      <c r="G845" s="12" t="str">
        <f>IF(Data!B835="","",IF(AND(Data!G835="",Data!H835&lt;&gt;""),1,IF(ISNUMBER(MATCH(Data!G835,Data_Val!$C$2:$C$5,0)),0,1)))</f>
        <v/>
      </c>
      <c r="H845" s="12" t="str">
        <f>IF(Data!B835="","",IF(AND(Data!G835&lt;&gt;"",Data!H835=""),1,IF(Data!G835="",1,IF(ISNUMBER(MATCH(Data!H835,Data_Val!$D$2:$D$35,0)),0,1))))</f>
        <v/>
      </c>
      <c r="I845" s="38" t="str">
        <f>IF(Data!G835="","",IF(Data!G835=Data_Val!$C$2,IF(Data!I835="",0,1),0))</f>
        <v/>
      </c>
      <c r="J845" s="38" t="str">
        <f>IF(Data!I835="","",IF(ISNUMBER(MATCH(Data!J835,Data_Val!$A$2:$A$3,0)),0,1))</f>
        <v/>
      </c>
      <c r="K845" s="38" t="str">
        <f ca="1">IF(Data!I835="","",IF(ISNUMBER(Data!K835),IF(AND(Data!K835&gt;(TODAY()-(Data_Val!$K$3*365.25)),Data!K835&lt;=(TODAY()-(Data_Val!$K$2*365.25))),0,1),1))</f>
        <v/>
      </c>
      <c r="L845" s="16" t="str">
        <f>IF(Data!G835="","",IF(Data!G835=Data_Val!$C$2,IF(Data!L835="",0,1),0))</f>
        <v/>
      </c>
      <c r="M845" s="16" t="str">
        <f>IF(Data!L835="","",IF(ISNUMBER(MATCH(Data!M835,Data_Val!$A$2:$A$3,0)),0,1))</f>
        <v/>
      </c>
      <c r="N845" s="43" t="str">
        <f ca="1">IF(Data!L835="","",IF(ISNUMBER(Data!N835),IF(AND(Data!N835&gt;(TODAY()-(Data_Val!$L$3*365.25)),Data!N835&lt;=(TODAY()-(Data_Val!$L$2*365.25))),0,1),1))</f>
        <v/>
      </c>
      <c r="O845" s="18" t="str">
        <f>IF(Data!$G835="","",IF(Data!$G835=Data_Val!$C$2,IF(Data!O835="",0,1),0))</f>
        <v/>
      </c>
      <c r="P845" s="18" t="str">
        <f>IF(Data!O835="","",IF(ISNUMBER(MATCH(Data!P835,Data_Val!$A$2:$A$3,0)),0,1))</f>
        <v/>
      </c>
      <c r="Q845" s="44" t="str">
        <f ca="1">IF(Data!O835="","",IF(ISNUMBER(Data!Q835),IF(AND(Data!Q835&gt;(TODAY()-(Data_Val!$L$3*365.25)),Data!Q835&lt;=(TODAY()-(Data_Val!$L$2*365.25))),0,1),1))</f>
        <v/>
      </c>
    </row>
    <row r="846" spans="1:17" ht="12" customHeight="1" x14ac:dyDescent="0.25">
      <c r="A846" s="36" t="str">
        <f>IF(Data!B836="","",IF(COUNTIFS(Data!A$1:'Data'!A836,Data!A836)&lt;=1,0,1))</f>
        <v/>
      </c>
      <c r="B846" s="36"/>
      <c r="C846" s="36" t="str">
        <f>IF(Data!C836="","",(IF(ISNUMBER(MATCH("*@*.?*",Data!C836,0)),0,1)+IF(COUNTIFS(Data!C$1:'Data'!C836,Data!C836)&gt;1,1,0)))</f>
        <v/>
      </c>
      <c r="D846" s="36" t="str">
        <f>IF(Data!B836="","",IF(ISNUMBER(Data!D836),IF(AND(Data!D836&gt;999999999,Data!D836&lt;=9999999999),IF(COUNTIFS(Data!D$1:'Data'!D836,Data!D836)&lt;=1,0,1),1),1))</f>
        <v/>
      </c>
      <c r="E846" s="36" t="str">
        <f>IF(Data!B836="","",IF(ISNUMBER(MATCH(Data!E836,Data_Val!$A$2:$A$3,0)),0,1))</f>
        <v/>
      </c>
      <c r="F846" s="36" t="str">
        <f ca="1">IF(Data!B836="","",IF(ISNUMBER(Data!F836),IF(AND(Data!F836&gt;(TODAY()-(Data_Val!$H$3*365.25)),Data!F836&lt;=(TODAY()-(Data_Val!$H$2*365.25))),0,1),1))</f>
        <v/>
      </c>
      <c r="G846" s="12" t="str">
        <f>IF(Data!B836="","",IF(AND(Data!G836="",Data!H836&lt;&gt;""),1,IF(ISNUMBER(MATCH(Data!G836,Data_Val!$C$2:$C$5,0)),0,1)))</f>
        <v/>
      </c>
      <c r="H846" s="12" t="str">
        <f>IF(Data!B836="","",IF(AND(Data!G836&lt;&gt;"",Data!H836=""),1,IF(Data!G836="",1,IF(ISNUMBER(MATCH(Data!H836,Data_Val!$D$2:$D$35,0)),0,1))))</f>
        <v/>
      </c>
      <c r="I846" s="38" t="str">
        <f>IF(Data!G836="","",IF(Data!G836=Data_Val!$C$2,IF(Data!I836="",0,1),0))</f>
        <v/>
      </c>
      <c r="J846" s="38" t="str">
        <f>IF(Data!I836="","",IF(ISNUMBER(MATCH(Data!J836,Data_Val!$A$2:$A$3,0)),0,1))</f>
        <v/>
      </c>
      <c r="K846" s="38" t="str">
        <f ca="1">IF(Data!I836="","",IF(ISNUMBER(Data!K836),IF(AND(Data!K836&gt;(TODAY()-(Data_Val!$K$3*365.25)),Data!K836&lt;=(TODAY()-(Data_Val!$K$2*365.25))),0,1),1))</f>
        <v/>
      </c>
      <c r="L846" s="16" t="str">
        <f>IF(Data!G836="","",IF(Data!G836=Data_Val!$C$2,IF(Data!L836="",0,1),0))</f>
        <v/>
      </c>
      <c r="M846" s="16" t="str">
        <f>IF(Data!L836="","",IF(ISNUMBER(MATCH(Data!M836,Data_Val!$A$2:$A$3,0)),0,1))</f>
        <v/>
      </c>
      <c r="N846" s="43" t="str">
        <f ca="1">IF(Data!L836="","",IF(ISNUMBER(Data!N836),IF(AND(Data!N836&gt;(TODAY()-(Data_Val!$L$3*365.25)),Data!N836&lt;=(TODAY()-(Data_Val!$L$2*365.25))),0,1),1))</f>
        <v/>
      </c>
      <c r="O846" s="18" t="str">
        <f>IF(Data!$G836="","",IF(Data!$G836=Data_Val!$C$2,IF(Data!O836="",0,1),0))</f>
        <v/>
      </c>
      <c r="P846" s="18" t="str">
        <f>IF(Data!O836="","",IF(ISNUMBER(MATCH(Data!P836,Data_Val!$A$2:$A$3,0)),0,1))</f>
        <v/>
      </c>
      <c r="Q846" s="44" t="str">
        <f ca="1">IF(Data!O836="","",IF(ISNUMBER(Data!Q836),IF(AND(Data!Q836&gt;(TODAY()-(Data_Val!$L$3*365.25)),Data!Q836&lt;=(TODAY()-(Data_Val!$L$2*365.25))),0,1),1))</f>
        <v/>
      </c>
    </row>
    <row r="847" spans="1:17" ht="12" customHeight="1" x14ac:dyDescent="0.25">
      <c r="A847" s="36" t="str">
        <f>IF(Data!B837="","",IF(COUNTIFS(Data!A$1:'Data'!A837,Data!A837)&lt;=1,0,1))</f>
        <v/>
      </c>
      <c r="B847" s="36"/>
      <c r="C847" s="36" t="str">
        <f>IF(Data!C837="","",(IF(ISNUMBER(MATCH("*@*.?*",Data!C837,0)),0,1)+IF(COUNTIFS(Data!C$1:'Data'!C837,Data!C837)&gt;1,1,0)))</f>
        <v/>
      </c>
      <c r="D847" s="36" t="str">
        <f>IF(Data!B837="","",IF(ISNUMBER(Data!D837),IF(AND(Data!D837&gt;999999999,Data!D837&lt;=9999999999),IF(COUNTIFS(Data!D$1:'Data'!D837,Data!D837)&lt;=1,0,1),1),1))</f>
        <v/>
      </c>
      <c r="E847" s="36" t="str">
        <f>IF(Data!B837="","",IF(ISNUMBER(MATCH(Data!E837,Data_Val!$A$2:$A$3,0)),0,1))</f>
        <v/>
      </c>
      <c r="F847" s="36" t="str">
        <f ca="1">IF(Data!B837="","",IF(ISNUMBER(Data!F837),IF(AND(Data!F837&gt;(TODAY()-(Data_Val!$H$3*365.25)),Data!F837&lt;=(TODAY()-(Data_Val!$H$2*365.25))),0,1),1))</f>
        <v/>
      </c>
      <c r="G847" s="12" t="str">
        <f>IF(Data!B837="","",IF(AND(Data!G837="",Data!H837&lt;&gt;""),1,IF(ISNUMBER(MATCH(Data!G837,Data_Val!$C$2:$C$5,0)),0,1)))</f>
        <v/>
      </c>
      <c r="H847" s="12" t="str">
        <f>IF(Data!B837="","",IF(AND(Data!G837&lt;&gt;"",Data!H837=""),1,IF(Data!G837="",1,IF(ISNUMBER(MATCH(Data!H837,Data_Val!$D$2:$D$35,0)),0,1))))</f>
        <v/>
      </c>
      <c r="I847" s="38" t="str">
        <f>IF(Data!G837="","",IF(Data!G837=Data_Val!$C$2,IF(Data!I837="",0,1),0))</f>
        <v/>
      </c>
      <c r="J847" s="38" t="str">
        <f>IF(Data!I837="","",IF(ISNUMBER(MATCH(Data!J837,Data_Val!$A$2:$A$3,0)),0,1))</f>
        <v/>
      </c>
      <c r="K847" s="38" t="str">
        <f ca="1">IF(Data!I837="","",IF(ISNUMBER(Data!K837),IF(AND(Data!K837&gt;(TODAY()-(Data_Val!$K$3*365.25)),Data!K837&lt;=(TODAY()-(Data_Val!$K$2*365.25))),0,1),1))</f>
        <v/>
      </c>
      <c r="L847" s="16" t="str">
        <f>IF(Data!G837="","",IF(Data!G837=Data_Val!$C$2,IF(Data!L837="",0,1),0))</f>
        <v/>
      </c>
      <c r="M847" s="16" t="str">
        <f>IF(Data!L837="","",IF(ISNUMBER(MATCH(Data!M837,Data_Val!$A$2:$A$3,0)),0,1))</f>
        <v/>
      </c>
      <c r="N847" s="43" t="str">
        <f ca="1">IF(Data!L837="","",IF(ISNUMBER(Data!N837),IF(AND(Data!N837&gt;(TODAY()-(Data_Val!$L$3*365.25)),Data!N837&lt;=(TODAY()-(Data_Val!$L$2*365.25))),0,1),1))</f>
        <v/>
      </c>
      <c r="O847" s="18" t="str">
        <f>IF(Data!$G837="","",IF(Data!$G837=Data_Val!$C$2,IF(Data!O837="",0,1),0))</f>
        <v/>
      </c>
      <c r="P847" s="18" t="str">
        <f>IF(Data!O837="","",IF(ISNUMBER(MATCH(Data!P837,Data_Val!$A$2:$A$3,0)),0,1))</f>
        <v/>
      </c>
      <c r="Q847" s="44" t="str">
        <f ca="1">IF(Data!O837="","",IF(ISNUMBER(Data!Q837),IF(AND(Data!Q837&gt;(TODAY()-(Data_Val!$L$3*365.25)),Data!Q837&lt;=(TODAY()-(Data_Val!$L$2*365.25))),0,1),1))</f>
        <v/>
      </c>
    </row>
    <row r="848" spans="1:17" ht="12" customHeight="1" x14ac:dyDescent="0.25">
      <c r="A848" s="36" t="str">
        <f>IF(Data!B838="","",IF(COUNTIFS(Data!A$1:'Data'!A838,Data!A838)&lt;=1,0,1))</f>
        <v/>
      </c>
      <c r="B848" s="36"/>
      <c r="C848" s="36" t="str">
        <f>IF(Data!C838="","",(IF(ISNUMBER(MATCH("*@*.?*",Data!C838,0)),0,1)+IF(COUNTIFS(Data!C$1:'Data'!C838,Data!C838)&gt;1,1,0)))</f>
        <v/>
      </c>
      <c r="D848" s="36" t="str">
        <f>IF(Data!B838="","",IF(ISNUMBER(Data!D838),IF(AND(Data!D838&gt;999999999,Data!D838&lt;=9999999999),IF(COUNTIFS(Data!D$1:'Data'!D838,Data!D838)&lt;=1,0,1),1),1))</f>
        <v/>
      </c>
      <c r="E848" s="36" t="str">
        <f>IF(Data!B838="","",IF(ISNUMBER(MATCH(Data!E838,Data_Val!$A$2:$A$3,0)),0,1))</f>
        <v/>
      </c>
      <c r="F848" s="36" t="str">
        <f ca="1">IF(Data!B838="","",IF(ISNUMBER(Data!F838),IF(AND(Data!F838&gt;(TODAY()-(Data_Val!$H$3*365.25)),Data!F838&lt;=(TODAY()-(Data_Val!$H$2*365.25))),0,1),1))</f>
        <v/>
      </c>
      <c r="G848" s="12" t="str">
        <f>IF(Data!B838="","",IF(AND(Data!G838="",Data!H838&lt;&gt;""),1,IF(ISNUMBER(MATCH(Data!G838,Data_Val!$C$2:$C$5,0)),0,1)))</f>
        <v/>
      </c>
      <c r="H848" s="12" t="str">
        <f>IF(Data!B838="","",IF(AND(Data!G838&lt;&gt;"",Data!H838=""),1,IF(Data!G838="",1,IF(ISNUMBER(MATCH(Data!H838,Data_Val!$D$2:$D$35,0)),0,1))))</f>
        <v/>
      </c>
      <c r="I848" s="38" t="str">
        <f>IF(Data!G838="","",IF(Data!G838=Data_Val!$C$2,IF(Data!I838="",0,1),0))</f>
        <v/>
      </c>
      <c r="J848" s="38" t="str">
        <f>IF(Data!I838="","",IF(ISNUMBER(MATCH(Data!J838,Data_Val!$A$2:$A$3,0)),0,1))</f>
        <v/>
      </c>
      <c r="K848" s="38" t="str">
        <f ca="1">IF(Data!I838="","",IF(ISNUMBER(Data!K838),IF(AND(Data!K838&gt;(TODAY()-(Data_Val!$K$3*365.25)),Data!K838&lt;=(TODAY()-(Data_Val!$K$2*365.25))),0,1),1))</f>
        <v/>
      </c>
      <c r="L848" s="16" t="str">
        <f>IF(Data!G838="","",IF(Data!G838=Data_Val!$C$2,IF(Data!L838="",0,1),0))</f>
        <v/>
      </c>
      <c r="M848" s="16" t="str">
        <f>IF(Data!L838="","",IF(ISNUMBER(MATCH(Data!M838,Data_Val!$A$2:$A$3,0)),0,1))</f>
        <v/>
      </c>
      <c r="N848" s="43" t="str">
        <f ca="1">IF(Data!L838="","",IF(ISNUMBER(Data!N838),IF(AND(Data!N838&gt;(TODAY()-(Data_Val!$L$3*365.25)),Data!N838&lt;=(TODAY()-(Data_Val!$L$2*365.25))),0,1),1))</f>
        <v/>
      </c>
      <c r="O848" s="18" t="str">
        <f>IF(Data!$G838="","",IF(Data!$G838=Data_Val!$C$2,IF(Data!O838="",0,1),0))</f>
        <v/>
      </c>
      <c r="P848" s="18" t="str">
        <f>IF(Data!O838="","",IF(ISNUMBER(MATCH(Data!P838,Data_Val!$A$2:$A$3,0)),0,1))</f>
        <v/>
      </c>
      <c r="Q848" s="44" t="str">
        <f ca="1">IF(Data!O838="","",IF(ISNUMBER(Data!Q838),IF(AND(Data!Q838&gt;(TODAY()-(Data_Val!$L$3*365.25)),Data!Q838&lt;=(TODAY()-(Data_Val!$L$2*365.25))),0,1),1))</f>
        <v/>
      </c>
    </row>
    <row r="849" spans="1:17" ht="12" customHeight="1" x14ac:dyDescent="0.25">
      <c r="A849" s="36" t="str">
        <f>IF(Data!B839="","",IF(COUNTIFS(Data!A$1:'Data'!A839,Data!A839)&lt;=1,0,1))</f>
        <v/>
      </c>
      <c r="B849" s="36"/>
      <c r="C849" s="36" t="str">
        <f>IF(Data!C839="","",(IF(ISNUMBER(MATCH("*@*.?*",Data!C839,0)),0,1)+IF(COUNTIFS(Data!C$1:'Data'!C839,Data!C839)&gt;1,1,0)))</f>
        <v/>
      </c>
      <c r="D849" s="36" t="str">
        <f>IF(Data!B839="","",IF(ISNUMBER(Data!D839),IF(AND(Data!D839&gt;999999999,Data!D839&lt;=9999999999),IF(COUNTIFS(Data!D$1:'Data'!D839,Data!D839)&lt;=1,0,1),1),1))</f>
        <v/>
      </c>
      <c r="E849" s="36" t="str">
        <f>IF(Data!B839="","",IF(ISNUMBER(MATCH(Data!E839,Data_Val!$A$2:$A$3,0)),0,1))</f>
        <v/>
      </c>
      <c r="F849" s="36" t="str">
        <f ca="1">IF(Data!B839="","",IF(ISNUMBER(Data!F839),IF(AND(Data!F839&gt;(TODAY()-(Data_Val!$H$3*365.25)),Data!F839&lt;=(TODAY()-(Data_Val!$H$2*365.25))),0,1),1))</f>
        <v/>
      </c>
      <c r="G849" s="12" t="str">
        <f>IF(Data!B839="","",IF(AND(Data!G839="",Data!H839&lt;&gt;""),1,IF(ISNUMBER(MATCH(Data!G839,Data_Val!$C$2:$C$5,0)),0,1)))</f>
        <v/>
      </c>
      <c r="H849" s="12" t="str">
        <f>IF(Data!B839="","",IF(AND(Data!G839&lt;&gt;"",Data!H839=""),1,IF(Data!G839="",1,IF(ISNUMBER(MATCH(Data!H839,Data_Val!$D$2:$D$35,0)),0,1))))</f>
        <v/>
      </c>
      <c r="I849" s="38" t="str">
        <f>IF(Data!G839="","",IF(Data!G839=Data_Val!$C$2,IF(Data!I839="",0,1),0))</f>
        <v/>
      </c>
      <c r="J849" s="38" t="str">
        <f>IF(Data!I839="","",IF(ISNUMBER(MATCH(Data!J839,Data_Val!$A$2:$A$3,0)),0,1))</f>
        <v/>
      </c>
      <c r="K849" s="38" t="str">
        <f ca="1">IF(Data!I839="","",IF(ISNUMBER(Data!K839),IF(AND(Data!K839&gt;(TODAY()-(Data_Val!$K$3*365.25)),Data!K839&lt;=(TODAY()-(Data_Val!$K$2*365.25))),0,1),1))</f>
        <v/>
      </c>
      <c r="L849" s="16" t="str">
        <f>IF(Data!G839="","",IF(Data!G839=Data_Val!$C$2,IF(Data!L839="",0,1),0))</f>
        <v/>
      </c>
      <c r="M849" s="16" t="str">
        <f>IF(Data!L839="","",IF(ISNUMBER(MATCH(Data!M839,Data_Val!$A$2:$A$3,0)),0,1))</f>
        <v/>
      </c>
      <c r="N849" s="43" t="str">
        <f ca="1">IF(Data!L839="","",IF(ISNUMBER(Data!N839),IF(AND(Data!N839&gt;(TODAY()-(Data_Val!$L$3*365.25)),Data!N839&lt;=(TODAY()-(Data_Val!$L$2*365.25))),0,1),1))</f>
        <v/>
      </c>
      <c r="O849" s="18" t="str">
        <f>IF(Data!$G839="","",IF(Data!$G839=Data_Val!$C$2,IF(Data!O839="",0,1),0))</f>
        <v/>
      </c>
      <c r="P849" s="18" t="str">
        <f>IF(Data!O839="","",IF(ISNUMBER(MATCH(Data!P839,Data_Val!$A$2:$A$3,0)),0,1))</f>
        <v/>
      </c>
      <c r="Q849" s="44" t="str">
        <f ca="1">IF(Data!O839="","",IF(ISNUMBER(Data!Q839),IF(AND(Data!Q839&gt;(TODAY()-(Data_Val!$L$3*365.25)),Data!Q839&lt;=(TODAY()-(Data_Val!$L$2*365.25))),0,1),1))</f>
        <v/>
      </c>
    </row>
    <row r="850" spans="1:17" ht="12" customHeight="1" x14ac:dyDescent="0.25">
      <c r="A850" s="36" t="str">
        <f>IF(Data!B840="","",IF(COUNTIFS(Data!A$1:'Data'!A840,Data!A840)&lt;=1,0,1))</f>
        <v/>
      </c>
      <c r="B850" s="36"/>
      <c r="C850" s="36" t="str">
        <f>IF(Data!C840="","",(IF(ISNUMBER(MATCH("*@*.?*",Data!C840,0)),0,1)+IF(COUNTIFS(Data!C$1:'Data'!C840,Data!C840)&gt;1,1,0)))</f>
        <v/>
      </c>
      <c r="D850" s="36" t="str">
        <f>IF(Data!B840="","",IF(ISNUMBER(Data!D840),IF(AND(Data!D840&gt;999999999,Data!D840&lt;=9999999999),IF(COUNTIFS(Data!D$1:'Data'!D840,Data!D840)&lt;=1,0,1),1),1))</f>
        <v/>
      </c>
      <c r="E850" s="36" t="str">
        <f>IF(Data!B840="","",IF(ISNUMBER(MATCH(Data!E840,Data_Val!$A$2:$A$3,0)),0,1))</f>
        <v/>
      </c>
      <c r="F850" s="36" t="str">
        <f ca="1">IF(Data!B840="","",IF(ISNUMBER(Data!F840),IF(AND(Data!F840&gt;(TODAY()-(Data_Val!$H$3*365.25)),Data!F840&lt;=(TODAY()-(Data_Val!$H$2*365.25))),0,1),1))</f>
        <v/>
      </c>
      <c r="G850" s="12" t="str">
        <f>IF(Data!B840="","",IF(AND(Data!G840="",Data!H840&lt;&gt;""),1,IF(ISNUMBER(MATCH(Data!G840,Data_Val!$C$2:$C$5,0)),0,1)))</f>
        <v/>
      </c>
      <c r="H850" s="12" t="str">
        <f>IF(Data!B840="","",IF(AND(Data!G840&lt;&gt;"",Data!H840=""),1,IF(Data!G840="",1,IF(ISNUMBER(MATCH(Data!H840,Data_Val!$D$2:$D$35,0)),0,1))))</f>
        <v/>
      </c>
      <c r="I850" s="38" t="str">
        <f>IF(Data!G840="","",IF(Data!G840=Data_Val!$C$2,IF(Data!I840="",0,1),0))</f>
        <v/>
      </c>
      <c r="J850" s="38" t="str">
        <f>IF(Data!I840="","",IF(ISNUMBER(MATCH(Data!J840,Data_Val!$A$2:$A$3,0)),0,1))</f>
        <v/>
      </c>
      <c r="K850" s="38" t="str">
        <f ca="1">IF(Data!I840="","",IF(ISNUMBER(Data!K840),IF(AND(Data!K840&gt;(TODAY()-(Data_Val!$K$3*365.25)),Data!K840&lt;=(TODAY()-(Data_Val!$K$2*365.25))),0,1),1))</f>
        <v/>
      </c>
      <c r="L850" s="16" t="str">
        <f>IF(Data!G840="","",IF(Data!G840=Data_Val!$C$2,IF(Data!L840="",0,1),0))</f>
        <v/>
      </c>
      <c r="M850" s="16" t="str">
        <f>IF(Data!L840="","",IF(ISNUMBER(MATCH(Data!M840,Data_Val!$A$2:$A$3,0)),0,1))</f>
        <v/>
      </c>
      <c r="N850" s="43" t="str">
        <f ca="1">IF(Data!L840="","",IF(ISNUMBER(Data!N840),IF(AND(Data!N840&gt;(TODAY()-(Data_Val!$L$3*365.25)),Data!N840&lt;=(TODAY()-(Data_Val!$L$2*365.25))),0,1),1))</f>
        <v/>
      </c>
      <c r="O850" s="18" t="str">
        <f>IF(Data!$G840="","",IF(Data!$G840=Data_Val!$C$2,IF(Data!O840="",0,1),0))</f>
        <v/>
      </c>
      <c r="P850" s="18" t="str">
        <f>IF(Data!O840="","",IF(ISNUMBER(MATCH(Data!P840,Data_Val!$A$2:$A$3,0)),0,1))</f>
        <v/>
      </c>
      <c r="Q850" s="44" t="str">
        <f ca="1">IF(Data!O840="","",IF(ISNUMBER(Data!Q840),IF(AND(Data!Q840&gt;(TODAY()-(Data_Val!$L$3*365.25)),Data!Q840&lt;=(TODAY()-(Data_Val!$L$2*365.25))),0,1),1))</f>
        <v/>
      </c>
    </row>
    <row r="851" spans="1:17" ht="12" customHeight="1" x14ac:dyDescent="0.25">
      <c r="A851" s="36" t="str">
        <f>IF(Data!B841="","",IF(COUNTIFS(Data!A$1:'Data'!A841,Data!A841)&lt;=1,0,1))</f>
        <v/>
      </c>
      <c r="B851" s="36"/>
      <c r="C851" s="36" t="str">
        <f>IF(Data!C841="","",(IF(ISNUMBER(MATCH("*@*.?*",Data!C841,0)),0,1)+IF(COUNTIFS(Data!C$1:'Data'!C841,Data!C841)&gt;1,1,0)))</f>
        <v/>
      </c>
      <c r="D851" s="36" t="str">
        <f>IF(Data!B841="","",IF(ISNUMBER(Data!D841),IF(AND(Data!D841&gt;999999999,Data!D841&lt;=9999999999),IF(COUNTIFS(Data!D$1:'Data'!D841,Data!D841)&lt;=1,0,1),1),1))</f>
        <v/>
      </c>
      <c r="E851" s="36" t="str">
        <f>IF(Data!B841="","",IF(ISNUMBER(MATCH(Data!E841,Data_Val!$A$2:$A$3,0)),0,1))</f>
        <v/>
      </c>
      <c r="F851" s="36" t="str">
        <f ca="1">IF(Data!B841="","",IF(ISNUMBER(Data!F841),IF(AND(Data!F841&gt;(TODAY()-(Data_Val!$H$3*365.25)),Data!F841&lt;=(TODAY()-(Data_Val!$H$2*365.25))),0,1),1))</f>
        <v/>
      </c>
      <c r="G851" s="12" t="str">
        <f>IF(Data!B841="","",IF(AND(Data!G841="",Data!H841&lt;&gt;""),1,IF(ISNUMBER(MATCH(Data!G841,Data_Val!$C$2:$C$5,0)),0,1)))</f>
        <v/>
      </c>
      <c r="H851" s="12" t="str">
        <f>IF(Data!B841="","",IF(AND(Data!G841&lt;&gt;"",Data!H841=""),1,IF(Data!G841="",1,IF(ISNUMBER(MATCH(Data!H841,Data_Val!$D$2:$D$35,0)),0,1))))</f>
        <v/>
      </c>
      <c r="I851" s="38" t="str">
        <f>IF(Data!G841="","",IF(Data!G841=Data_Val!$C$2,IF(Data!I841="",0,1),0))</f>
        <v/>
      </c>
      <c r="J851" s="38" t="str">
        <f>IF(Data!I841="","",IF(ISNUMBER(MATCH(Data!J841,Data_Val!$A$2:$A$3,0)),0,1))</f>
        <v/>
      </c>
      <c r="K851" s="38" t="str">
        <f ca="1">IF(Data!I841="","",IF(ISNUMBER(Data!K841),IF(AND(Data!K841&gt;(TODAY()-(Data_Val!$K$3*365.25)),Data!K841&lt;=(TODAY()-(Data_Val!$K$2*365.25))),0,1),1))</f>
        <v/>
      </c>
      <c r="L851" s="16" t="str">
        <f>IF(Data!G841="","",IF(Data!G841=Data_Val!$C$2,IF(Data!L841="",0,1),0))</f>
        <v/>
      </c>
      <c r="M851" s="16" t="str">
        <f>IF(Data!L841="","",IF(ISNUMBER(MATCH(Data!M841,Data_Val!$A$2:$A$3,0)),0,1))</f>
        <v/>
      </c>
      <c r="N851" s="43" t="str">
        <f ca="1">IF(Data!L841="","",IF(ISNUMBER(Data!N841),IF(AND(Data!N841&gt;(TODAY()-(Data_Val!$L$3*365.25)),Data!N841&lt;=(TODAY()-(Data_Val!$L$2*365.25))),0,1),1))</f>
        <v/>
      </c>
      <c r="O851" s="18" t="str">
        <f>IF(Data!$G841="","",IF(Data!$G841=Data_Val!$C$2,IF(Data!O841="",0,1),0))</f>
        <v/>
      </c>
      <c r="P851" s="18" t="str">
        <f>IF(Data!O841="","",IF(ISNUMBER(MATCH(Data!P841,Data_Val!$A$2:$A$3,0)),0,1))</f>
        <v/>
      </c>
      <c r="Q851" s="44" t="str">
        <f ca="1">IF(Data!O841="","",IF(ISNUMBER(Data!Q841),IF(AND(Data!Q841&gt;(TODAY()-(Data_Val!$L$3*365.25)),Data!Q841&lt;=(TODAY()-(Data_Val!$L$2*365.25))),0,1),1))</f>
        <v/>
      </c>
    </row>
    <row r="852" spans="1:17" ht="12" customHeight="1" x14ac:dyDescent="0.25">
      <c r="A852" s="36" t="str">
        <f>IF(Data!B842="","",IF(COUNTIFS(Data!A$1:'Data'!A842,Data!A842)&lt;=1,0,1))</f>
        <v/>
      </c>
      <c r="B852" s="36"/>
      <c r="C852" s="36" t="str">
        <f>IF(Data!C842="","",(IF(ISNUMBER(MATCH("*@*.?*",Data!C842,0)),0,1)+IF(COUNTIFS(Data!C$1:'Data'!C842,Data!C842)&gt;1,1,0)))</f>
        <v/>
      </c>
      <c r="D852" s="36" t="str">
        <f>IF(Data!B842="","",IF(ISNUMBER(Data!D842),IF(AND(Data!D842&gt;999999999,Data!D842&lt;=9999999999),IF(COUNTIFS(Data!D$1:'Data'!D842,Data!D842)&lt;=1,0,1),1),1))</f>
        <v/>
      </c>
      <c r="E852" s="36" t="str">
        <f>IF(Data!B842="","",IF(ISNUMBER(MATCH(Data!E842,Data_Val!$A$2:$A$3,0)),0,1))</f>
        <v/>
      </c>
      <c r="F852" s="36" t="str">
        <f ca="1">IF(Data!B842="","",IF(ISNUMBER(Data!F842),IF(AND(Data!F842&gt;(TODAY()-(Data_Val!$H$3*365.25)),Data!F842&lt;=(TODAY()-(Data_Val!$H$2*365.25))),0,1),1))</f>
        <v/>
      </c>
      <c r="G852" s="12" t="str">
        <f>IF(Data!B842="","",IF(AND(Data!G842="",Data!H842&lt;&gt;""),1,IF(ISNUMBER(MATCH(Data!G842,Data_Val!$C$2:$C$5,0)),0,1)))</f>
        <v/>
      </c>
      <c r="H852" s="12" t="str">
        <f>IF(Data!B842="","",IF(AND(Data!G842&lt;&gt;"",Data!H842=""),1,IF(Data!G842="",1,IF(ISNUMBER(MATCH(Data!H842,Data_Val!$D$2:$D$35,0)),0,1))))</f>
        <v/>
      </c>
      <c r="I852" s="38" t="str">
        <f>IF(Data!G842="","",IF(Data!G842=Data_Val!$C$2,IF(Data!I842="",0,1),0))</f>
        <v/>
      </c>
      <c r="J852" s="38" t="str">
        <f>IF(Data!I842="","",IF(ISNUMBER(MATCH(Data!J842,Data_Val!$A$2:$A$3,0)),0,1))</f>
        <v/>
      </c>
      <c r="K852" s="38" t="str">
        <f ca="1">IF(Data!I842="","",IF(ISNUMBER(Data!K842),IF(AND(Data!K842&gt;(TODAY()-(Data_Val!$K$3*365.25)),Data!K842&lt;=(TODAY()-(Data_Val!$K$2*365.25))),0,1),1))</f>
        <v/>
      </c>
      <c r="L852" s="16" t="str">
        <f>IF(Data!G842="","",IF(Data!G842=Data_Val!$C$2,IF(Data!L842="",0,1),0))</f>
        <v/>
      </c>
      <c r="M852" s="16" t="str">
        <f>IF(Data!L842="","",IF(ISNUMBER(MATCH(Data!M842,Data_Val!$A$2:$A$3,0)),0,1))</f>
        <v/>
      </c>
      <c r="N852" s="43" t="str">
        <f ca="1">IF(Data!L842="","",IF(ISNUMBER(Data!N842),IF(AND(Data!N842&gt;(TODAY()-(Data_Val!$L$3*365.25)),Data!N842&lt;=(TODAY()-(Data_Val!$L$2*365.25))),0,1),1))</f>
        <v/>
      </c>
      <c r="O852" s="18" t="str">
        <f>IF(Data!$G842="","",IF(Data!$G842=Data_Val!$C$2,IF(Data!O842="",0,1),0))</f>
        <v/>
      </c>
      <c r="P852" s="18" t="str">
        <f>IF(Data!O842="","",IF(ISNUMBER(MATCH(Data!P842,Data_Val!$A$2:$A$3,0)),0,1))</f>
        <v/>
      </c>
      <c r="Q852" s="44" t="str">
        <f ca="1">IF(Data!O842="","",IF(ISNUMBER(Data!Q842),IF(AND(Data!Q842&gt;(TODAY()-(Data_Val!$L$3*365.25)),Data!Q842&lt;=(TODAY()-(Data_Val!$L$2*365.25))),0,1),1))</f>
        <v/>
      </c>
    </row>
    <row r="853" spans="1:17" ht="12" customHeight="1" x14ac:dyDescent="0.25">
      <c r="A853" s="36" t="str">
        <f>IF(Data!B843="","",IF(COUNTIFS(Data!A$1:'Data'!A843,Data!A843)&lt;=1,0,1))</f>
        <v/>
      </c>
      <c r="B853" s="36"/>
      <c r="C853" s="36" t="str">
        <f>IF(Data!C843="","",(IF(ISNUMBER(MATCH("*@*.?*",Data!C843,0)),0,1)+IF(COUNTIFS(Data!C$1:'Data'!C843,Data!C843)&gt;1,1,0)))</f>
        <v/>
      </c>
      <c r="D853" s="36" t="str">
        <f>IF(Data!B843="","",IF(ISNUMBER(Data!D843),IF(AND(Data!D843&gt;999999999,Data!D843&lt;=9999999999),IF(COUNTIFS(Data!D$1:'Data'!D843,Data!D843)&lt;=1,0,1),1),1))</f>
        <v/>
      </c>
      <c r="E853" s="36" t="str">
        <f>IF(Data!B843="","",IF(ISNUMBER(MATCH(Data!E843,Data_Val!$A$2:$A$3,0)),0,1))</f>
        <v/>
      </c>
      <c r="F853" s="36" t="str">
        <f ca="1">IF(Data!B843="","",IF(ISNUMBER(Data!F843),IF(AND(Data!F843&gt;(TODAY()-(Data_Val!$H$3*365.25)),Data!F843&lt;=(TODAY()-(Data_Val!$H$2*365.25))),0,1),1))</f>
        <v/>
      </c>
      <c r="G853" s="12" t="str">
        <f>IF(Data!B843="","",IF(AND(Data!G843="",Data!H843&lt;&gt;""),1,IF(ISNUMBER(MATCH(Data!G843,Data_Val!$C$2:$C$5,0)),0,1)))</f>
        <v/>
      </c>
      <c r="H853" s="12" t="str">
        <f>IF(Data!B843="","",IF(AND(Data!G843&lt;&gt;"",Data!H843=""),1,IF(Data!G843="",1,IF(ISNUMBER(MATCH(Data!H843,Data_Val!$D$2:$D$35,0)),0,1))))</f>
        <v/>
      </c>
      <c r="I853" s="38" t="str">
        <f>IF(Data!G843="","",IF(Data!G843=Data_Val!$C$2,IF(Data!I843="",0,1),0))</f>
        <v/>
      </c>
      <c r="J853" s="38" t="str">
        <f>IF(Data!I843="","",IF(ISNUMBER(MATCH(Data!J843,Data_Val!$A$2:$A$3,0)),0,1))</f>
        <v/>
      </c>
      <c r="K853" s="38" t="str">
        <f ca="1">IF(Data!I843="","",IF(ISNUMBER(Data!K843),IF(AND(Data!K843&gt;(TODAY()-(Data_Val!$K$3*365.25)),Data!K843&lt;=(TODAY()-(Data_Val!$K$2*365.25))),0,1),1))</f>
        <v/>
      </c>
      <c r="L853" s="16" t="str">
        <f>IF(Data!G843="","",IF(Data!G843=Data_Val!$C$2,IF(Data!L843="",0,1),0))</f>
        <v/>
      </c>
      <c r="M853" s="16" t="str">
        <f>IF(Data!L843="","",IF(ISNUMBER(MATCH(Data!M843,Data_Val!$A$2:$A$3,0)),0,1))</f>
        <v/>
      </c>
      <c r="N853" s="43" t="str">
        <f ca="1">IF(Data!L843="","",IF(ISNUMBER(Data!N843),IF(AND(Data!N843&gt;(TODAY()-(Data_Val!$L$3*365.25)),Data!N843&lt;=(TODAY()-(Data_Val!$L$2*365.25))),0,1),1))</f>
        <v/>
      </c>
      <c r="O853" s="18" t="str">
        <f>IF(Data!$G843="","",IF(Data!$G843=Data_Val!$C$2,IF(Data!O843="",0,1),0))</f>
        <v/>
      </c>
      <c r="P853" s="18" t="str">
        <f>IF(Data!O843="","",IF(ISNUMBER(MATCH(Data!P843,Data_Val!$A$2:$A$3,0)),0,1))</f>
        <v/>
      </c>
      <c r="Q853" s="44" t="str">
        <f ca="1">IF(Data!O843="","",IF(ISNUMBER(Data!Q843),IF(AND(Data!Q843&gt;(TODAY()-(Data_Val!$L$3*365.25)),Data!Q843&lt;=(TODAY()-(Data_Val!$L$2*365.25))),0,1),1))</f>
        <v/>
      </c>
    </row>
    <row r="854" spans="1:17" ht="12" customHeight="1" x14ac:dyDescent="0.25">
      <c r="A854" s="36" t="str">
        <f>IF(Data!B844="","",IF(COUNTIFS(Data!A$1:'Data'!A844,Data!A844)&lt;=1,0,1))</f>
        <v/>
      </c>
      <c r="B854" s="36"/>
      <c r="C854" s="36" t="str">
        <f>IF(Data!C844="","",(IF(ISNUMBER(MATCH("*@*.?*",Data!C844,0)),0,1)+IF(COUNTIFS(Data!C$1:'Data'!C844,Data!C844)&gt;1,1,0)))</f>
        <v/>
      </c>
      <c r="D854" s="36" t="str">
        <f>IF(Data!B844="","",IF(ISNUMBER(Data!D844),IF(AND(Data!D844&gt;999999999,Data!D844&lt;=9999999999),IF(COUNTIFS(Data!D$1:'Data'!D844,Data!D844)&lt;=1,0,1),1),1))</f>
        <v/>
      </c>
      <c r="E854" s="36" t="str">
        <f>IF(Data!B844="","",IF(ISNUMBER(MATCH(Data!E844,Data_Val!$A$2:$A$3,0)),0,1))</f>
        <v/>
      </c>
      <c r="F854" s="36" t="str">
        <f ca="1">IF(Data!B844="","",IF(ISNUMBER(Data!F844),IF(AND(Data!F844&gt;(TODAY()-(Data_Val!$H$3*365.25)),Data!F844&lt;=(TODAY()-(Data_Val!$H$2*365.25))),0,1),1))</f>
        <v/>
      </c>
      <c r="G854" s="12" t="str">
        <f>IF(Data!B844="","",IF(AND(Data!G844="",Data!H844&lt;&gt;""),1,IF(ISNUMBER(MATCH(Data!G844,Data_Val!$C$2:$C$5,0)),0,1)))</f>
        <v/>
      </c>
      <c r="H854" s="12" t="str">
        <f>IF(Data!B844="","",IF(AND(Data!G844&lt;&gt;"",Data!H844=""),1,IF(Data!G844="",1,IF(ISNUMBER(MATCH(Data!H844,Data_Val!$D$2:$D$35,0)),0,1))))</f>
        <v/>
      </c>
      <c r="I854" s="38" t="str">
        <f>IF(Data!G844="","",IF(Data!G844=Data_Val!$C$2,IF(Data!I844="",0,1),0))</f>
        <v/>
      </c>
      <c r="J854" s="38" t="str">
        <f>IF(Data!I844="","",IF(ISNUMBER(MATCH(Data!J844,Data_Val!$A$2:$A$3,0)),0,1))</f>
        <v/>
      </c>
      <c r="K854" s="38" t="str">
        <f ca="1">IF(Data!I844="","",IF(ISNUMBER(Data!K844),IF(AND(Data!K844&gt;(TODAY()-(Data_Val!$K$3*365.25)),Data!K844&lt;=(TODAY()-(Data_Val!$K$2*365.25))),0,1),1))</f>
        <v/>
      </c>
      <c r="L854" s="16" t="str">
        <f>IF(Data!G844="","",IF(Data!G844=Data_Val!$C$2,IF(Data!L844="",0,1),0))</f>
        <v/>
      </c>
      <c r="M854" s="16" t="str">
        <f>IF(Data!L844="","",IF(ISNUMBER(MATCH(Data!M844,Data_Val!$A$2:$A$3,0)),0,1))</f>
        <v/>
      </c>
      <c r="N854" s="43" t="str">
        <f ca="1">IF(Data!L844="","",IF(ISNUMBER(Data!N844),IF(AND(Data!N844&gt;(TODAY()-(Data_Val!$L$3*365.25)),Data!N844&lt;=(TODAY()-(Data_Val!$L$2*365.25))),0,1),1))</f>
        <v/>
      </c>
      <c r="O854" s="18" t="str">
        <f>IF(Data!$G844="","",IF(Data!$G844=Data_Val!$C$2,IF(Data!O844="",0,1),0))</f>
        <v/>
      </c>
      <c r="P854" s="18" t="str">
        <f>IF(Data!O844="","",IF(ISNUMBER(MATCH(Data!P844,Data_Val!$A$2:$A$3,0)),0,1))</f>
        <v/>
      </c>
      <c r="Q854" s="44" t="str">
        <f ca="1">IF(Data!O844="","",IF(ISNUMBER(Data!Q844),IF(AND(Data!Q844&gt;(TODAY()-(Data_Val!$L$3*365.25)),Data!Q844&lt;=(TODAY()-(Data_Val!$L$2*365.25))),0,1),1))</f>
        <v/>
      </c>
    </row>
    <row r="855" spans="1:17" ht="12" customHeight="1" x14ac:dyDescent="0.25">
      <c r="A855" s="36" t="str">
        <f>IF(Data!B845="","",IF(COUNTIFS(Data!A$1:'Data'!A845,Data!A845)&lt;=1,0,1))</f>
        <v/>
      </c>
      <c r="B855" s="36"/>
      <c r="C855" s="36" t="str">
        <f>IF(Data!C845="","",(IF(ISNUMBER(MATCH("*@*.?*",Data!C845,0)),0,1)+IF(COUNTIFS(Data!C$1:'Data'!C845,Data!C845)&gt;1,1,0)))</f>
        <v/>
      </c>
      <c r="D855" s="36" t="str">
        <f>IF(Data!B845="","",IF(ISNUMBER(Data!D845),IF(AND(Data!D845&gt;999999999,Data!D845&lt;=9999999999),IF(COUNTIFS(Data!D$1:'Data'!D845,Data!D845)&lt;=1,0,1),1),1))</f>
        <v/>
      </c>
      <c r="E855" s="36" t="str">
        <f>IF(Data!B845="","",IF(ISNUMBER(MATCH(Data!E845,Data_Val!$A$2:$A$3,0)),0,1))</f>
        <v/>
      </c>
      <c r="F855" s="36" t="str">
        <f ca="1">IF(Data!B845="","",IF(ISNUMBER(Data!F845),IF(AND(Data!F845&gt;(TODAY()-(Data_Val!$H$3*365.25)),Data!F845&lt;=(TODAY()-(Data_Val!$H$2*365.25))),0,1),1))</f>
        <v/>
      </c>
      <c r="G855" s="12" t="str">
        <f>IF(Data!B845="","",IF(AND(Data!G845="",Data!H845&lt;&gt;""),1,IF(ISNUMBER(MATCH(Data!G845,Data_Val!$C$2:$C$5,0)),0,1)))</f>
        <v/>
      </c>
      <c r="H855" s="12" t="str">
        <f>IF(Data!B845="","",IF(AND(Data!G845&lt;&gt;"",Data!H845=""),1,IF(Data!G845="",1,IF(ISNUMBER(MATCH(Data!H845,Data_Val!$D$2:$D$35,0)),0,1))))</f>
        <v/>
      </c>
      <c r="I855" s="38" t="str">
        <f>IF(Data!G845="","",IF(Data!G845=Data_Val!$C$2,IF(Data!I845="",0,1),0))</f>
        <v/>
      </c>
      <c r="J855" s="38" t="str">
        <f>IF(Data!I845="","",IF(ISNUMBER(MATCH(Data!J845,Data_Val!$A$2:$A$3,0)),0,1))</f>
        <v/>
      </c>
      <c r="K855" s="38" t="str">
        <f ca="1">IF(Data!I845="","",IF(ISNUMBER(Data!K845),IF(AND(Data!K845&gt;(TODAY()-(Data_Val!$K$3*365.25)),Data!K845&lt;=(TODAY()-(Data_Val!$K$2*365.25))),0,1),1))</f>
        <v/>
      </c>
      <c r="L855" s="16" t="str">
        <f>IF(Data!G845="","",IF(Data!G845=Data_Val!$C$2,IF(Data!L845="",0,1),0))</f>
        <v/>
      </c>
      <c r="M855" s="16" t="str">
        <f>IF(Data!L845="","",IF(ISNUMBER(MATCH(Data!M845,Data_Val!$A$2:$A$3,0)),0,1))</f>
        <v/>
      </c>
      <c r="N855" s="43" t="str">
        <f ca="1">IF(Data!L845="","",IF(ISNUMBER(Data!N845),IF(AND(Data!N845&gt;(TODAY()-(Data_Val!$L$3*365.25)),Data!N845&lt;=(TODAY()-(Data_Val!$L$2*365.25))),0,1),1))</f>
        <v/>
      </c>
      <c r="O855" s="18" t="str">
        <f>IF(Data!$G845="","",IF(Data!$G845=Data_Val!$C$2,IF(Data!O845="",0,1),0))</f>
        <v/>
      </c>
      <c r="P855" s="18" t="str">
        <f>IF(Data!O845="","",IF(ISNUMBER(MATCH(Data!P845,Data_Val!$A$2:$A$3,0)),0,1))</f>
        <v/>
      </c>
      <c r="Q855" s="44" t="str">
        <f ca="1">IF(Data!O845="","",IF(ISNUMBER(Data!Q845),IF(AND(Data!Q845&gt;(TODAY()-(Data_Val!$L$3*365.25)),Data!Q845&lt;=(TODAY()-(Data_Val!$L$2*365.25))),0,1),1))</f>
        <v/>
      </c>
    </row>
    <row r="856" spans="1:17" ht="12" customHeight="1" x14ac:dyDescent="0.25">
      <c r="A856" s="36" t="str">
        <f>IF(Data!B846="","",IF(COUNTIFS(Data!A$1:'Data'!A846,Data!A846)&lt;=1,0,1))</f>
        <v/>
      </c>
      <c r="B856" s="36"/>
      <c r="C856" s="36" t="str">
        <f>IF(Data!C846="","",(IF(ISNUMBER(MATCH("*@*.?*",Data!C846,0)),0,1)+IF(COUNTIFS(Data!C$1:'Data'!C846,Data!C846)&gt;1,1,0)))</f>
        <v/>
      </c>
      <c r="D856" s="36" t="str">
        <f>IF(Data!B846="","",IF(ISNUMBER(Data!D846),IF(AND(Data!D846&gt;999999999,Data!D846&lt;=9999999999),IF(COUNTIFS(Data!D$1:'Data'!D846,Data!D846)&lt;=1,0,1),1),1))</f>
        <v/>
      </c>
      <c r="E856" s="36" t="str">
        <f>IF(Data!B846="","",IF(ISNUMBER(MATCH(Data!E846,Data_Val!$A$2:$A$3,0)),0,1))</f>
        <v/>
      </c>
      <c r="F856" s="36" t="str">
        <f ca="1">IF(Data!B846="","",IF(ISNUMBER(Data!F846),IF(AND(Data!F846&gt;(TODAY()-(Data_Val!$H$3*365.25)),Data!F846&lt;=(TODAY()-(Data_Val!$H$2*365.25))),0,1),1))</f>
        <v/>
      </c>
      <c r="G856" s="12" t="str">
        <f>IF(Data!B846="","",IF(AND(Data!G846="",Data!H846&lt;&gt;""),1,IF(ISNUMBER(MATCH(Data!G846,Data_Val!$C$2:$C$5,0)),0,1)))</f>
        <v/>
      </c>
      <c r="H856" s="12" t="str">
        <f>IF(Data!B846="","",IF(AND(Data!G846&lt;&gt;"",Data!H846=""),1,IF(Data!G846="",1,IF(ISNUMBER(MATCH(Data!H846,Data_Val!$D$2:$D$35,0)),0,1))))</f>
        <v/>
      </c>
      <c r="I856" s="38" t="str">
        <f>IF(Data!G846="","",IF(Data!G846=Data_Val!$C$2,IF(Data!I846="",0,1),0))</f>
        <v/>
      </c>
      <c r="J856" s="38" t="str">
        <f>IF(Data!I846="","",IF(ISNUMBER(MATCH(Data!J846,Data_Val!$A$2:$A$3,0)),0,1))</f>
        <v/>
      </c>
      <c r="K856" s="38" t="str">
        <f ca="1">IF(Data!I846="","",IF(ISNUMBER(Data!K846),IF(AND(Data!K846&gt;(TODAY()-(Data_Val!$K$3*365.25)),Data!K846&lt;=(TODAY()-(Data_Val!$K$2*365.25))),0,1),1))</f>
        <v/>
      </c>
      <c r="L856" s="16" t="str">
        <f>IF(Data!G846="","",IF(Data!G846=Data_Val!$C$2,IF(Data!L846="",0,1),0))</f>
        <v/>
      </c>
      <c r="M856" s="16" t="str">
        <f>IF(Data!L846="","",IF(ISNUMBER(MATCH(Data!M846,Data_Val!$A$2:$A$3,0)),0,1))</f>
        <v/>
      </c>
      <c r="N856" s="43" t="str">
        <f ca="1">IF(Data!L846="","",IF(ISNUMBER(Data!N846),IF(AND(Data!N846&gt;(TODAY()-(Data_Val!$L$3*365.25)),Data!N846&lt;=(TODAY()-(Data_Val!$L$2*365.25))),0,1),1))</f>
        <v/>
      </c>
      <c r="O856" s="18" t="str">
        <f>IF(Data!$G846="","",IF(Data!$G846=Data_Val!$C$2,IF(Data!O846="",0,1),0))</f>
        <v/>
      </c>
      <c r="P856" s="18" t="str">
        <f>IF(Data!O846="","",IF(ISNUMBER(MATCH(Data!P846,Data_Val!$A$2:$A$3,0)),0,1))</f>
        <v/>
      </c>
      <c r="Q856" s="44" t="str">
        <f ca="1">IF(Data!O846="","",IF(ISNUMBER(Data!Q846),IF(AND(Data!Q846&gt;(TODAY()-(Data_Val!$L$3*365.25)),Data!Q846&lt;=(TODAY()-(Data_Val!$L$2*365.25))),0,1),1))</f>
        <v/>
      </c>
    </row>
    <row r="857" spans="1:17" ht="12" customHeight="1" x14ac:dyDescent="0.25">
      <c r="A857" s="36" t="str">
        <f>IF(Data!B847="","",IF(COUNTIFS(Data!A$1:'Data'!A847,Data!A847)&lt;=1,0,1))</f>
        <v/>
      </c>
      <c r="B857" s="36"/>
      <c r="C857" s="36" t="str">
        <f>IF(Data!C847="","",(IF(ISNUMBER(MATCH("*@*.?*",Data!C847,0)),0,1)+IF(COUNTIFS(Data!C$1:'Data'!C847,Data!C847)&gt;1,1,0)))</f>
        <v/>
      </c>
      <c r="D857" s="36" t="str">
        <f>IF(Data!B847="","",IF(ISNUMBER(Data!D847),IF(AND(Data!D847&gt;999999999,Data!D847&lt;=9999999999),IF(COUNTIFS(Data!D$1:'Data'!D847,Data!D847)&lt;=1,0,1),1),1))</f>
        <v/>
      </c>
      <c r="E857" s="36" t="str">
        <f>IF(Data!B847="","",IF(ISNUMBER(MATCH(Data!E847,Data_Val!$A$2:$A$3,0)),0,1))</f>
        <v/>
      </c>
      <c r="F857" s="36" t="str">
        <f ca="1">IF(Data!B847="","",IF(ISNUMBER(Data!F847),IF(AND(Data!F847&gt;(TODAY()-(Data_Val!$H$3*365.25)),Data!F847&lt;=(TODAY()-(Data_Val!$H$2*365.25))),0,1),1))</f>
        <v/>
      </c>
      <c r="G857" s="12" t="str">
        <f>IF(Data!B847="","",IF(AND(Data!G847="",Data!H847&lt;&gt;""),1,IF(ISNUMBER(MATCH(Data!G847,Data_Val!$C$2:$C$5,0)),0,1)))</f>
        <v/>
      </c>
      <c r="H857" s="12" t="str">
        <f>IF(Data!B847="","",IF(AND(Data!G847&lt;&gt;"",Data!H847=""),1,IF(Data!G847="",1,IF(ISNUMBER(MATCH(Data!H847,Data_Val!$D$2:$D$35,0)),0,1))))</f>
        <v/>
      </c>
      <c r="I857" s="38" t="str">
        <f>IF(Data!G847="","",IF(Data!G847=Data_Val!$C$2,IF(Data!I847="",0,1),0))</f>
        <v/>
      </c>
      <c r="J857" s="38" t="str">
        <f>IF(Data!I847="","",IF(ISNUMBER(MATCH(Data!J847,Data_Val!$A$2:$A$3,0)),0,1))</f>
        <v/>
      </c>
      <c r="K857" s="38" t="str">
        <f ca="1">IF(Data!I847="","",IF(ISNUMBER(Data!K847),IF(AND(Data!K847&gt;(TODAY()-(Data_Val!$K$3*365.25)),Data!K847&lt;=(TODAY()-(Data_Val!$K$2*365.25))),0,1),1))</f>
        <v/>
      </c>
      <c r="L857" s="16" t="str">
        <f>IF(Data!G847="","",IF(Data!G847=Data_Val!$C$2,IF(Data!L847="",0,1),0))</f>
        <v/>
      </c>
      <c r="M857" s="16" t="str">
        <f>IF(Data!L847="","",IF(ISNUMBER(MATCH(Data!M847,Data_Val!$A$2:$A$3,0)),0,1))</f>
        <v/>
      </c>
      <c r="N857" s="43" t="str">
        <f ca="1">IF(Data!L847="","",IF(ISNUMBER(Data!N847),IF(AND(Data!N847&gt;(TODAY()-(Data_Val!$L$3*365.25)),Data!N847&lt;=(TODAY()-(Data_Val!$L$2*365.25))),0,1),1))</f>
        <v/>
      </c>
      <c r="O857" s="18" t="str">
        <f>IF(Data!$G847="","",IF(Data!$G847=Data_Val!$C$2,IF(Data!O847="",0,1),0))</f>
        <v/>
      </c>
      <c r="P857" s="18" t="str">
        <f>IF(Data!O847="","",IF(ISNUMBER(MATCH(Data!P847,Data_Val!$A$2:$A$3,0)),0,1))</f>
        <v/>
      </c>
      <c r="Q857" s="44" t="str">
        <f ca="1">IF(Data!O847="","",IF(ISNUMBER(Data!Q847),IF(AND(Data!Q847&gt;(TODAY()-(Data_Val!$L$3*365.25)),Data!Q847&lt;=(TODAY()-(Data_Val!$L$2*365.25))),0,1),1))</f>
        <v/>
      </c>
    </row>
    <row r="858" spans="1:17" ht="12" customHeight="1" x14ac:dyDescent="0.25">
      <c r="A858" s="36" t="str">
        <f>IF(Data!B848="","",IF(COUNTIFS(Data!A$1:'Data'!A848,Data!A848)&lt;=1,0,1))</f>
        <v/>
      </c>
      <c r="B858" s="36"/>
      <c r="C858" s="36" t="str">
        <f>IF(Data!C848="","",(IF(ISNUMBER(MATCH("*@*.?*",Data!C848,0)),0,1)+IF(COUNTIFS(Data!C$1:'Data'!C848,Data!C848)&gt;1,1,0)))</f>
        <v/>
      </c>
      <c r="D858" s="36" t="str">
        <f>IF(Data!B848="","",IF(ISNUMBER(Data!D848),IF(AND(Data!D848&gt;999999999,Data!D848&lt;=9999999999),IF(COUNTIFS(Data!D$1:'Data'!D848,Data!D848)&lt;=1,0,1),1),1))</f>
        <v/>
      </c>
      <c r="E858" s="36" t="str">
        <f>IF(Data!B848="","",IF(ISNUMBER(MATCH(Data!E848,Data_Val!$A$2:$A$3,0)),0,1))</f>
        <v/>
      </c>
      <c r="F858" s="36" t="str">
        <f ca="1">IF(Data!B848="","",IF(ISNUMBER(Data!F848),IF(AND(Data!F848&gt;(TODAY()-(Data_Val!$H$3*365.25)),Data!F848&lt;=(TODAY()-(Data_Val!$H$2*365.25))),0,1),1))</f>
        <v/>
      </c>
      <c r="G858" s="12" t="str">
        <f>IF(Data!B848="","",IF(AND(Data!G848="",Data!H848&lt;&gt;""),1,IF(ISNUMBER(MATCH(Data!G848,Data_Val!$C$2:$C$5,0)),0,1)))</f>
        <v/>
      </c>
      <c r="H858" s="12" t="str">
        <f>IF(Data!B848="","",IF(AND(Data!G848&lt;&gt;"",Data!H848=""),1,IF(Data!G848="",1,IF(ISNUMBER(MATCH(Data!H848,Data_Val!$D$2:$D$35,0)),0,1))))</f>
        <v/>
      </c>
      <c r="I858" s="38" t="str">
        <f>IF(Data!G848="","",IF(Data!G848=Data_Val!$C$2,IF(Data!I848="",0,1),0))</f>
        <v/>
      </c>
      <c r="J858" s="38" t="str">
        <f>IF(Data!I848="","",IF(ISNUMBER(MATCH(Data!J848,Data_Val!$A$2:$A$3,0)),0,1))</f>
        <v/>
      </c>
      <c r="K858" s="38" t="str">
        <f ca="1">IF(Data!I848="","",IF(ISNUMBER(Data!K848),IF(AND(Data!K848&gt;(TODAY()-(Data_Val!$K$3*365.25)),Data!K848&lt;=(TODAY()-(Data_Val!$K$2*365.25))),0,1),1))</f>
        <v/>
      </c>
      <c r="L858" s="16" t="str">
        <f>IF(Data!G848="","",IF(Data!G848=Data_Val!$C$2,IF(Data!L848="",0,1),0))</f>
        <v/>
      </c>
      <c r="M858" s="16" t="str">
        <f>IF(Data!L848="","",IF(ISNUMBER(MATCH(Data!M848,Data_Val!$A$2:$A$3,0)),0,1))</f>
        <v/>
      </c>
      <c r="N858" s="43" t="str">
        <f ca="1">IF(Data!L848="","",IF(ISNUMBER(Data!N848),IF(AND(Data!N848&gt;(TODAY()-(Data_Val!$L$3*365.25)),Data!N848&lt;=(TODAY()-(Data_Val!$L$2*365.25))),0,1),1))</f>
        <v/>
      </c>
      <c r="O858" s="18" t="str">
        <f>IF(Data!$G848="","",IF(Data!$G848=Data_Val!$C$2,IF(Data!O848="",0,1),0))</f>
        <v/>
      </c>
      <c r="P858" s="18" t="str">
        <f>IF(Data!O848="","",IF(ISNUMBER(MATCH(Data!P848,Data_Val!$A$2:$A$3,0)),0,1))</f>
        <v/>
      </c>
      <c r="Q858" s="44" t="str">
        <f ca="1">IF(Data!O848="","",IF(ISNUMBER(Data!Q848),IF(AND(Data!Q848&gt;(TODAY()-(Data_Val!$L$3*365.25)),Data!Q848&lt;=(TODAY()-(Data_Val!$L$2*365.25))),0,1),1))</f>
        <v/>
      </c>
    </row>
    <row r="859" spans="1:17" ht="12" customHeight="1" x14ac:dyDescent="0.25">
      <c r="A859" s="36" t="str">
        <f>IF(Data!B849="","",IF(COUNTIFS(Data!A$1:'Data'!A849,Data!A849)&lt;=1,0,1))</f>
        <v/>
      </c>
      <c r="B859" s="36"/>
      <c r="C859" s="36" t="str">
        <f>IF(Data!C849="","",(IF(ISNUMBER(MATCH("*@*.?*",Data!C849,0)),0,1)+IF(COUNTIFS(Data!C$1:'Data'!C849,Data!C849)&gt;1,1,0)))</f>
        <v/>
      </c>
      <c r="D859" s="36" t="str">
        <f>IF(Data!B849="","",IF(ISNUMBER(Data!D849),IF(AND(Data!D849&gt;999999999,Data!D849&lt;=9999999999),IF(COUNTIFS(Data!D$1:'Data'!D849,Data!D849)&lt;=1,0,1),1),1))</f>
        <v/>
      </c>
      <c r="E859" s="36" t="str">
        <f>IF(Data!B849="","",IF(ISNUMBER(MATCH(Data!E849,Data_Val!$A$2:$A$3,0)),0,1))</f>
        <v/>
      </c>
      <c r="F859" s="36" t="str">
        <f ca="1">IF(Data!B849="","",IF(ISNUMBER(Data!F849),IF(AND(Data!F849&gt;(TODAY()-(Data_Val!$H$3*365.25)),Data!F849&lt;=(TODAY()-(Data_Val!$H$2*365.25))),0,1),1))</f>
        <v/>
      </c>
      <c r="G859" s="12" t="str">
        <f>IF(Data!B849="","",IF(AND(Data!G849="",Data!H849&lt;&gt;""),1,IF(ISNUMBER(MATCH(Data!G849,Data_Val!$C$2:$C$5,0)),0,1)))</f>
        <v/>
      </c>
      <c r="H859" s="12" t="str">
        <f>IF(Data!B849="","",IF(AND(Data!G849&lt;&gt;"",Data!H849=""),1,IF(Data!G849="",1,IF(ISNUMBER(MATCH(Data!H849,Data_Val!$D$2:$D$35,0)),0,1))))</f>
        <v/>
      </c>
      <c r="I859" s="38" t="str">
        <f>IF(Data!G849="","",IF(Data!G849=Data_Val!$C$2,IF(Data!I849="",0,1),0))</f>
        <v/>
      </c>
      <c r="J859" s="38" t="str">
        <f>IF(Data!I849="","",IF(ISNUMBER(MATCH(Data!J849,Data_Val!$A$2:$A$3,0)),0,1))</f>
        <v/>
      </c>
      <c r="K859" s="38" t="str">
        <f ca="1">IF(Data!I849="","",IF(ISNUMBER(Data!K849),IF(AND(Data!K849&gt;(TODAY()-(Data_Val!$K$3*365.25)),Data!K849&lt;=(TODAY()-(Data_Val!$K$2*365.25))),0,1),1))</f>
        <v/>
      </c>
      <c r="L859" s="16" t="str">
        <f>IF(Data!G849="","",IF(Data!G849=Data_Val!$C$2,IF(Data!L849="",0,1),0))</f>
        <v/>
      </c>
      <c r="M859" s="16" t="str">
        <f>IF(Data!L849="","",IF(ISNUMBER(MATCH(Data!M849,Data_Val!$A$2:$A$3,0)),0,1))</f>
        <v/>
      </c>
      <c r="N859" s="43" t="str">
        <f ca="1">IF(Data!L849="","",IF(ISNUMBER(Data!N849),IF(AND(Data!N849&gt;(TODAY()-(Data_Val!$L$3*365.25)),Data!N849&lt;=(TODAY()-(Data_Val!$L$2*365.25))),0,1),1))</f>
        <v/>
      </c>
      <c r="O859" s="18" t="str">
        <f>IF(Data!$G849="","",IF(Data!$G849=Data_Val!$C$2,IF(Data!O849="",0,1),0))</f>
        <v/>
      </c>
      <c r="P859" s="18" t="str">
        <f>IF(Data!O849="","",IF(ISNUMBER(MATCH(Data!P849,Data_Val!$A$2:$A$3,0)),0,1))</f>
        <v/>
      </c>
      <c r="Q859" s="44" t="str">
        <f ca="1">IF(Data!O849="","",IF(ISNUMBER(Data!Q849),IF(AND(Data!Q849&gt;(TODAY()-(Data_Val!$L$3*365.25)),Data!Q849&lt;=(TODAY()-(Data_Val!$L$2*365.25))),0,1),1))</f>
        <v/>
      </c>
    </row>
    <row r="860" spans="1:17" ht="12" customHeight="1" x14ac:dyDescent="0.25">
      <c r="A860" s="36" t="str">
        <f>IF(Data!B850="","",IF(COUNTIFS(Data!A$1:'Data'!A850,Data!A850)&lt;=1,0,1))</f>
        <v/>
      </c>
      <c r="B860" s="36"/>
      <c r="C860" s="36" t="str">
        <f>IF(Data!C850="","",(IF(ISNUMBER(MATCH("*@*.?*",Data!C850,0)),0,1)+IF(COUNTIFS(Data!C$1:'Data'!C850,Data!C850)&gt;1,1,0)))</f>
        <v/>
      </c>
      <c r="D860" s="36" t="str">
        <f>IF(Data!B850="","",IF(ISNUMBER(Data!D850),IF(AND(Data!D850&gt;999999999,Data!D850&lt;=9999999999),IF(COUNTIFS(Data!D$1:'Data'!D850,Data!D850)&lt;=1,0,1),1),1))</f>
        <v/>
      </c>
      <c r="E860" s="36" t="str">
        <f>IF(Data!B850="","",IF(ISNUMBER(MATCH(Data!E850,Data_Val!$A$2:$A$3,0)),0,1))</f>
        <v/>
      </c>
      <c r="F860" s="36" t="str">
        <f ca="1">IF(Data!B850="","",IF(ISNUMBER(Data!F850),IF(AND(Data!F850&gt;(TODAY()-(Data_Val!$H$3*365.25)),Data!F850&lt;=(TODAY()-(Data_Val!$H$2*365.25))),0,1),1))</f>
        <v/>
      </c>
      <c r="G860" s="12" t="str">
        <f>IF(Data!B850="","",IF(AND(Data!G850="",Data!H850&lt;&gt;""),1,IF(ISNUMBER(MATCH(Data!G850,Data_Val!$C$2:$C$5,0)),0,1)))</f>
        <v/>
      </c>
      <c r="H860" s="12" t="str">
        <f>IF(Data!B850="","",IF(AND(Data!G850&lt;&gt;"",Data!H850=""),1,IF(Data!G850="",1,IF(ISNUMBER(MATCH(Data!H850,Data_Val!$D$2:$D$35,0)),0,1))))</f>
        <v/>
      </c>
      <c r="I860" s="38" t="str">
        <f>IF(Data!G850="","",IF(Data!G850=Data_Val!$C$2,IF(Data!I850="",0,1),0))</f>
        <v/>
      </c>
      <c r="J860" s="38" t="str">
        <f>IF(Data!I850="","",IF(ISNUMBER(MATCH(Data!J850,Data_Val!$A$2:$A$3,0)),0,1))</f>
        <v/>
      </c>
      <c r="K860" s="38" t="str">
        <f ca="1">IF(Data!I850="","",IF(ISNUMBER(Data!K850),IF(AND(Data!K850&gt;(TODAY()-(Data_Val!$K$3*365.25)),Data!K850&lt;=(TODAY()-(Data_Val!$K$2*365.25))),0,1),1))</f>
        <v/>
      </c>
      <c r="L860" s="16" t="str">
        <f>IF(Data!G850="","",IF(Data!G850=Data_Val!$C$2,IF(Data!L850="",0,1),0))</f>
        <v/>
      </c>
      <c r="M860" s="16" t="str">
        <f>IF(Data!L850="","",IF(ISNUMBER(MATCH(Data!M850,Data_Val!$A$2:$A$3,0)),0,1))</f>
        <v/>
      </c>
      <c r="N860" s="43" t="str">
        <f ca="1">IF(Data!L850="","",IF(ISNUMBER(Data!N850),IF(AND(Data!N850&gt;(TODAY()-(Data_Val!$L$3*365.25)),Data!N850&lt;=(TODAY()-(Data_Val!$L$2*365.25))),0,1),1))</f>
        <v/>
      </c>
      <c r="O860" s="18" t="str">
        <f>IF(Data!$G850="","",IF(Data!$G850=Data_Val!$C$2,IF(Data!O850="",0,1),0))</f>
        <v/>
      </c>
      <c r="P860" s="18" t="str">
        <f>IF(Data!O850="","",IF(ISNUMBER(MATCH(Data!P850,Data_Val!$A$2:$A$3,0)),0,1))</f>
        <v/>
      </c>
      <c r="Q860" s="44" t="str">
        <f ca="1">IF(Data!O850="","",IF(ISNUMBER(Data!Q850),IF(AND(Data!Q850&gt;(TODAY()-(Data_Val!$L$3*365.25)),Data!Q850&lt;=(TODAY()-(Data_Val!$L$2*365.25))),0,1),1))</f>
        <v/>
      </c>
    </row>
    <row r="861" spans="1:17" ht="12" customHeight="1" x14ac:dyDescent="0.25">
      <c r="A861" s="36" t="str">
        <f>IF(Data!B851="","",IF(COUNTIFS(Data!A$1:'Data'!A851,Data!A851)&lt;=1,0,1))</f>
        <v/>
      </c>
      <c r="B861" s="36"/>
      <c r="C861" s="36" t="str">
        <f>IF(Data!C851="","",(IF(ISNUMBER(MATCH("*@*.?*",Data!C851,0)),0,1)+IF(COUNTIFS(Data!C$1:'Data'!C851,Data!C851)&gt;1,1,0)))</f>
        <v/>
      </c>
      <c r="D861" s="36" t="str">
        <f>IF(Data!B851="","",IF(ISNUMBER(Data!D851),IF(AND(Data!D851&gt;999999999,Data!D851&lt;=9999999999),IF(COUNTIFS(Data!D$1:'Data'!D851,Data!D851)&lt;=1,0,1),1),1))</f>
        <v/>
      </c>
      <c r="E861" s="36" t="str">
        <f>IF(Data!B851="","",IF(ISNUMBER(MATCH(Data!E851,Data_Val!$A$2:$A$3,0)),0,1))</f>
        <v/>
      </c>
      <c r="F861" s="36" t="str">
        <f ca="1">IF(Data!B851="","",IF(ISNUMBER(Data!F851),IF(AND(Data!F851&gt;(TODAY()-(Data_Val!$H$3*365.25)),Data!F851&lt;=(TODAY()-(Data_Val!$H$2*365.25))),0,1),1))</f>
        <v/>
      </c>
      <c r="G861" s="12" t="str">
        <f>IF(Data!B851="","",IF(AND(Data!G851="",Data!H851&lt;&gt;""),1,IF(ISNUMBER(MATCH(Data!G851,Data_Val!$C$2:$C$5,0)),0,1)))</f>
        <v/>
      </c>
      <c r="H861" s="12" t="str">
        <f>IF(Data!B851="","",IF(AND(Data!G851&lt;&gt;"",Data!H851=""),1,IF(Data!G851="",1,IF(ISNUMBER(MATCH(Data!H851,Data_Val!$D$2:$D$35,0)),0,1))))</f>
        <v/>
      </c>
      <c r="I861" s="38" t="str">
        <f>IF(Data!G851="","",IF(Data!G851=Data_Val!$C$2,IF(Data!I851="",0,1),0))</f>
        <v/>
      </c>
      <c r="J861" s="38" t="str">
        <f>IF(Data!I851="","",IF(ISNUMBER(MATCH(Data!J851,Data_Val!$A$2:$A$3,0)),0,1))</f>
        <v/>
      </c>
      <c r="K861" s="38" t="str">
        <f ca="1">IF(Data!I851="","",IF(ISNUMBER(Data!K851),IF(AND(Data!K851&gt;(TODAY()-(Data_Val!$K$3*365.25)),Data!K851&lt;=(TODAY()-(Data_Val!$K$2*365.25))),0,1),1))</f>
        <v/>
      </c>
      <c r="L861" s="16" t="str">
        <f>IF(Data!G851="","",IF(Data!G851=Data_Val!$C$2,IF(Data!L851="",0,1),0))</f>
        <v/>
      </c>
      <c r="M861" s="16" t="str">
        <f>IF(Data!L851="","",IF(ISNUMBER(MATCH(Data!M851,Data_Val!$A$2:$A$3,0)),0,1))</f>
        <v/>
      </c>
      <c r="N861" s="43" t="str">
        <f ca="1">IF(Data!L851="","",IF(ISNUMBER(Data!N851),IF(AND(Data!N851&gt;(TODAY()-(Data_Val!$L$3*365.25)),Data!N851&lt;=(TODAY()-(Data_Val!$L$2*365.25))),0,1),1))</f>
        <v/>
      </c>
      <c r="O861" s="18" t="str">
        <f>IF(Data!$G851="","",IF(Data!$G851=Data_Val!$C$2,IF(Data!O851="",0,1),0))</f>
        <v/>
      </c>
      <c r="P861" s="18" t="str">
        <f>IF(Data!O851="","",IF(ISNUMBER(MATCH(Data!P851,Data_Val!$A$2:$A$3,0)),0,1))</f>
        <v/>
      </c>
      <c r="Q861" s="44" t="str">
        <f ca="1">IF(Data!O851="","",IF(ISNUMBER(Data!Q851),IF(AND(Data!Q851&gt;(TODAY()-(Data_Val!$L$3*365.25)),Data!Q851&lt;=(TODAY()-(Data_Val!$L$2*365.25))),0,1),1))</f>
        <v/>
      </c>
    </row>
    <row r="862" spans="1:17" ht="12" customHeight="1" x14ac:dyDescent="0.25">
      <c r="A862" s="36" t="str">
        <f>IF(Data!B852="","",IF(COUNTIFS(Data!A$1:'Data'!A852,Data!A852)&lt;=1,0,1))</f>
        <v/>
      </c>
      <c r="B862" s="36"/>
      <c r="C862" s="36" t="str">
        <f>IF(Data!C852="","",(IF(ISNUMBER(MATCH("*@*.?*",Data!C852,0)),0,1)+IF(COUNTIFS(Data!C$1:'Data'!C852,Data!C852)&gt;1,1,0)))</f>
        <v/>
      </c>
      <c r="D862" s="36" t="str">
        <f>IF(Data!B852="","",IF(ISNUMBER(Data!D852),IF(AND(Data!D852&gt;999999999,Data!D852&lt;=9999999999),IF(COUNTIFS(Data!D$1:'Data'!D852,Data!D852)&lt;=1,0,1),1),1))</f>
        <v/>
      </c>
      <c r="E862" s="36" t="str">
        <f>IF(Data!B852="","",IF(ISNUMBER(MATCH(Data!E852,Data_Val!$A$2:$A$3,0)),0,1))</f>
        <v/>
      </c>
      <c r="F862" s="36" t="str">
        <f ca="1">IF(Data!B852="","",IF(ISNUMBER(Data!F852),IF(AND(Data!F852&gt;(TODAY()-(Data_Val!$H$3*365.25)),Data!F852&lt;=(TODAY()-(Data_Val!$H$2*365.25))),0,1),1))</f>
        <v/>
      </c>
      <c r="G862" s="12" t="str">
        <f>IF(Data!B852="","",IF(AND(Data!G852="",Data!H852&lt;&gt;""),1,IF(ISNUMBER(MATCH(Data!G852,Data_Val!$C$2:$C$5,0)),0,1)))</f>
        <v/>
      </c>
      <c r="H862" s="12" t="str">
        <f>IF(Data!B852="","",IF(AND(Data!G852&lt;&gt;"",Data!H852=""),1,IF(Data!G852="",1,IF(ISNUMBER(MATCH(Data!H852,Data_Val!$D$2:$D$35,0)),0,1))))</f>
        <v/>
      </c>
      <c r="I862" s="38" t="str">
        <f>IF(Data!G852="","",IF(Data!G852=Data_Val!$C$2,IF(Data!I852="",0,1),0))</f>
        <v/>
      </c>
      <c r="J862" s="38" t="str">
        <f>IF(Data!I852="","",IF(ISNUMBER(MATCH(Data!J852,Data_Val!$A$2:$A$3,0)),0,1))</f>
        <v/>
      </c>
      <c r="K862" s="38" t="str">
        <f ca="1">IF(Data!I852="","",IF(ISNUMBER(Data!K852),IF(AND(Data!K852&gt;(TODAY()-(Data_Val!$K$3*365.25)),Data!K852&lt;=(TODAY()-(Data_Val!$K$2*365.25))),0,1),1))</f>
        <v/>
      </c>
      <c r="L862" s="16" t="str">
        <f>IF(Data!G852="","",IF(Data!G852=Data_Val!$C$2,IF(Data!L852="",0,1),0))</f>
        <v/>
      </c>
      <c r="M862" s="16" t="str">
        <f>IF(Data!L852="","",IF(ISNUMBER(MATCH(Data!M852,Data_Val!$A$2:$A$3,0)),0,1))</f>
        <v/>
      </c>
      <c r="N862" s="43" t="str">
        <f ca="1">IF(Data!L852="","",IF(ISNUMBER(Data!N852),IF(AND(Data!N852&gt;(TODAY()-(Data_Val!$L$3*365.25)),Data!N852&lt;=(TODAY()-(Data_Val!$L$2*365.25))),0,1),1))</f>
        <v/>
      </c>
      <c r="O862" s="18" t="str">
        <f>IF(Data!$G852="","",IF(Data!$G852=Data_Val!$C$2,IF(Data!O852="",0,1),0))</f>
        <v/>
      </c>
      <c r="P862" s="18" t="str">
        <f>IF(Data!O852="","",IF(ISNUMBER(MATCH(Data!P852,Data_Val!$A$2:$A$3,0)),0,1))</f>
        <v/>
      </c>
      <c r="Q862" s="44" t="str">
        <f ca="1">IF(Data!O852="","",IF(ISNUMBER(Data!Q852),IF(AND(Data!Q852&gt;(TODAY()-(Data_Val!$L$3*365.25)),Data!Q852&lt;=(TODAY()-(Data_Val!$L$2*365.25))),0,1),1))</f>
        <v/>
      </c>
    </row>
    <row r="863" spans="1:17" ht="12" customHeight="1" x14ac:dyDescent="0.25">
      <c r="A863" s="36" t="str">
        <f>IF(Data!B853="","",IF(COUNTIFS(Data!A$1:'Data'!A853,Data!A853)&lt;=1,0,1))</f>
        <v/>
      </c>
      <c r="B863" s="36"/>
      <c r="C863" s="36" t="str">
        <f>IF(Data!C853="","",(IF(ISNUMBER(MATCH("*@*.?*",Data!C853,0)),0,1)+IF(COUNTIFS(Data!C$1:'Data'!C853,Data!C853)&gt;1,1,0)))</f>
        <v/>
      </c>
      <c r="D863" s="36" t="str">
        <f>IF(Data!B853="","",IF(ISNUMBER(Data!D853),IF(AND(Data!D853&gt;999999999,Data!D853&lt;=9999999999),IF(COUNTIFS(Data!D$1:'Data'!D853,Data!D853)&lt;=1,0,1),1),1))</f>
        <v/>
      </c>
      <c r="E863" s="36" t="str">
        <f>IF(Data!B853="","",IF(ISNUMBER(MATCH(Data!E853,Data_Val!$A$2:$A$3,0)),0,1))</f>
        <v/>
      </c>
      <c r="F863" s="36" t="str">
        <f ca="1">IF(Data!B853="","",IF(ISNUMBER(Data!F853),IF(AND(Data!F853&gt;(TODAY()-(Data_Val!$H$3*365.25)),Data!F853&lt;=(TODAY()-(Data_Val!$H$2*365.25))),0,1),1))</f>
        <v/>
      </c>
      <c r="G863" s="12" t="str">
        <f>IF(Data!B853="","",IF(AND(Data!G853="",Data!H853&lt;&gt;""),1,IF(ISNUMBER(MATCH(Data!G853,Data_Val!$C$2:$C$5,0)),0,1)))</f>
        <v/>
      </c>
      <c r="H863" s="12" t="str">
        <f>IF(Data!B853="","",IF(AND(Data!G853&lt;&gt;"",Data!H853=""),1,IF(Data!G853="",1,IF(ISNUMBER(MATCH(Data!H853,Data_Val!$D$2:$D$35,0)),0,1))))</f>
        <v/>
      </c>
      <c r="I863" s="38" t="str">
        <f>IF(Data!G853="","",IF(Data!G853=Data_Val!$C$2,IF(Data!I853="",0,1),0))</f>
        <v/>
      </c>
      <c r="J863" s="38" t="str">
        <f>IF(Data!I853="","",IF(ISNUMBER(MATCH(Data!J853,Data_Val!$A$2:$A$3,0)),0,1))</f>
        <v/>
      </c>
      <c r="K863" s="38" t="str">
        <f ca="1">IF(Data!I853="","",IF(ISNUMBER(Data!K853),IF(AND(Data!K853&gt;(TODAY()-(Data_Val!$K$3*365.25)),Data!K853&lt;=(TODAY()-(Data_Val!$K$2*365.25))),0,1),1))</f>
        <v/>
      </c>
      <c r="L863" s="16" t="str">
        <f>IF(Data!G853="","",IF(Data!G853=Data_Val!$C$2,IF(Data!L853="",0,1),0))</f>
        <v/>
      </c>
      <c r="M863" s="16" t="str">
        <f>IF(Data!L853="","",IF(ISNUMBER(MATCH(Data!M853,Data_Val!$A$2:$A$3,0)),0,1))</f>
        <v/>
      </c>
      <c r="N863" s="43" t="str">
        <f ca="1">IF(Data!L853="","",IF(ISNUMBER(Data!N853),IF(AND(Data!N853&gt;(TODAY()-(Data_Val!$L$3*365.25)),Data!N853&lt;=(TODAY()-(Data_Val!$L$2*365.25))),0,1),1))</f>
        <v/>
      </c>
      <c r="O863" s="18" t="str">
        <f>IF(Data!$G853="","",IF(Data!$G853=Data_Val!$C$2,IF(Data!O853="",0,1),0))</f>
        <v/>
      </c>
      <c r="P863" s="18" t="str">
        <f>IF(Data!O853="","",IF(ISNUMBER(MATCH(Data!P853,Data_Val!$A$2:$A$3,0)),0,1))</f>
        <v/>
      </c>
      <c r="Q863" s="44" t="str">
        <f ca="1">IF(Data!O853="","",IF(ISNUMBER(Data!Q853),IF(AND(Data!Q853&gt;(TODAY()-(Data_Val!$L$3*365.25)),Data!Q853&lt;=(TODAY()-(Data_Val!$L$2*365.25))),0,1),1))</f>
        <v/>
      </c>
    </row>
    <row r="864" spans="1:17" ht="12" customHeight="1" x14ac:dyDescent="0.25">
      <c r="A864" s="36" t="str">
        <f>IF(Data!B854="","",IF(COUNTIFS(Data!A$1:'Data'!A854,Data!A854)&lt;=1,0,1))</f>
        <v/>
      </c>
      <c r="B864" s="36"/>
      <c r="C864" s="36" t="str">
        <f>IF(Data!C854="","",(IF(ISNUMBER(MATCH("*@*.?*",Data!C854,0)),0,1)+IF(COUNTIFS(Data!C$1:'Data'!C854,Data!C854)&gt;1,1,0)))</f>
        <v/>
      </c>
      <c r="D864" s="36" t="str">
        <f>IF(Data!B854="","",IF(ISNUMBER(Data!D854),IF(AND(Data!D854&gt;999999999,Data!D854&lt;=9999999999),IF(COUNTIFS(Data!D$1:'Data'!D854,Data!D854)&lt;=1,0,1),1),1))</f>
        <v/>
      </c>
      <c r="E864" s="36" t="str">
        <f>IF(Data!B854="","",IF(ISNUMBER(MATCH(Data!E854,Data_Val!$A$2:$A$3,0)),0,1))</f>
        <v/>
      </c>
      <c r="F864" s="36" t="str">
        <f ca="1">IF(Data!B854="","",IF(ISNUMBER(Data!F854),IF(AND(Data!F854&gt;(TODAY()-(Data_Val!$H$3*365.25)),Data!F854&lt;=(TODAY()-(Data_Val!$H$2*365.25))),0,1),1))</f>
        <v/>
      </c>
      <c r="G864" s="12" t="str">
        <f>IF(Data!B854="","",IF(AND(Data!G854="",Data!H854&lt;&gt;""),1,IF(ISNUMBER(MATCH(Data!G854,Data_Val!$C$2:$C$5,0)),0,1)))</f>
        <v/>
      </c>
      <c r="H864" s="12" t="str">
        <f>IF(Data!B854="","",IF(AND(Data!G854&lt;&gt;"",Data!H854=""),1,IF(Data!G854="",1,IF(ISNUMBER(MATCH(Data!H854,Data_Val!$D$2:$D$35,0)),0,1))))</f>
        <v/>
      </c>
      <c r="I864" s="38" t="str">
        <f>IF(Data!G854="","",IF(Data!G854=Data_Val!$C$2,IF(Data!I854="",0,1),0))</f>
        <v/>
      </c>
      <c r="J864" s="38" t="str">
        <f>IF(Data!I854="","",IF(ISNUMBER(MATCH(Data!J854,Data_Val!$A$2:$A$3,0)),0,1))</f>
        <v/>
      </c>
      <c r="K864" s="38" t="str">
        <f ca="1">IF(Data!I854="","",IF(ISNUMBER(Data!K854),IF(AND(Data!K854&gt;(TODAY()-(Data_Val!$K$3*365.25)),Data!K854&lt;=(TODAY()-(Data_Val!$K$2*365.25))),0,1),1))</f>
        <v/>
      </c>
      <c r="L864" s="16" t="str">
        <f>IF(Data!G854="","",IF(Data!G854=Data_Val!$C$2,IF(Data!L854="",0,1),0))</f>
        <v/>
      </c>
      <c r="M864" s="16" t="str">
        <f>IF(Data!L854="","",IF(ISNUMBER(MATCH(Data!M854,Data_Val!$A$2:$A$3,0)),0,1))</f>
        <v/>
      </c>
      <c r="N864" s="43" t="str">
        <f ca="1">IF(Data!L854="","",IF(ISNUMBER(Data!N854),IF(AND(Data!N854&gt;(TODAY()-(Data_Val!$L$3*365.25)),Data!N854&lt;=(TODAY()-(Data_Val!$L$2*365.25))),0,1),1))</f>
        <v/>
      </c>
      <c r="O864" s="18" t="str">
        <f>IF(Data!$G854="","",IF(Data!$G854=Data_Val!$C$2,IF(Data!O854="",0,1),0))</f>
        <v/>
      </c>
      <c r="P864" s="18" t="str">
        <f>IF(Data!O854="","",IF(ISNUMBER(MATCH(Data!P854,Data_Val!$A$2:$A$3,0)),0,1))</f>
        <v/>
      </c>
      <c r="Q864" s="44" t="str">
        <f ca="1">IF(Data!O854="","",IF(ISNUMBER(Data!Q854),IF(AND(Data!Q854&gt;(TODAY()-(Data_Val!$L$3*365.25)),Data!Q854&lt;=(TODAY()-(Data_Val!$L$2*365.25))),0,1),1))</f>
        <v/>
      </c>
    </row>
    <row r="865" spans="1:17" ht="12" customHeight="1" x14ac:dyDescent="0.25">
      <c r="A865" s="36" t="str">
        <f>IF(Data!B855="","",IF(COUNTIFS(Data!A$1:'Data'!A855,Data!A855)&lt;=1,0,1))</f>
        <v/>
      </c>
      <c r="B865" s="36"/>
      <c r="C865" s="36" t="str">
        <f>IF(Data!C855="","",(IF(ISNUMBER(MATCH("*@*.?*",Data!C855,0)),0,1)+IF(COUNTIFS(Data!C$1:'Data'!C855,Data!C855)&gt;1,1,0)))</f>
        <v/>
      </c>
      <c r="D865" s="36" t="str">
        <f>IF(Data!B855="","",IF(ISNUMBER(Data!D855),IF(AND(Data!D855&gt;999999999,Data!D855&lt;=9999999999),IF(COUNTIFS(Data!D$1:'Data'!D855,Data!D855)&lt;=1,0,1),1),1))</f>
        <v/>
      </c>
      <c r="E865" s="36" t="str">
        <f>IF(Data!B855="","",IF(ISNUMBER(MATCH(Data!E855,Data_Val!$A$2:$A$3,0)),0,1))</f>
        <v/>
      </c>
      <c r="F865" s="36" t="str">
        <f ca="1">IF(Data!B855="","",IF(ISNUMBER(Data!F855),IF(AND(Data!F855&gt;(TODAY()-(Data_Val!$H$3*365.25)),Data!F855&lt;=(TODAY()-(Data_Val!$H$2*365.25))),0,1),1))</f>
        <v/>
      </c>
      <c r="G865" s="12" t="str">
        <f>IF(Data!B855="","",IF(AND(Data!G855="",Data!H855&lt;&gt;""),1,IF(ISNUMBER(MATCH(Data!G855,Data_Val!$C$2:$C$5,0)),0,1)))</f>
        <v/>
      </c>
      <c r="H865" s="12" t="str">
        <f>IF(Data!B855="","",IF(AND(Data!G855&lt;&gt;"",Data!H855=""),1,IF(Data!G855="",1,IF(ISNUMBER(MATCH(Data!H855,Data_Val!$D$2:$D$35,0)),0,1))))</f>
        <v/>
      </c>
      <c r="I865" s="38" t="str">
        <f>IF(Data!G855="","",IF(Data!G855=Data_Val!$C$2,IF(Data!I855="",0,1),0))</f>
        <v/>
      </c>
      <c r="J865" s="38" t="str">
        <f>IF(Data!I855="","",IF(ISNUMBER(MATCH(Data!J855,Data_Val!$A$2:$A$3,0)),0,1))</f>
        <v/>
      </c>
      <c r="K865" s="38" t="str">
        <f ca="1">IF(Data!I855="","",IF(ISNUMBER(Data!K855),IF(AND(Data!K855&gt;(TODAY()-(Data_Val!$K$3*365.25)),Data!K855&lt;=(TODAY()-(Data_Val!$K$2*365.25))),0,1),1))</f>
        <v/>
      </c>
      <c r="L865" s="16" t="str">
        <f>IF(Data!G855="","",IF(Data!G855=Data_Val!$C$2,IF(Data!L855="",0,1),0))</f>
        <v/>
      </c>
      <c r="M865" s="16" t="str">
        <f>IF(Data!L855="","",IF(ISNUMBER(MATCH(Data!M855,Data_Val!$A$2:$A$3,0)),0,1))</f>
        <v/>
      </c>
      <c r="N865" s="43" t="str">
        <f ca="1">IF(Data!L855="","",IF(ISNUMBER(Data!N855),IF(AND(Data!N855&gt;(TODAY()-(Data_Val!$L$3*365.25)),Data!N855&lt;=(TODAY()-(Data_Val!$L$2*365.25))),0,1),1))</f>
        <v/>
      </c>
      <c r="O865" s="18" t="str">
        <f>IF(Data!$G855="","",IF(Data!$G855=Data_Val!$C$2,IF(Data!O855="",0,1),0))</f>
        <v/>
      </c>
      <c r="P865" s="18" t="str">
        <f>IF(Data!O855="","",IF(ISNUMBER(MATCH(Data!P855,Data_Val!$A$2:$A$3,0)),0,1))</f>
        <v/>
      </c>
      <c r="Q865" s="44" t="str">
        <f ca="1">IF(Data!O855="","",IF(ISNUMBER(Data!Q855),IF(AND(Data!Q855&gt;(TODAY()-(Data_Val!$L$3*365.25)),Data!Q855&lt;=(TODAY()-(Data_Val!$L$2*365.25))),0,1),1))</f>
        <v/>
      </c>
    </row>
    <row r="866" spans="1:17" ht="12" customHeight="1" x14ac:dyDescent="0.25">
      <c r="A866" s="36" t="str">
        <f>IF(Data!B856="","",IF(COUNTIFS(Data!A$1:'Data'!A856,Data!A856)&lt;=1,0,1))</f>
        <v/>
      </c>
      <c r="B866" s="36"/>
      <c r="C866" s="36" t="str">
        <f>IF(Data!C856="","",(IF(ISNUMBER(MATCH("*@*.?*",Data!C856,0)),0,1)+IF(COUNTIFS(Data!C$1:'Data'!C856,Data!C856)&gt;1,1,0)))</f>
        <v/>
      </c>
      <c r="D866" s="36" t="str">
        <f>IF(Data!B856="","",IF(ISNUMBER(Data!D856),IF(AND(Data!D856&gt;999999999,Data!D856&lt;=9999999999),IF(COUNTIFS(Data!D$1:'Data'!D856,Data!D856)&lt;=1,0,1),1),1))</f>
        <v/>
      </c>
      <c r="E866" s="36" t="str">
        <f>IF(Data!B856="","",IF(ISNUMBER(MATCH(Data!E856,Data_Val!$A$2:$A$3,0)),0,1))</f>
        <v/>
      </c>
      <c r="F866" s="36" t="str">
        <f ca="1">IF(Data!B856="","",IF(ISNUMBER(Data!F856),IF(AND(Data!F856&gt;(TODAY()-(Data_Val!$H$3*365.25)),Data!F856&lt;=(TODAY()-(Data_Val!$H$2*365.25))),0,1),1))</f>
        <v/>
      </c>
      <c r="G866" s="12" t="str">
        <f>IF(Data!B856="","",IF(AND(Data!G856="",Data!H856&lt;&gt;""),1,IF(ISNUMBER(MATCH(Data!G856,Data_Val!$C$2:$C$5,0)),0,1)))</f>
        <v/>
      </c>
      <c r="H866" s="12" t="str">
        <f>IF(Data!B856="","",IF(AND(Data!G856&lt;&gt;"",Data!H856=""),1,IF(Data!G856="",1,IF(ISNUMBER(MATCH(Data!H856,Data_Val!$D$2:$D$35,0)),0,1))))</f>
        <v/>
      </c>
      <c r="I866" s="38" t="str">
        <f>IF(Data!G856="","",IF(Data!G856=Data_Val!$C$2,IF(Data!I856="",0,1),0))</f>
        <v/>
      </c>
      <c r="J866" s="38" t="str">
        <f>IF(Data!I856="","",IF(ISNUMBER(MATCH(Data!J856,Data_Val!$A$2:$A$3,0)),0,1))</f>
        <v/>
      </c>
      <c r="K866" s="38" t="str">
        <f ca="1">IF(Data!I856="","",IF(ISNUMBER(Data!K856),IF(AND(Data!K856&gt;(TODAY()-(Data_Val!$K$3*365.25)),Data!K856&lt;=(TODAY()-(Data_Val!$K$2*365.25))),0,1),1))</f>
        <v/>
      </c>
      <c r="L866" s="16" t="str">
        <f>IF(Data!G856="","",IF(Data!G856=Data_Val!$C$2,IF(Data!L856="",0,1),0))</f>
        <v/>
      </c>
      <c r="M866" s="16" t="str">
        <f>IF(Data!L856="","",IF(ISNUMBER(MATCH(Data!M856,Data_Val!$A$2:$A$3,0)),0,1))</f>
        <v/>
      </c>
      <c r="N866" s="43" t="str">
        <f ca="1">IF(Data!L856="","",IF(ISNUMBER(Data!N856),IF(AND(Data!N856&gt;(TODAY()-(Data_Val!$L$3*365.25)),Data!N856&lt;=(TODAY()-(Data_Val!$L$2*365.25))),0,1),1))</f>
        <v/>
      </c>
      <c r="O866" s="18" t="str">
        <f>IF(Data!$G856="","",IF(Data!$G856=Data_Val!$C$2,IF(Data!O856="",0,1),0))</f>
        <v/>
      </c>
      <c r="P866" s="18" t="str">
        <f>IF(Data!O856="","",IF(ISNUMBER(MATCH(Data!P856,Data_Val!$A$2:$A$3,0)),0,1))</f>
        <v/>
      </c>
      <c r="Q866" s="44" t="str">
        <f ca="1">IF(Data!O856="","",IF(ISNUMBER(Data!Q856),IF(AND(Data!Q856&gt;(TODAY()-(Data_Val!$L$3*365.25)),Data!Q856&lt;=(TODAY()-(Data_Val!$L$2*365.25))),0,1),1))</f>
        <v/>
      </c>
    </row>
    <row r="867" spans="1:17" ht="12" customHeight="1" x14ac:dyDescent="0.25">
      <c r="A867" s="36" t="str">
        <f>IF(Data!B857="","",IF(COUNTIFS(Data!A$1:'Data'!A857,Data!A857)&lt;=1,0,1))</f>
        <v/>
      </c>
      <c r="B867" s="36"/>
      <c r="C867" s="36" t="str">
        <f>IF(Data!C857="","",(IF(ISNUMBER(MATCH("*@*.?*",Data!C857,0)),0,1)+IF(COUNTIFS(Data!C$1:'Data'!C857,Data!C857)&gt;1,1,0)))</f>
        <v/>
      </c>
      <c r="D867" s="36" t="str">
        <f>IF(Data!B857="","",IF(ISNUMBER(Data!D857),IF(AND(Data!D857&gt;999999999,Data!D857&lt;=9999999999),IF(COUNTIFS(Data!D$1:'Data'!D857,Data!D857)&lt;=1,0,1),1),1))</f>
        <v/>
      </c>
      <c r="E867" s="36" t="str">
        <f>IF(Data!B857="","",IF(ISNUMBER(MATCH(Data!E857,Data_Val!$A$2:$A$3,0)),0,1))</f>
        <v/>
      </c>
      <c r="F867" s="36" t="str">
        <f ca="1">IF(Data!B857="","",IF(ISNUMBER(Data!F857),IF(AND(Data!F857&gt;(TODAY()-(Data_Val!$H$3*365.25)),Data!F857&lt;=(TODAY()-(Data_Val!$H$2*365.25))),0,1),1))</f>
        <v/>
      </c>
      <c r="G867" s="12" t="str">
        <f>IF(Data!B857="","",IF(AND(Data!G857="",Data!H857&lt;&gt;""),1,IF(ISNUMBER(MATCH(Data!G857,Data_Val!$C$2:$C$5,0)),0,1)))</f>
        <v/>
      </c>
      <c r="H867" s="12" t="str">
        <f>IF(Data!B857="","",IF(AND(Data!G857&lt;&gt;"",Data!H857=""),1,IF(Data!G857="",1,IF(ISNUMBER(MATCH(Data!H857,Data_Val!$D$2:$D$35,0)),0,1))))</f>
        <v/>
      </c>
      <c r="I867" s="38" t="str">
        <f>IF(Data!G857="","",IF(Data!G857=Data_Val!$C$2,IF(Data!I857="",0,1),0))</f>
        <v/>
      </c>
      <c r="J867" s="38" t="str">
        <f>IF(Data!I857="","",IF(ISNUMBER(MATCH(Data!J857,Data_Val!$A$2:$A$3,0)),0,1))</f>
        <v/>
      </c>
      <c r="K867" s="38" t="str">
        <f ca="1">IF(Data!I857="","",IF(ISNUMBER(Data!K857),IF(AND(Data!K857&gt;(TODAY()-(Data_Val!$K$3*365.25)),Data!K857&lt;=(TODAY()-(Data_Val!$K$2*365.25))),0,1),1))</f>
        <v/>
      </c>
      <c r="L867" s="16" t="str">
        <f>IF(Data!G857="","",IF(Data!G857=Data_Val!$C$2,IF(Data!L857="",0,1),0))</f>
        <v/>
      </c>
      <c r="M867" s="16" t="str">
        <f>IF(Data!L857="","",IF(ISNUMBER(MATCH(Data!M857,Data_Val!$A$2:$A$3,0)),0,1))</f>
        <v/>
      </c>
      <c r="N867" s="43" t="str">
        <f ca="1">IF(Data!L857="","",IF(ISNUMBER(Data!N857),IF(AND(Data!N857&gt;(TODAY()-(Data_Val!$L$3*365.25)),Data!N857&lt;=(TODAY()-(Data_Val!$L$2*365.25))),0,1),1))</f>
        <v/>
      </c>
      <c r="O867" s="18" t="str">
        <f>IF(Data!$G857="","",IF(Data!$G857=Data_Val!$C$2,IF(Data!O857="",0,1),0))</f>
        <v/>
      </c>
      <c r="P867" s="18" t="str">
        <f>IF(Data!O857="","",IF(ISNUMBER(MATCH(Data!P857,Data_Val!$A$2:$A$3,0)),0,1))</f>
        <v/>
      </c>
      <c r="Q867" s="44" t="str">
        <f ca="1">IF(Data!O857="","",IF(ISNUMBER(Data!Q857),IF(AND(Data!Q857&gt;(TODAY()-(Data_Val!$L$3*365.25)),Data!Q857&lt;=(TODAY()-(Data_Val!$L$2*365.25))),0,1),1))</f>
        <v/>
      </c>
    </row>
    <row r="868" spans="1:17" ht="12" customHeight="1" x14ac:dyDescent="0.25">
      <c r="A868" s="36" t="str">
        <f>IF(Data!B858="","",IF(COUNTIFS(Data!A$1:'Data'!A858,Data!A858)&lt;=1,0,1))</f>
        <v/>
      </c>
      <c r="B868" s="36"/>
      <c r="C868" s="36" t="str">
        <f>IF(Data!C858="","",(IF(ISNUMBER(MATCH("*@*.?*",Data!C858,0)),0,1)+IF(COUNTIFS(Data!C$1:'Data'!C858,Data!C858)&gt;1,1,0)))</f>
        <v/>
      </c>
      <c r="D868" s="36" t="str">
        <f>IF(Data!B858="","",IF(ISNUMBER(Data!D858),IF(AND(Data!D858&gt;999999999,Data!D858&lt;=9999999999),IF(COUNTIFS(Data!D$1:'Data'!D858,Data!D858)&lt;=1,0,1),1),1))</f>
        <v/>
      </c>
      <c r="E868" s="36" t="str">
        <f>IF(Data!B858="","",IF(ISNUMBER(MATCH(Data!E858,Data_Val!$A$2:$A$3,0)),0,1))</f>
        <v/>
      </c>
      <c r="F868" s="36" t="str">
        <f ca="1">IF(Data!B858="","",IF(ISNUMBER(Data!F858),IF(AND(Data!F858&gt;(TODAY()-(Data_Val!$H$3*365.25)),Data!F858&lt;=(TODAY()-(Data_Val!$H$2*365.25))),0,1),1))</f>
        <v/>
      </c>
      <c r="G868" s="12" t="str">
        <f>IF(Data!B858="","",IF(AND(Data!G858="",Data!H858&lt;&gt;""),1,IF(ISNUMBER(MATCH(Data!G858,Data_Val!$C$2:$C$5,0)),0,1)))</f>
        <v/>
      </c>
      <c r="H868" s="12" t="str">
        <f>IF(Data!B858="","",IF(AND(Data!G858&lt;&gt;"",Data!H858=""),1,IF(Data!G858="",1,IF(ISNUMBER(MATCH(Data!H858,Data_Val!$D$2:$D$35,0)),0,1))))</f>
        <v/>
      </c>
      <c r="I868" s="38" t="str">
        <f>IF(Data!G858="","",IF(Data!G858=Data_Val!$C$2,IF(Data!I858="",0,1),0))</f>
        <v/>
      </c>
      <c r="J868" s="38" t="str">
        <f>IF(Data!I858="","",IF(ISNUMBER(MATCH(Data!J858,Data_Val!$A$2:$A$3,0)),0,1))</f>
        <v/>
      </c>
      <c r="K868" s="38" t="str">
        <f ca="1">IF(Data!I858="","",IF(ISNUMBER(Data!K858),IF(AND(Data!K858&gt;(TODAY()-(Data_Val!$K$3*365.25)),Data!K858&lt;=(TODAY()-(Data_Val!$K$2*365.25))),0,1),1))</f>
        <v/>
      </c>
      <c r="L868" s="16" t="str">
        <f>IF(Data!G858="","",IF(Data!G858=Data_Val!$C$2,IF(Data!L858="",0,1),0))</f>
        <v/>
      </c>
      <c r="M868" s="16" t="str">
        <f>IF(Data!L858="","",IF(ISNUMBER(MATCH(Data!M858,Data_Val!$A$2:$A$3,0)),0,1))</f>
        <v/>
      </c>
      <c r="N868" s="43" t="str">
        <f ca="1">IF(Data!L858="","",IF(ISNUMBER(Data!N858),IF(AND(Data!N858&gt;(TODAY()-(Data_Val!$L$3*365.25)),Data!N858&lt;=(TODAY()-(Data_Val!$L$2*365.25))),0,1),1))</f>
        <v/>
      </c>
      <c r="O868" s="18" t="str">
        <f>IF(Data!$G858="","",IF(Data!$G858=Data_Val!$C$2,IF(Data!O858="",0,1),0))</f>
        <v/>
      </c>
      <c r="P868" s="18" t="str">
        <f>IF(Data!O858="","",IF(ISNUMBER(MATCH(Data!P858,Data_Val!$A$2:$A$3,0)),0,1))</f>
        <v/>
      </c>
      <c r="Q868" s="44" t="str">
        <f ca="1">IF(Data!O858="","",IF(ISNUMBER(Data!Q858),IF(AND(Data!Q858&gt;(TODAY()-(Data_Val!$L$3*365.25)),Data!Q858&lt;=(TODAY()-(Data_Val!$L$2*365.25))),0,1),1))</f>
        <v/>
      </c>
    </row>
    <row r="869" spans="1:17" ht="12" customHeight="1" x14ac:dyDescent="0.25">
      <c r="A869" s="36" t="str">
        <f>IF(Data!B859="","",IF(COUNTIFS(Data!A$1:'Data'!A859,Data!A859)&lt;=1,0,1))</f>
        <v/>
      </c>
      <c r="B869" s="36"/>
      <c r="C869" s="36" t="str">
        <f>IF(Data!C859="","",(IF(ISNUMBER(MATCH("*@*.?*",Data!C859,0)),0,1)+IF(COUNTIFS(Data!C$1:'Data'!C859,Data!C859)&gt;1,1,0)))</f>
        <v/>
      </c>
      <c r="D869" s="36" t="str">
        <f>IF(Data!B859="","",IF(ISNUMBER(Data!D859),IF(AND(Data!D859&gt;999999999,Data!D859&lt;=9999999999),IF(COUNTIFS(Data!D$1:'Data'!D859,Data!D859)&lt;=1,0,1),1),1))</f>
        <v/>
      </c>
      <c r="E869" s="36" t="str">
        <f>IF(Data!B859="","",IF(ISNUMBER(MATCH(Data!E859,Data_Val!$A$2:$A$3,0)),0,1))</f>
        <v/>
      </c>
      <c r="F869" s="36" t="str">
        <f ca="1">IF(Data!B859="","",IF(ISNUMBER(Data!F859),IF(AND(Data!F859&gt;(TODAY()-(Data_Val!$H$3*365.25)),Data!F859&lt;=(TODAY()-(Data_Val!$H$2*365.25))),0,1),1))</f>
        <v/>
      </c>
      <c r="G869" s="12" t="str">
        <f>IF(Data!B859="","",IF(AND(Data!G859="",Data!H859&lt;&gt;""),1,IF(ISNUMBER(MATCH(Data!G859,Data_Val!$C$2:$C$5,0)),0,1)))</f>
        <v/>
      </c>
      <c r="H869" s="12" t="str">
        <f>IF(Data!B859="","",IF(AND(Data!G859&lt;&gt;"",Data!H859=""),1,IF(Data!G859="",1,IF(ISNUMBER(MATCH(Data!H859,Data_Val!$D$2:$D$35,0)),0,1))))</f>
        <v/>
      </c>
      <c r="I869" s="38" t="str">
        <f>IF(Data!G859="","",IF(Data!G859=Data_Val!$C$2,IF(Data!I859="",0,1),0))</f>
        <v/>
      </c>
      <c r="J869" s="38" t="str">
        <f>IF(Data!I859="","",IF(ISNUMBER(MATCH(Data!J859,Data_Val!$A$2:$A$3,0)),0,1))</f>
        <v/>
      </c>
      <c r="K869" s="38" t="str">
        <f ca="1">IF(Data!I859="","",IF(ISNUMBER(Data!K859),IF(AND(Data!K859&gt;(TODAY()-(Data_Val!$K$3*365.25)),Data!K859&lt;=(TODAY()-(Data_Val!$K$2*365.25))),0,1),1))</f>
        <v/>
      </c>
      <c r="L869" s="16" t="str">
        <f>IF(Data!G859="","",IF(Data!G859=Data_Val!$C$2,IF(Data!L859="",0,1),0))</f>
        <v/>
      </c>
      <c r="M869" s="16" t="str">
        <f>IF(Data!L859="","",IF(ISNUMBER(MATCH(Data!M859,Data_Val!$A$2:$A$3,0)),0,1))</f>
        <v/>
      </c>
      <c r="N869" s="43" t="str">
        <f ca="1">IF(Data!L859="","",IF(ISNUMBER(Data!N859),IF(AND(Data!N859&gt;(TODAY()-(Data_Val!$L$3*365.25)),Data!N859&lt;=(TODAY()-(Data_Val!$L$2*365.25))),0,1),1))</f>
        <v/>
      </c>
      <c r="O869" s="18" t="str">
        <f>IF(Data!$G859="","",IF(Data!$G859=Data_Val!$C$2,IF(Data!O859="",0,1),0))</f>
        <v/>
      </c>
      <c r="P869" s="18" t="str">
        <f>IF(Data!O859="","",IF(ISNUMBER(MATCH(Data!P859,Data_Val!$A$2:$A$3,0)),0,1))</f>
        <v/>
      </c>
      <c r="Q869" s="44" t="str">
        <f ca="1">IF(Data!O859="","",IF(ISNUMBER(Data!Q859),IF(AND(Data!Q859&gt;(TODAY()-(Data_Val!$L$3*365.25)),Data!Q859&lt;=(TODAY()-(Data_Val!$L$2*365.25))),0,1),1))</f>
        <v/>
      </c>
    </row>
    <row r="870" spans="1:17" ht="12" customHeight="1" x14ac:dyDescent="0.25">
      <c r="A870" s="36" t="str">
        <f>IF(Data!B860="","",IF(COUNTIFS(Data!A$1:'Data'!A860,Data!A860)&lt;=1,0,1))</f>
        <v/>
      </c>
      <c r="B870" s="36"/>
      <c r="C870" s="36" t="str">
        <f>IF(Data!C860="","",(IF(ISNUMBER(MATCH("*@*.?*",Data!C860,0)),0,1)+IF(COUNTIFS(Data!C$1:'Data'!C860,Data!C860)&gt;1,1,0)))</f>
        <v/>
      </c>
      <c r="D870" s="36" t="str">
        <f>IF(Data!B860="","",IF(ISNUMBER(Data!D860),IF(AND(Data!D860&gt;999999999,Data!D860&lt;=9999999999),IF(COUNTIFS(Data!D$1:'Data'!D860,Data!D860)&lt;=1,0,1),1),1))</f>
        <v/>
      </c>
      <c r="E870" s="36" t="str">
        <f>IF(Data!B860="","",IF(ISNUMBER(MATCH(Data!E860,Data_Val!$A$2:$A$3,0)),0,1))</f>
        <v/>
      </c>
      <c r="F870" s="36" t="str">
        <f ca="1">IF(Data!B860="","",IF(ISNUMBER(Data!F860),IF(AND(Data!F860&gt;(TODAY()-(Data_Val!$H$3*365.25)),Data!F860&lt;=(TODAY()-(Data_Val!$H$2*365.25))),0,1),1))</f>
        <v/>
      </c>
      <c r="G870" s="12" t="str">
        <f>IF(Data!B860="","",IF(AND(Data!G860="",Data!H860&lt;&gt;""),1,IF(ISNUMBER(MATCH(Data!G860,Data_Val!$C$2:$C$5,0)),0,1)))</f>
        <v/>
      </c>
      <c r="H870" s="12" t="str">
        <f>IF(Data!B860="","",IF(AND(Data!G860&lt;&gt;"",Data!H860=""),1,IF(Data!G860="",1,IF(ISNUMBER(MATCH(Data!H860,Data_Val!$D$2:$D$35,0)),0,1))))</f>
        <v/>
      </c>
      <c r="I870" s="38" t="str">
        <f>IF(Data!G860="","",IF(Data!G860=Data_Val!$C$2,IF(Data!I860="",0,1),0))</f>
        <v/>
      </c>
      <c r="J870" s="38" t="str">
        <f>IF(Data!I860="","",IF(ISNUMBER(MATCH(Data!J860,Data_Val!$A$2:$A$3,0)),0,1))</f>
        <v/>
      </c>
      <c r="K870" s="38" t="str">
        <f ca="1">IF(Data!I860="","",IF(ISNUMBER(Data!K860),IF(AND(Data!K860&gt;(TODAY()-(Data_Val!$K$3*365.25)),Data!K860&lt;=(TODAY()-(Data_Val!$K$2*365.25))),0,1),1))</f>
        <v/>
      </c>
      <c r="L870" s="16" t="str">
        <f>IF(Data!G860="","",IF(Data!G860=Data_Val!$C$2,IF(Data!L860="",0,1),0))</f>
        <v/>
      </c>
      <c r="M870" s="16" t="str">
        <f>IF(Data!L860="","",IF(ISNUMBER(MATCH(Data!M860,Data_Val!$A$2:$A$3,0)),0,1))</f>
        <v/>
      </c>
      <c r="N870" s="43" t="str">
        <f ca="1">IF(Data!L860="","",IF(ISNUMBER(Data!N860),IF(AND(Data!N860&gt;(TODAY()-(Data_Val!$L$3*365.25)),Data!N860&lt;=(TODAY()-(Data_Val!$L$2*365.25))),0,1),1))</f>
        <v/>
      </c>
      <c r="O870" s="18" t="str">
        <f>IF(Data!$G860="","",IF(Data!$G860=Data_Val!$C$2,IF(Data!O860="",0,1),0))</f>
        <v/>
      </c>
      <c r="P870" s="18" t="str">
        <f>IF(Data!O860="","",IF(ISNUMBER(MATCH(Data!P860,Data_Val!$A$2:$A$3,0)),0,1))</f>
        <v/>
      </c>
      <c r="Q870" s="44" t="str">
        <f ca="1">IF(Data!O860="","",IF(ISNUMBER(Data!Q860),IF(AND(Data!Q860&gt;(TODAY()-(Data_Val!$L$3*365.25)),Data!Q860&lt;=(TODAY()-(Data_Val!$L$2*365.25))),0,1),1))</f>
        <v/>
      </c>
    </row>
    <row r="871" spans="1:17" ht="12" customHeight="1" x14ac:dyDescent="0.25">
      <c r="A871" s="36" t="str">
        <f>IF(Data!B861="","",IF(COUNTIFS(Data!A$1:'Data'!A861,Data!A861)&lt;=1,0,1))</f>
        <v/>
      </c>
      <c r="B871" s="36"/>
      <c r="C871" s="36" t="str">
        <f>IF(Data!C861="","",(IF(ISNUMBER(MATCH("*@*.?*",Data!C861,0)),0,1)+IF(COUNTIFS(Data!C$1:'Data'!C861,Data!C861)&gt;1,1,0)))</f>
        <v/>
      </c>
      <c r="D871" s="36" t="str">
        <f>IF(Data!B861="","",IF(ISNUMBER(Data!D861),IF(AND(Data!D861&gt;999999999,Data!D861&lt;=9999999999),IF(COUNTIFS(Data!D$1:'Data'!D861,Data!D861)&lt;=1,0,1),1),1))</f>
        <v/>
      </c>
      <c r="E871" s="36" t="str">
        <f>IF(Data!B861="","",IF(ISNUMBER(MATCH(Data!E861,Data_Val!$A$2:$A$3,0)),0,1))</f>
        <v/>
      </c>
      <c r="F871" s="36" t="str">
        <f ca="1">IF(Data!B861="","",IF(ISNUMBER(Data!F861),IF(AND(Data!F861&gt;(TODAY()-(Data_Val!$H$3*365.25)),Data!F861&lt;=(TODAY()-(Data_Val!$H$2*365.25))),0,1),1))</f>
        <v/>
      </c>
      <c r="G871" s="12" t="str">
        <f>IF(Data!B861="","",IF(AND(Data!G861="",Data!H861&lt;&gt;""),1,IF(ISNUMBER(MATCH(Data!G861,Data_Val!$C$2:$C$5,0)),0,1)))</f>
        <v/>
      </c>
      <c r="H871" s="12" t="str">
        <f>IF(Data!B861="","",IF(AND(Data!G861&lt;&gt;"",Data!H861=""),1,IF(Data!G861="",1,IF(ISNUMBER(MATCH(Data!H861,Data_Val!$D$2:$D$35,0)),0,1))))</f>
        <v/>
      </c>
      <c r="I871" s="38" t="str">
        <f>IF(Data!G861="","",IF(Data!G861=Data_Val!$C$2,IF(Data!I861="",0,1),0))</f>
        <v/>
      </c>
      <c r="J871" s="38" t="str">
        <f>IF(Data!I861="","",IF(ISNUMBER(MATCH(Data!J861,Data_Val!$A$2:$A$3,0)),0,1))</f>
        <v/>
      </c>
      <c r="K871" s="38" t="str">
        <f ca="1">IF(Data!I861="","",IF(ISNUMBER(Data!K861),IF(AND(Data!K861&gt;(TODAY()-(Data_Val!$K$3*365.25)),Data!K861&lt;=(TODAY()-(Data_Val!$K$2*365.25))),0,1),1))</f>
        <v/>
      </c>
      <c r="L871" s="16" t="str">
        <f>IF(Data!G861="","",IF(Data!G861=Data_Val!$C$2,IF(Data!L861="",0,1),0))</f>
        <v/>
      </c>
      <c r="M871" s="16" t="str">
        <f>IF(Data!L861="","",IF(ISNUMBER(MATCH(Data!M861,Data_Val!$A$2:$A$3,0)),0,1))</f>
        <v/>
      </c>
      <c r="N871" s="43" t="str">
        <f ca="1">IF(Data!L861="","",IF(ISNUMBER(Data!N861),IF(AND(Data!N861&gt;(TODAY()-(Data_Val!$L$3*365.25)),Data!N861&lt;=(TODAY()-(Data_Val!$L$2*365.25))),0,1),1))</f>
        <v/>
      </c>
      <c r="O871" s="18" t="str">
        <f>IF(Data!$G861="","",IF(Data!$G861=Data_Val!$C$2,IF(Data!O861="",0,1),0))</f>
        <v/>
      </c>
      <c r="P871" s="18" t="str">
        <f>IF(Data!O861="","",IF(ISNUMBER(MATCH(Data!P861,Data_Val!$A$2:$A$3,0)),0,1))</f>
        <v/>
      </c>
      <c r="Q871" s="44" t="str">
        <f ca="1">IF(Data!O861="","",IF(ISNUMBER(Data!Q861),IF(AND(Data!Q861&gt;(TODAY()-(Data_Val!$L$3*365.25)),Data!Q861&lt;=(TODAY()-(Data_Val!$L$2*365.25))),0,1),1))</f>
        <v/>
      </c>
    </row>
    <row r="872" spans="1:17" ht="12" customHeight="1" x14ac:dyDescent="0.25">
      <c r="A872" s="36" t="str">
        <f>IF(Data!B862="","",IF(COUNTIFS(Data!A$1:'Data'!A862,Data!A862)&lt;=1,0,1))</f>
        <v/>
      </c>
      <c r="B872" s="36"/>
      <c r="C872" s="36" t="str">
        <f>IF(Data!C862="","",(IF(ISNUMBER(MATCH("*@*.?*",Data!C862,0)),0,1)+IF(COUNTIFS(Data!C$1:'Data'!C862,Data!C862)&gt;1,1,0)))</f>
        <v/>
      </c>
      <c r="D872" s="36" t="str">
        <f>IF(Data!B862="","",IF(ISNUMBER(Data!D862),IF(AND(Data!D862&gt;999999999,Data!D862&lt;=9999999999),IF(COUNTIFS(Data!D$1:'Data'!D862,Data!D862)&lt;=1,0,1),1),1))</f>
        <v/>
      </c>
      <c r="E872" s="36" t="str">
        <f>IF(Data!B862="","",IF(ISNUMBER(MATCH(Data!E862,Data_Val!$A$2:$A$3,0)),0,1))</f>
        <v/>
      </c>
      <c r="F872" s="36" t="str">
        <f ca="1">IF(Data!B862="","",IF(ISNUMBER(Data!F862),IF(AND(Data!F862&gt;(TODAY()-(Data_Val!$H$3*365.25)),Data!F862&lt;=(TODAY()-(Data_Val!$H$2*365.25))),0,1),1))</f>
        <v/>
      </c>
      <c r="G872" s="12" t="str">
        <f>IF(Data!B862="","",IF(AND(Data!G862="",Data!H862&lt;&gt;""),1,IF(ISNUMBER(MATCH(Data!G862,Data_Val!$C$2:$C$5,0)),0,1)))</f>
        <v/>
      </c>
      <c r="H872" s="12" t="str">
        <f>IF(Data!B862="","",IF(AND(Data!G862&lt;&gt;"",Data!H862=""),1,IF(Data!G862="",1,IF(ISNUMBER(MATCH(Data!H862,Data_Val!$D$2:$D$35,0)),0,1))))</f>
        <v/>
      </c>
      <c r="I872" s="38" t="str">
        <f>IF(Data!G862="","",IF(Data!G862=Data_Val!$C$2,IF(Data!I862="",0,1),0))</f>
        <v/>
      </c>
      <c r="J872" s="38" t="str">
        <f>IF(Data!I862="","",IF(ISNUMBER(MATCH(Data!J862,Data_Val!$A$2:$A$3,0)),0,1))</f>
        <v/>
      </c>
      <c r="K872" s="38" t="str">
        <f ca="1">IF(Data!I862="","",IF(ISNUMBER(Data!K862),IF(AND(Data!K862&gt;(TODAY()-(Data_Val!$K$3*365.25)),Data!K862&lt;=(TODAY()-(Data_Val!$K$2*365.25))),0,1),1))</f>
        <v/>
      </c>
      <c r="L872" s="16" t="str">
        <f>IF(Data!G862="","",IF(Data!G862=Data_Val!$C$2,IF(Data!L862="",0,1),0))</f>
        <v/>
      </c>
      <c r="M872" s="16" t="str">
        <f>IF(Data!L862="","",IF(ISNUMBER(MATCH(Data!M862,Data_Val!$A$2:$A$3,0)),0,1))</f>
        <v/>
      </c>
      <c r="N872" s="43" t="str">
        <f ca="1">IF(Data!L862="","",IF(ISNUMBER(Data!N862),IF(AND(Data!N862&gt;(TODAY()-(Data_Val!$L$3*365.25)),Data!N862&lt;=(TODAY()-(Data_Val!$L$2*365.25))),0,1),1))</f>
        <v/>
      </c>
      <c r="O872" s="18" t="str">
        <f>IF(Data!$G862="","",IF(Data!$G862=Data_Val!$C$2,IF(Data!O862="",0,1),0))</f>
        <v/>
      </c>
      <c r="P872" s="18" t="str">
        <f>IF(Data!O862="","",IF(ISNUMBER(MATCH(Data!P862,Data_Val!$A$2:$A$3,0)),0,1))</f>
        <v/>
      </c>
      <c r="Q872" s="44" t="str">
        <f ca="1">IF(Data!O862="","",IF(ISNUMBER(Data!Q862),IF(AND(Data!Q862&gt;(TODAY()-(Data_Val!$L$3*365.25)),Data!Q862&lt;=(TODAY()-(Data_Val!$L$2*365.25))),0,1),1))</f>
        <v/>
      </c>
    </row>
    <row r="873" spans="1:17" ht="12" customHeight="1" x14ac:dyDescent="0.25">
      <c r="A873" s="36" t="str">
        <f>IF(Data!B863="","",IF(COUNTIFS(Data!A$1:'Data'!A863,Data!A863)&lt;=1,0,1))</f>
        <v/>
      </c>
      <c r="B873" s="36"/>
      <c r="C873" s="36" t="str">
        <f>IF(Data!C863="","",(IF(ISNUMBER(MATCH("*@*.?*",Data!C863,0)),0,1)+IF(COUNTIFS(Data!C$1:'Data'!C863,Data!C863)&gt;1,1,0)))</f>
        <v/>
      </c>
      <c r="D873" s="36" t="str">
        <f>IF(Data!B863="","",IF(ISNUMBER(Data!D863),IF(AND(Data!D863&gt;999999999,Data!D863&lt;=9999999999),IF(COUNTIFS(Data!D$1:'Data'!D863,Data!D863)&lt;=1,0,1),1),1))</f>
        <v/>
      </c>
      <c r="E873" s="36" t="str">
        <f>IF(Data!B863="","",IF(ISNUMBER(MATCH(Data!E863,Data_Val!$A$2:$A$3,0)),0,1))</f>
        <v/>
      </c>
      <c r="F873" s="36" t="str">
        <f ca="1">IF(Data!B863="","",IF(ISNUMBER(Data!F863),IF(AND(Data!F863&gt;(TODAY()-(Data_Val!$H$3*365.25)),Data!F863&lt;=(TODAY()-(Data_Val!$H$2*365.25))),0,1),1))</f>
        <v/>
      </c>
      <c r="G873" s="12" t="str">
        <f>IF(Data!B863="","",IF(AND(Data!G863="",Data!H863&lt;&gt;""),1,IF(ISNUMBER(MATCH(Data!G863,Data_Val!$C$2:$C$5,0)),0,1)))</f>
        <v/>
      </c>
      <c r="H873" s="12" t="str">
        <f>IF(Data!B863="","",IF(AND(Data!G863&lt;&gt;"",Data!H863=""),1,IF(Data!G863="",1,IF(ISNUMBER(MATCH(Data!H863,Data_Val!$D$2:$D$35,0)),0,1))))</f>
        <v/>
      </c>
      <c r="I873" s="38" t="str">
        <f>IF(Data!G863="","",IF(Data!G863=Data_Val!$C$2,IF(Data!I863="",0,1),0))</f>
        <v/>
      </c>
      <c r="J873" s="38" t="str">
        <f>IF(Data!I863="","",IF(ISNUMBER(MATCH(Data!J863,Data_Val!$A$2:$A$3,0)),0,1))</f>
        <v/>
      </c>
      <c r="K873" s="38" t="str">
        <f ca="1">IF(Data!I863="","",IF(ISNUMBER(Data!K863),IF(AND(Data!K863&gt;(TODAY()-(Data_Val!$K$3*365.25)),Data!K863&lt;=(TODAY()-(Data_Val!$K$2*365.25))),0,1),1))</f>
        <v/>
      </c>
      <c r="L873" s="16" t="str">
        <f>IF(Data!G863="","",IF(Data!G863=Data_Val!$C$2,IF(Data!L863="",0,1),0))</f>
        <v/>
      </c>
      <c r="M873" s="16" t="str">
        <f>IF(Data!L863="","",IF(ISNUMBER(MATCH(Data!M863,Data_Val!$A$2:$A$3,0)),0,1))</f>
        <v/>
      </c>
      <c r="N873" s="43" t="str">
        <f ca="1">IF(Data!L863="","",IF(ISNUMBER(Data!N863),IF(AND(Data!N863&gt;(TODAY()-(Data_Val!$L$3*365.25)),Data!N863&lt;=(TODAY()-(Data_Val!$L$2*365.25))),0,1),1))</f>
        <v/>
      </c>
      <c r="O873" s="18" t="str">
        <f>IF(Data!$G863="","",IF(Data!$G863=Data_Val!$C$2,IF(Data!O863="",0,1),0))</f>
        <v/>
      </c>
      <c r="P873" s="18" t="str">
        <f>IF(Data!O863="","",IF(ISNUMBER(MATCH(Data!P863,Data_Val!$A$2:$A$3,0)),0,1))</f>
        <v/>
      </c>
      <c r="Q873" s="44" t="str">
        <f ca="1">IF(Data!O863="","",IF(ISNUMBER(Data!Q863),IF(AND(Data!Q863&gt;(TODAY()-(Data_Val!$L$3*365.25)),Data!Q863&lt;=(TODAY()-(Data_Val!$L$2*365.25))),0,1),1))</f>
        <v/>
      </c>
    </row>
    <row r="874" spans="1:17" ht="12" customHeight="1" x14ac:dyDescent="0.25">
      <c r="A874" s="36" t="str">
        <f>IF(Data!B864="","",IF(COUNTIFS(Data!A$1:'Data'!A864,Data!A864)&lt;=1,0,1))</f>
        <v/>
      </c>
      <c r="B874" s="36"/>
      <c r="C874" s="36" t="str">
        <f>IF(Data!C864="","",(IF(ISNUMBER(MATCH("*@*.?*",Data!C864,0)),0,1)+IF(COUNTIFS(Data!C$1:'Data'!C864,Data!C864)&gt;1,1,0)))</f>
        <v/>
      </c>
      <c r="D874" s="36" t="str">
        <f>IF(Data!B864="","",IF(ISNUMBER(Data!D864),IF(AND(Data!D864&gt;999999999,Data!D864&lt;=9999999999),IF(COUNTIFS(Data!D$1:'Data'!D864,Data!D864)&lt;=1,0,1),1),1))</f>
        <v/>
      </c>
      <c r="E874" s="36" t="str">
        <f>IF(Data!B864="","",IF(ISNUMBER(MATCH(Data!E864,Data_Val!$A$2:$A$3,0)),0,1))</f>
        <v/>
      </c>
      <c r="F874" s="36" t="str">
        <f ca="1">IF(Data!B864="","",IF(ISNUMBER(Data!F864),IF(AND(Data!F864&gt;(TODAY()-(Data_Val!$H$3*365.25)),Data!F864&lt;=(TODAY()-(Data_Val!$H$2*365.25))),0,1),1))</f>
        <v/>
      </c>
      <c r="G874" s="12" t="str">
        <f>IF(Data!B864="","",IF(AND(Data!G864="",Data!H864&lt;&gt;""),1,IF(ISNUMBER(MATCH(Data!G864,Data_Val!$C$2:$C$5,0)),0,1)))</f>
        <v/>
      </c>
      <c r="H874" s="12" t="str">
        <f>IF(Data!B864="","",IF(AND(Data!G864&lt;&gt;"",Data!H864=""),1,IF(Data!G864="",1,IF(ISNUMBER(MATCH(Data!H864,Data_Val!$D$2:$D$35,0)),0,1))))</f>
        <v/>
      </c>
      <c r="I874" s="38" t="str">
        <f>IF(Data!G864="","",IF(Data!G864=Data_Val!$C$2,IF(Data!I864="",0,1),0))</f>
        <v/>
      </c>
      <c r="J874" s="38" t="str">
        <f>IF(Data!I864="","",IF(ISNUMBER(MATCH(Data!J864,Data_Val!$A$2:$A$3,0)),0,1))</f>
        <v/>
      </c>
      <c r="K874" s="38" t="str">
        <f ca="1">IF(Data!I864="","",IF(ISNUMBER(Data!K864),IF(AND(Data!K864&gt;(TODAY()-(Data_Val!$K$3*365.25)),Data!K864&lt;=(TODAY()-(Data_Val!$K$2*365.25))),0,1),1))</f>
        <v/>
      </c>
      <c r="L874" s="16" t="str">
        <f>IF(Data!G864="","",IF(Data!G864=Data_Val!$C$2,IF(Data!L864="",0,1),0))</f>
        <v/>
      </c>
      <c r="M874" s="16" t="str">
        <f>IF(Data!L864="","",IF(ISNUMBER(MATCH(Data!M864,Data_Val!$A$2:$A$3,0)),0,1))</f>
        <v/>
      </c>
      <c r="N874" s="43" t="str">
        <f ca="1">IF(Data!L864="","",IF(ISNUMBER(Data!N864),IF(AND(Data!N864&gt;(TODAY()-(Data_Val!$L$3*365.25)),Data!N864&lt;=(TODAY()-(Data_Val!$L$2*365.25))),0,1),1))</f>
        <v/>
      </c>
      <c r="O874" s="18" t="str">
        <f>IF(Data!$G864="","",IF(Data!$G864=Data_Val!$C$2,IF(Data!O864="",0,1),0))</f>
        <v/>
      </c>
      <c r="P874" s="18" t="str">
        <f>IF(Data!O864="","",IF(ISNUMBER(MATCH(Data!P864,Data_Val!$A$2:$A$3,0)),0,1))</f>
        <v/>
      </c>
      <c r="Q874" s="44" t="str">
        <f ca="1">IF(Data!O864="","",IF(ISNUMBER(Data!Q864),IF(AND(Data!Q864&gt;(TODAY()-(Data_Val!$L$3*365.25)),Data!Q864&lt;=(TODAY()-(Data_Val!$L$2*365.25))),0,1),1))</f>
        <v/>
      </c>
    </row>
    <row r="875" spans="1:17" ht="12" customHeight="1" x14ac:dyDescent="0.25">
      <c r="A875" s="36" t="str">
        <f>IF(Data!B865="","",IF(COUNTIFS(Data!A$1:'Data'!A865,Data!A865)&lt;=1,0,1))</f>
        <v/>
      </c>
      <c r="B875" s="36"/>
      <c r="C875" s="36" t="str">
        <f>IF(Data!C865="","",(IF(ISNUMBER(MATCH("*@*.?*",Data!C865,0)),0,1)+IF(COUNTIFS(Data!C$1:'Data'!C865,Data!C865)&gt;1,1,0)))</f>
        <v/>
      </c>
      <c r="D875" s="36" t="str">
        <f>IF(Data!B865="","",IF(ISNUMBER(Data!D865),IF(AND(Data!D865&gt;999999999,Data!D865&lt;=9999999999),IF(COUNTIFS(Data!D$1:'Data'!D865,Data!D865)&lt;=1,0,1),1),1))</f>
        <v/>
      </c>
      <c r="E875" s="36" t="str">
        <f>IF(Data!B865="","",IF(ISNUMBER(MATCH(Data!E865,Data_Val!$A$2:$A$3,0)),0,1))</f>
        <v/>
      </c>
      <c r="F875" s="36" t="str">
        <f ca="1">IF(Data!B865="","",IF(ISNUMBER(Data!F865),IF(AND(Data!F865&gt;(TODAY()-(Data_Val!$H$3*365.25)),Data!F865&lt;=(TODAY()-(Data_Val!$H$2*365.25))),0,1),1))</f>
        <v/>
      </c>
      <c r="G875" s="12" t="str">
        <f>IF(Data!B865="","",IF(AND(Data!G865="",Data!H865&lt;&gt;""),1,IF(ISNUMBER(MATCH(Data!G865,Data_Val!$C$2:$C$5,0)),0,1)))</f>
        <v/>
      </c>
      <c r="H875" s="12" t="str">
        <f>IF(Data!B865="","",IF(AND(Data!G865&lt;&gt;"",Data!H865=""),1,IF(Data!G865="",1,IF(ISNUMBER(MATCH(Data!H865,Data_Val!$D$2:$D$35,0)),0,1))))</f>
        <v/>
      </c>
      <c r="I875" s="38" t="str">
        <f>IF(Data!G865="","",IF(Data!G865=Data_Val!$C$2,IF(Data!I865="",0,1),0))</f>
        <v/>
      </c>
      <c r="J875" s="38" t="str">
        <f>IF(Data!I865="","",IF(ISNUMBER(MATCH(Data!J865,Data_Val!$A$2:$A$3,0)),0,1))</f>
        <v/>
      </c>
      <c r="K875" s="38" t="str">
        <f ca="1">IF(Data!I865="","",IF(ISNUMBER(Data!K865),IF(AND(Data!K865&gt;(TODAY()-(Data_Val!$K$3*365.25)),Data!K865&lt;=(TODAY()-(Data_Val!$K$2*365.25))),0,1),1))</f>
        <v/>
      </c>
      <c r="L875" s="16" t="str">
        <f>IF(Data!G865="","",IF(Data!G865=Data_Val!$C$2,IF(Data!L865="",0,1),0))</f>
        <v/>
      </c>
      <c r="M875" s="16" t="str">
        <f>IF(Data!L865="","",IF(ISNUMBER(MATCH(Data!M865,Data_Val!$A$2:$A$3,0)),0,1))</f>
        <v/>
      </c>
      <c r="N875" s="43" t="str">
        <f ca="1">IF(Data!L865="","",IF(ISNUMBER(Data!N865),IF(AND(Data!N865&gt;(TODAY()-(Data_Val!$L$3*365.25)),Data!N865&lt;=(TODAY()-(Data_Val!$L$2*365.25))),0,1),1))</f>
        <v/>
      </c>
      <c r="O875" s="18" t="str">
        <f>IF(Data!$G865="","",IF(Data!$G865=Data_Val!$C$2,IF(Data!O865="",0,1),0))</f>
        <v/>
      </c>
      <c r="P875" s="18" t="str">
        <f>IF(Data!O865="","",IF(ISNUMBER(MATCH(Data!P865,Data_Val!$A$2:$A$3,0)),0,1))</f>
        <v/>
      </c>
      <c r="Q875" s="44" t="str">
        <f ca="1">IF(Data!O865="","",IF(ISNUMBER(Data!Q865),IF(AND(Data!Q865&gt;(TODAY()-(Data_Val!$L$3*365.25)),Data!Q865&lt;=(TODAY()-(Data_Val!$L$2*365.25))),0,1),1))</f>
        <v/>
      </c>
    </row>
    <row r="876" spans="1:17" ht="12" customHeight="1" x14ac:dyDescent="0.25">
      <c r="A876" s="36" t="str">
        <f>IF(Data!B866="","",IF(COUNTIFS(Data!A$1:'Data'!A866,Data!A866)&lt;=1,0,1))</f>
        <v/>
      </c>
      <c r="B876" s="36"/>
      <c r="C876" s="36" t="str">
        <f>IF(Data!C866="","",(IF(ISNUMBER(MATCH("*@*.?*",Data!C866,0)),0,1)+IF(COUNTIFS(Data!C$1:'Data'!C866,Data!C866)&gt;1,1,0)))</f>
        <v/>
      </c>
      <c r="D876" s="36" t="str">
        <f>IF(Data!B866="","",IF(ISNUMBER(Data!D866),IF(AND(Data!D866&gt;999999999,Data!D866&lt;=9999999999),IF(COUNTIFS(Data!D$1:'Data'!D866,Data!D866)&lt;=1,0,1),1),1))</f>
        <v/>
      </c>
      <c r="E876" s="36" t="str">
        <f>IF(Data!B866="","",IF(ISNUMBER(MATCH(Data!E866,Data_Val!$A$2:$A$3,0)),0,1))</f>
        <v/>
      </c>
      <c r="F876" s="36" t="str">
        <f ca="1">IF(Data!B866="","",IF(ISNUMBER(Data!F866),IF(AND(Data!F866&gt;(TODAY()-(Data_Val!$H$3*365.25)),Data!F866&lt;=(TODAY()-(Data_Val!$H$2*365.25))),0,1),1))</f>
        <v/>
      </c>
      <c r="G876" s="12" t="str">
        <f>IF(Data!B866="","",IF(AND(Data!G866="",Data!H866&lt;&gt;""),1,IF(ISNUMBER(MATCH(Data!G866,Data_Val!$C$2:$C$5,0)),0,1)))</f>
        <v/>
      </c>
      <c r="H876" s="12" t="str">
        <f>IF(Data!B866="","",IF(AND(Data!G866&lt;&gt;"",Data!H866=""),1,IF(Data!G866="",1,IF(ISNUMBER(MATCH(Data!H866,Data_Val!$D$2:$D$35,0)),0,1))))</f>
        <v/>
      </c>
      <c r="I876" s="38" t="str">
        <f>IF(Data!G866="","",IF(Data!G866=Data_Val!$C$2,IF(Data!I866="",0,1),0))</f>
        <v/>
      </c>
      <c r="J876" s="38" t="str">
        <f>IF(Data!I866="","",IF(ISNUMBER(MATCH(Data!J866,Data_Val!$A$2:$A$3,0)),0,1))</f>
        <v/>
      </c>
      <c r="K876" s="38" t="str">
        <f ca="1">IF(Data!I866="","",IF(ISNUMBER(Data!K866),IF(AND(Data!K866&gt;(TODAY()-(Data_Val!$K$3*365.25)),Data!K866&lt;=(TODAY()-(Data_Val!$K$2*365.25))),0,1),1))</f>
        <v/>
      </c>
      <c r="L876" s="16" t="str">
        <f>IF(Data!G866="","",IF(Data!G866=Data_Val!$C$2,IF(Data!L866="",0,1),0))</f>
        <v/>
      </c>
      <c r="M876" s="16" t="str">
        <f>IF(Data!L866="","",IF(ISNUMBER(MATCH(Data!M866,Data_Val!$A$2:$A$3,0)),0,1))</f>
        <v/>
      </c>
      <c r="N876" s="43" t="str">
        <f ca="1">IF(Data!L866="","",IF(ISNUMBER(Data!N866),IF(AND(Data!N866&gt;(TODAY()-(Data_Val!$L$3*365.25)),Data!N866&lt;=(TODAY()-(Data_Val!$L$2*365.25))),0,1),1))</f>
        <v/>
      </c>
      <c r="O876" s="18" t="str">
        <f>IF(Data!$G866="","",IF(Data!$G866=Data_Val!$C$2,IF(Data!O866="",0,1),0))</f>
        <v/>
      </c>
      <c r="P876" s="18" t="str">
        <f>IF(Data!O866="","",IF(ISNUMBER(MATCH(Data!P866,Data_Val!$A$2:$A$3,0)),0,1))</f>
        <v/>
      </c>
      <c r="Q876" s="44" t="str">
        <f ca="1">IF(Data!O866="","",IF(ISNUMBER(Data!Q866),IF(AND(Data!Q866&gt;(TODAY()-(Data_Val!$L$3*365.25)),Data!Q866&lt;=(TODAY()-(Data_Val!$L$2*365.25))),0,1),1))</f>
        <v/>
      </c>
    </row>
    <row r="877" spans="1:17" ht="12" customHeight="1" x14ac:dyDescent="0.25">
      <c r="A877" s="36" t="str">
        <f>IF(Data!B867="","",IF(COUNTIFS(Data!A$1:'Data'!A867,Data!A867)&lt;=1,0,1))</f>
        <v/>
      </c>
      <c r="B877" s="36"/>
      <c r="C877" s="36" t="str">
        <f>IF(Data!C867="","",(IF(ISNUMBER(MATCH("*@*.?*",Data!C867,0)),0,1)+IF(COUNTIFS(Data!C$1:'Data'!C867,Data!C867)&gt;1,1,0)))</f>
        <v/>
      </c>
      <c r="D877" s="36" t="str">
        <f>IF(Data!B867="","",IF(ISNUMBER(Data!D867),IF(AND(Data!D867&gt;999999999,Data!D867&lt;=9999999999),IF(COUNTIFS(Data!D$1:'Data'!D867,Data!D867)&lt;=1,0,1),1),1))</f>
        <v/>
      </c>
      <c r="E877" s="36" t="str">
        <f>IF(Data!B867="","",IF(ISNUMBER(MATCH(Data!E867,Data_Val!$A$2:$A$3,0)),0,1))</f>
        <v/>
      </c>
      <c r="F877" s="36" t="str">
        <f ca="1">IF(Data!B867="","",IF(ISNUMBER(Data!F867),IF(AND(Data!F867&gt;(TODAY()-(Data_Val!$H$3*365.25)),Data!F867&lt;=(TODAY()-(Data_Val!$H$2*365.25))),0,1),1))</f>
        <v/>
      </c>
      <c r="G877" s="12" t="str">
        <f>IF(Data!B867="","",IF(AND(Data!G867="",Data!H867&lt;&gt;""),1,IF(ISNUMBER(MATCH(Data!G867,Data_Val!$C$2:$C$5,0)),0,1)))</f>
        <v/>
      </c>
      <c r="H877" s="12" t="str">
        <f>IF(Data!B867="","",IF(AND(Data!G867&lt;&gt;"",Data!H867=""),1,IF(Data!G867="",1,IF(ISNUMBER(MATCH(Data!H867,Data_Val!$D$2:$D$35,0)),0,1))))</f>
        <v/>
      </c>
      <c r="I877" s="38" t="str">
        <f>IF(Data!G867="","",IF(Data!G867=Data_Val!$C$2,IF(Data!I867="",0,1),0))</f>
        <v/>
      </c>
      <c r="J877" s="38" t="str">
        <f>IF(Data!I867="","",IF(ISNUMBER(MATCH(Data!J867,Data_Val!$A$2:$A$3,0)),0,1))</f>
        <v/>
      </c>
      <c r="K877" s="38" t="str">
        <f ca="1">IF(Data!I867="","",IF(ISNUMBER(Data!K867),IF(AND(Data!K867&gt;(TODAY()-(Data_Val!$K$3*365.25)),Data!K867&lt;=(TODAY()-(Data_Val!$K$2*365.25))),0,1),1))</f>
        <v/>
      </c>
      <c r="L877" s="16" t="str">
        <f>IF(Data!G867="","",IF(Data!G867=Data_Val!$C$2,IF(Data!L867="",0,1),0))</f>
        <v/>
      </c>
      <c r="M877" s="16" t="str">
        <f>IF(Data!L867="","",IF(ISNUMBER(MATCH(Data!M867,Data_Val!$A$2:$A$3,0)),0,1))</f>
        <v/>
      </c>
      <c r="N877" s="43" t="str">
        <f ca="1">IF(Data!L867="","",IF(ISNUMBER(Data!N867),IF(AND(Data!N867&gt;(TODAY()-(Data_Val!$L$3*365.25)),Data!N867&lt;=(TODAY()-(Data_Val!$L$2*365.25))),0,1),1))</f>
        <v/>
      </c>
      <c r="O877" s="18" t="str">
        <f>IF(Data!$G867="","",IF(Data!$G867=Data_Val!$C$2,IF(Data!O867="",0,1),0))</f>
        <v/>
      </c>
      <c r="P877" s="18" t="str">
        <f>IF(Data!O867="","",IF(ISNUMBER(MATCH(Data!P867,Data_Val!$A$2:$A$3,0)),0,1))</f>
        <v/>
      </c>
      <c r="Q877" s="44" t="str">
        <f ca="1">IF(Data!O867="","",IF(ISNUMBER(Data!Q867),IF(AND(Data!Q867&gt;(TODAY()-(Data_Val!$L$3*365.25)),Data!Q867&lt;=(TODAY()-(Data_Val!$L$2*365.25))),0,1),1))</f>
        <v/>
      </c>
    </row>
    <row r="878" spans="1:17" ht="12" customHeight="1" x14ac:dyDescent="0.25">
      <c r="A878" s="36" t="str">
        <f>IF(Data!B868="","",IF(COUNTIFS(Data!A$1:'Data'!A868,Data!A868)&lt;=1,0,1))</f>
        <v/>
      </c>
      <c r="B878" s="36"/>
      <c r="C878" s="36" t="str">
        <f>IF(Data!C868="","",(IF(ISNUMBER(MATCH("*@*.?*",Data!C868,0)),0,1)+IF(COUNTIFS(Data!C$1:'Data'!C868,Data!C868)&gt;1,1,0)))</f>
        <v/>
      </c>
      <c r="D878" s="36" t="str">
        <f>IF(Data!B868="","",IF(ISNUMBER(Data!D868),IF(AND(Data!D868&gt;999999999,Data!D868&lt;=9999999999),IF(COUNTIFS(Data!D$1:'Data'!D868,Data!D868)&lt;=1,0,1),1),1))</f>
        <v/>
      </c>
      <c r="E878" s="36" t="str">
        <f>IF(Data!B868="","",IF(ISNUMBER(MATCH(Data!E868,Data_Val!$A$2:$A$3,0)),0,1))</f>
        <v/>
      </c>
      <c r="F878" s="36" t="str">
        <f ca="1">IF(Data!B868="","",IF(ISNUMBER(Data!F868),IF(AND(Data!F868&gt;(TODAY()-(Data_Val!$H$3*365.25)),Data!F868&lt;=(TODAY()-(Data_Val!$H$2*365.25))),0,1),1))</f>
        <v/>
      </c>
      <c r="G878" s="12" t="str">
        <f>IF(Data!B868="","",IF(AND(Data!G868="",Data!H868&lt;&gt;""),1,IF(ISNUMBER(MATCH(Data!G868,Data_Val!$C$2:$C$5,0)),0,1)))</f>
        <v/>
      </c>
      <c r="H878" s="12" t="str">
        <f>IF(Data!B868="","",IF(AND(Data!G868&lt;&gt;"",Data!H868=""),1,IF(Data!G868="",1,IF(ISNUMBER(MATCH(Data!H868,Data_Val!$D$2:$D$35,0)),0,1))))</f>
        <v/>
      </c>
      <c r="I878" s="38" t="str">
        <f>IF(Data!G868="","",IF(Data!G868=Data_Val!$C$2,IF(Data!I868="",0,1),0))</f>
        <v/>
      </c>
      <c r="J878" s="38" t="str">
        <f>IF(Data!I868="","",IF(ISNUMBER(MATCH(Data!J868,Data_Val!$A$2:$A$3,0)),0,1))</f>
        <v/>
      </c>
      <c r="K878" s="38" t="str">
        <f ca="1">IF(Data!I868="","",IF(ISNUMBER(Data!K868),IF(AND(Data!K868&gt;(TODAY()-(Data_Val!$K$3*365.25)),Data!K868&lt;=(TODAY()-(Data_Val!$K$2*365.25))),0,1),1))</f>
        <v/>
      </c>
      <c r="L878" s="16" t="str">
        <f>IF(Data!G868="","",IF(Data!G868=Data_Val!$C$2,IF(Data!L868="",0,1),0))</f>
        <v/>
      </c>
      <c r="M878" s="16" t="str">
        <f>IF(Data!L868="","",IF(ISNUMBER(MATCH(Data!M868,Data_Val!$A$2:$A$3,0)),0,1))</f>
        <v/>
      </c>
      <c r="N878" s="43" t="str">
        <f ca="1">IF(Data!L868="","",IF(ISNUMBER(Data!N868),IF(AND(Data!N868&gt;(TODAY()-(Data_Val!$L$3*365.25)),Data!N868&lt;=(TODAY()-(Data_Val!$L$2*365.25))),0,1),1))</f>
        <v/>
      </c>
      <c r="O878" s="18" t="str">
        <f>IF(Data!$G868="","",IF(Data!$G868=Data_Val!$C$2,IF(Data!O868="",0,1),0))</f>
        <v/>
      </c>
      <c r="P878" s="18" t="str">
        <f>IF(Data!O868="","",IF(ISNUMBER(MATCH(Data!P868,Data_Val!$A$2:$A$3,0)),0,1))</f>
        <v/>
      </c>
      <c r="Q878" s="44" t="str">
        <f ca="1">IF(Data!O868="","",IF(ISNUMBER(Data!Q868),IF(AND(Data!Q868&gt;(TODAY()-(Data_Val!$L$3*365.25)),Data!Q868&lt;=(TODAY()-(Data_Val!$L$2*365.25))),0,1),1))</f>
        <v/>
      </c>
    </row>
    <row r="879" spans="1:17" ht="12" customHeight="1" x14ac:dyDescent="0.25">
      <c r="A879" s="36" t="str">
        <f>IF(Data!B869="","",IF(COUNTIFS(Data!A$1:'Data'!A869,Data!A869)&lt;=1,0,1))</f>
        <v/>
      </c>
      <c r="B879" s="36"/>
      <c r="C879" s="36" t="str">
        <f>IF(Data!C869="","",(IF(ISNUMBER(MATCH("*@*.?*",Data!C869,0)),0,1)+IF(COUNTIFS(Data!C$1:'Data'!C869,Data!C869)&gt;1,1,0)))</f>
        <v/>
      </c>
      <c r="D879" s="36" t="str">
        <f>IF(Data!B869="","",IF(ISNUMBER(Data!D869),IF(AND(Data!D869&gt;999999999,Data!D869&lt;=9999999999),IF(COUNTIFS(Data!D$1:'Data'!D869,Data!D869)&lt;=1,0,1),1),1))</f>
        <v/>
      </c>
      <c r="E879" s="36" t="str">
        <f>IF(Data!B869="","",IF(ISNUMBER(MATCH(Data!E869,Data_Val!$A$2:$A$3,0)),0,1))</f>
        <v/>
      </c>
      <c r="F879" s="36" t="str">
        <f ca="1">IF(Data!B869="","",IF(ISNUMBER(Data!F869),IF(AND(Data!F869&gt;(TODAY()-(Data_Val!$H$3*365.25)),Data!F869&lt;=(TODAY()-(Data_Val!$H$2*365.25))),0,1),1))</f>
        <v/>
      </c>
      <c r="G879" s="12" t="str">
        <f>IF(Data!B869="","",IF(AND(Data!G869="",Data!H869&lt;&gt;""),1,IF(ISNUMBER(MATCH(Data!G869,Data_Val!$C$2:$C$5,0)),0,1)))</f>
        <v/>
      </c>
      <c r="H879" s="12" t="str">
        <f>IF(Data!B869="","",IF(AND(Data!G869&lt;&gt;"",Data!H869=""),1,IF(Data!G869="",1,IF(ISNUMBER(MATCH(Data!H869,Data_Val!$D$2:$D$35,0)),0,1))))</f>
        <v/>
      </c>
      <c r="I879" s="38" t="str">
        <f>IF(Data!G869="","",IF(Data!G869=Data_Val!$C$2,IF(Data!I869="",0,1),0))</f>
        <v/>
      </c>
      <c r="J879" s="38" t="str">
        <f>IF(Data!I869="","",IF(ISNUMBER(MATCH(Data!J869,Data_Val!$A$2:$A$3,0)),0,1))</f>
        <v/>
      </c>
      <c r="K879" s="38" t="str">
        <f ca="1">IF(Data!I869="","",IF(ISNUMBER(Data!K869),IF(AND(Data!K869&gt;(TODAY()-(Data_Val!$K$3*365.25)),Data!K869&lt;=(TODAY()-(Data_Val!$K$2*365.25))),0,1),1))</f>
        <v/>
      </c>
      <c r="L879" s="16" t="str">
        <f>IF(Data!G869="","",IF(Data!G869=Data_Val!$C$2,IF(Data!L869="",0,1),0))</f>
        <v/>
      </c>
      <c r="M879" s="16" t="str">
        <f>IF(Data!L869="","",IF(ISNUMBER(MATCH(Data!M869,Data_Val!$A$2:$A$3,0)),0,1))</f>
        <v/>
      </c>
      <c r="N879" s="43" t="str">
        <f ca="1">IF(Data!L869="","",IF(ISNUMBER(Data!N869),IF(AND(Data!N869&gt;(TODAY()-(Data_Val!$L$3*365.25)),Data!N869&lt;=(TODAY()-(Data_Val!$L$2*365.25))),0,1),1))</f>
        <v/>
      </c>
      <c r="O879" s="18" t="str">
        <f>IF(Data!$G869="","",IF(Data!$G869=Data_Val!$C$2,IF(Data!O869="",0,1),0))</f>
        <v/>
      </c>
      <c r="P879" s="18" t="str">
        <f>IF(Data!O869="","",IF(ISNUMBER(MATCH(Data!P869,Data_Val!$A$2:$A$3,0)),0,1))</f>
        <v/>
      </c>
      <c r="Q879" s="44" t="str">
        <f ca="1">IF(Data!O869="","",IF(ISNUMBER(Data!Q869),IF(AND(Data!Q869&gt;(TODAY()-(Data_Val!$L$3*365.25)),Data!Q869&lt;=(TODAY()-(Data_Val!$L$2*365.25))),0,1),1))</f>
        <v/>
      </c>
    </row>
    <row r="880" spans="1:17" ht="12" customHeight="1" x14ac:dyDescent="0.25">
      <c r="A880" s="36" t="str">
        <f>IF(Data!B870="","",IF(COUNTIFS(Data!A$1:'Data'!A870,Data!A870)&lt;=1,0,1))</f>
        <v/>
      </c>
      <c r="B880" s="36"/>
      <c r="C880" s="36" t="str">
        <f>IF(Data!C870="","",(IF(ISNUMBER(MATCH("*@*.?*",Data!C870,0)),0,1)+IF(COUNTIFS(Data!C$1:'Data'!C870,Data!C870)&gt;1,1,0)))</f>
        <v/>
      </c>
      <c r="D880" s="36" t="str">
        <f>IF(Data!B870="","",IF(ISNUMBER(Data!D870),IF(AND(Data!D870&gt;999999999,Data!D870&lt;=9999999999),IF(COUNTIFS(Data!D$1:'Data'!D870,Data!D870)&lt;=1,0,1),1),1))</f>
        <v/>
      </c>
      <c r="E880" s="36" t="str">
        <f>IF(Data!B870="","",IF(ISNUMBER(MATCH(Data!E870,Data_Val!$A$2:$A$3,0)),0,1))</f>
        <v/>
      </c>
      <c r="F880" s="36" t="str">
        <f ca="1">IF(Data!B870="","",IF(ISNUMBER(Data!F870),IF(AND(Data!F870&gt;(TODAY()-(Data_Val!$H$3*365.25)),Data!F870&lt;=(TODAY()-(Data_Val!$H$2*365.25))),0,1),1))</f>
        <v/>
      </c>
      <c r="G880" s="12" t="str">
        <f>IF(Data!B870="","",IF(AND(Data!G870="",Data!H870&lt;&gt;""),1,IF(ISNUMBER(MATCH(Data!G870,Data_Val!$C$2:$C$5,0)),0,1)))</f>
        <v/>
      </c>
      <c r="H880" s="12" t="str">
        <f>IF(Data!B870="","",IF(AND(Data!G870&lt;&gt;"",Data!H870=""),1,IF(Data!G870="",1,IF(ISNUMBER(MATCH(Data!H870,Data_Val!$D$2:$D$35,0)),0,1))))</f>
        <v/>
      </c>
      <c r="I880" s="38" t="str">
        <f>IF(Data!G870="","",IF(Data!G870=Data_Val!$C$2,IF(Data!I870="",0,1),0))</f>
        <v/>
      </c>
      <c r="J880" s="38" t="str">
        <f>IF(Data!I870="","",IF(ISNUMBER(MATCH(Data!J870,Data_Val!$A$2:$A$3,0)),0,1))</f>
        <v/>
      </c>
      <c r="K880" s="38" t="str">
        <f ca="1">IF(Data!I870="","",IF(ISNUMBER(Data!K870),IF(AND(Data!K870&gt;(TODAY()-(Data_Val!$K$3*365.25)),Data!K870&lt;=(TODAY()-(Data_Val!$K$2*365.25))),0,1),1))</f>
        <v/>
      </c>
      <c r="L880" s="16" t="str">
        <f>IF(Data!G870="","",IF(Data!G870=Data_Val!$C$2,IF(Data!L870="",0,1),0))</f>
        <v/>
      </c>
      <c r="M880" s="16" t="str">
        <f>IF(Data!L870="","",IF(ISNUMBER(MATCH(Data!M870,Data_Val!$A$2:$A$3,0)),0,1))</f>
        <v/>
      </c>
      <c r="N880" s="43" t="str">
        <f ca="1">IF(Data!L870="","",IF(ISNUMBER(Data!N870),IF(AND(Data!N870&gt;(TODAY()-(Data_Val!$L$3*365.25)),Data!N870&lt;=(TODAY()-(Data_Val!$L$2*365.25))),0,1),1))</f>
        <v/>
      </c>
      <c r="O880" s="18" t="str">
        <f>IF(Data!$G870="","",IF(Data!$G870=Data_Val!$C$2,IF(Data!O870="",0,1),0))</f>
        <v/>
      </c>
      <c r="P880" s="18" t="str">
        <f>IF(Data!O870="","",IF(ISNUMBER(MATCH(Data!P870,Data_Val!$A$2:$A$3,0)),0,1))</f>
        <v/>
      </c>
      <c r="Q880" s="44" t="str">
        <f ca="1">IF(Data!O870="","",IF(ISNUMBER(Data!Q870),IF(AND(Data!Q870&gt;(TODAY()-(Data_Val!$L$3*365.25)),Data!Q870&lt;=(TODAY()-(Data_Val!$L$2*365.25))),0,1),1))</f>
        <v/>
      </c>
    </row>
    <row r="881" spans="1:17" ht="12" customHeight="1" x14ac:dyDescent="0.25">
      <c r="A881" s="36" t="str">
        <f>IF(Data!B871="","",IF(COUNTIFS(Data!A$1:'Data'!A871,Data!A871)&lt;=1,0,1))</f>
        <v/>
      </c>
      <c r="B881" s="36"/>
      <c r="C881" s="36" t="str">
        <f>IF(Data!C871="","",(IF(ISNUMBER(MATCH("*@*.?*",Data!C871,0)),0,1)+IF(COUNTIFS(Data!C$1:'Data'!C871,Data!C871)&gt;1,1,0)))</f>
        <v/>
      </c>
      <c r="D881" s="36" t="str">
        <f>IF(Data!B871="","",IF(ISNUMBER(Data!D871),IF(AND(Data!D871&gt;999999999,Data!D871&lt;=9999999999),IF(COUNTIFS(Data!D$1:'Data'!D871,Data!D871)&lt;=1,0,1),1),1))</f>
        <v/>
      </c>
      <c r="E881" s="36" t="str">
        <f>IF(Data!B871="","",IF(ISNUMBER(MATCH(Data!E871,Data_Val!$A$2:$A$3,0)),0,1))</f>
        <v/>
      </c>
      <c r="F881" s="36" t="str">
        <f ca="1">IF(Data!B871="","",IF(ISNUMBER(Data!F871),IF(AND(Data!F871&gt;(TODAY()-(Data_Val!$H$3*365.25)),Data!F871&lt;=(TODAY()-(Data_Val!$H$2*365.25))),0,1),1))</f>
        <v/>
      </c>
      <c r="G881" s="12" t="str">
        <f>IF(Data!B871="","",IF(AND(Data!G871="",Data!H871&lt;&gt;""),1,IF(ISNUMBER(MATCH(Data!G871,Data_Val!$C$2:$C$5,0)),0,1)))</f>
        <v/>
      </c>
      <c r="H881" s="12" t="str">
        <f>IF(Data!B871="","",IF(AND(Data!G871&lt;&gt;"",Data!H871=""),1,IF(Data!G871="",1,IF(ISNUMBER(MATCH(Data!H871,Data_Val!$D$2:$D$35,0)),0,1))))</f>
        <v/>
      </c>
      <c r="I881" s="38" t="str">
        <f>IF(Data!G871="","",IF(Data!G871=Data_Val!$C$2,IF(Data!I871="",0,1),0))</f>
        <v/>
      </c>
      <c r="J881" s="38" t="str">
        <f>IF(Data!I871="","",IF(ISNUMBER(MATCH(Data!J871,Data_Val!$A$2:$A$3,0)),0,1))</f>
        <v/>
      </c>
      <c r="K881" s="38" t="str">
        <f ca="1">IF(Data!I871="","",IF(ISNUMBER(Data!K871),IF(AND(Data!K871&gt;(TODAY()-(Data_Val!$K$3*365.25)),Data!K871&lt;=(TODAY()-(Data_Val!$K$2*365.25))),0,1),1))</f>
        <v/>
      </c>
      <c r="L881" s="16" t="str">
        <f>IF(Data!G871="","",IF(Data!G871=Data_Val!$C$2,IF(Data!L871="",0,1),0))</f>
        <v/>
      </c>
      <c r="M881" s="16" t="str">
        <f>IF(Data!L871="","",IF(ISNUMBER(MATCH(Data!M871,Data_Val!$A$2:$A$3,0)),0,1))</f>
        <v/>
      </c>
      <c r="N881" s="43" t="str">
        <f ca="1">IF(Data!L871="","",IF(ISNUMBER(Data!N871),IF(AND(Data!N871&gt;(TODAY()-(Data_Val!$L$3*365.25)),Data!N871&lt;=(TODAY()-(Data_Val!$L$2*365.25))),0,1),1))</f>
        <v/>
      </c>
      <c r="O881" s="18" t="str">
        <f>IF(Data!$G871="","",IF(Data!$G871=Data_Val!$C$2,IF(Data!O871="",0,1),0))</f>
        <v/>
      </c>
      <c r="P881" s="18" t="str">
        <f>IF(Data!O871="","",IF(ISNUMBER(MATCH(Data!P871,Data_Val!$A$2:$A$3,0)),0,1))</f>
        <v/>
      </c>
      <c r="Q881" s="44" t="str">
        <f ca="1">IF(Data!O871="","",IF(ISNUMBER(Data!Q871),IF(AND(Data!Q871&gt;(TODAY()-(Data_Val!$L$3*365.25)),Data!Q871&lt;=(TODAY()-(Data_Val!$L$2*365.25))),0,1),1))</f>
        <v/>
      </c>
    </row>
    <row r="882" spans="1:17" ht="12" customHeight="1" x14ac:dyDescent="0.25">
      <c r="A882" s="36" t="str">
        <f>IF(Data!B872="","",IF(COUNTIFS(Data!A$1:'Data'!A872,Data!A872)&lt;=1,0,1))</f>
        <v/>
      </c>
      <c r="B882" s="36"/>
      <c r="C882" s="36" t="str">
        <f>IF(Data!C872="","",(IF(ISNUMBER(MATCH("*@*.?*",Data!C872,0)),0,1)+IF(COUNTIFS(Data!C$1:'Data'!C872,Data!C872)&gt;1,1,0)))</f>
        <v/>
      </c>
      <c r="D882" s="36" t="str">
        <f>IF(Data!B872="","",IF(ISNUMBER(Data!D872),IF(AND(Data!D872&gt;999999999,Data!D872&lt;=9999999999),IF(COUNTIFS(Data!D$1:'Data'!D872,Data!D872)&lt;=1,0,1),1),1))</f>
        <v/>
      </c>
      <c r="E882" s="36" t="str">
        <f>IF(Data!B872="","",IF(ISNUMBER(MATCH(Data!E872,Data_Val!$A$2:$A$3,0)),0,1))</f>
        <v/>
      </c>
      <c r="F882" s="36" t="str">
        <f ca="1">IF(Data!B872="","",IF(ISNUMBER(Data!F872),IF(AND(Data!F872&gt;(TODAY()-(Data_Val!$H$3*365.25)),Data!F872&lt;=(TODAY()-(Data_Val!$H$2*365.25))),0,1),1))</f>
        <v/>
      </c>
      <c r="G882" s="12" t="str">
        <f>IF(Data!B872="","",IF(AND(Data!G872="",Data!H872&lt;&gt;""),1,IF(ISNUMBER(MATCH(Data!G872,Data_Val!$C$2:$C$5,0)),0,1)))</f>
        <v/>
      </c>
      <c r="H882" s="12" t="str">
        <f>IF(Data!B872="","",IF(AND(Data!G872&lt;&gt;"",Data!H872=""),1,IF(Data!G872="",1,IF(ISNUMBER(MATCH(Data!H872,Data_Val!$D$2:$D$35,0)),0,1))))</f>
        <v/>
      </c>
      <c r="I882" s="38" t="str">
        <f>IF(Data!G872="","",IF(Data!G872=Data_Val!$C$2,IF(Data!I872="",0,1),0))</f>
        <v/>
      </c>
      <c r="J882" s="38" t="str">
        <f>IF(Data!I872="","",IF(ISNUMBER(MATCH(Data!J872,Data_Val!$A$2:$A$3,0)),0,1))</f>
        <v/>
      </c>
      <c r="K882" s="38" t="str">
        <f ca="1">IF(Data!I872="","",IF(ISNUMBER(Data!K872),IF(AND(Data!K872&gt;(TODAY()-(Data_Val!$K$3*365.25)),Data!K872&lt;=(TODAY()-(Data_Val!$K$2*365.25))),0,1),1))</f>
        <v/>
      </c>
      <c r="L882" s="16" t="str">
        <f>IF(Data!G872="","",IF(Data!G872=Data_Val!$C$2,IF(Data!L872="",0,1),0))</f>
        <v/>
      </c>
      <c r="M882" s="16" t="str">
        <f>IF(Data!L872="","",IF(ISNUMBER(MATCH(Data!M872,Data_Val!$A$2:$A$3,0)),0,1))</f>
        <v/>
      </c>
      <c r="N882" s="43" t="str">
        <f ca="1">IF(Data!L872="","",IF(ISNUMBER(Data!N872),IF(AND(Data!N872&gt;(TODAY()-(Data_Val!$L$3*365.25)),Data!N872&lt;=(TODAY()-(Data_Val!$L$2*365.25))),0,1),1))</f>
        <v/>
      </c>
      <c r="O882" s="18" t="str">
        <f>IF(Data!$G872="","",IF(Data!$G872=Data_Val!$C$2,IF(Data!O872="",0,1),0))</f>
        <v/>
      </c>
      <c r="P882" s="18" t="str">
        <f>IF(Data!O872="","",IF(ISNUMBER(MATCH(Data!P872,Data_Val!$A$2:$A$3,0)),0,1))</f>
        <v/>
      </c>
      <c r="Q882" s="44" t="str">
        <f ca="1">IF(Data!O872="","",IF(ISNUMBER(Data!Q872),IF(AND(Data!Q872&gt;(TODAY()-(Data_Val!$L$3*365.25)),Data!Q872&lt;=(TODAY()-(Data_Val!$L$2*365.25))),0,1),1))</f>
        <v/>
      </c>
    </row>
    <row r="883" spans="1:17" ht="12" customHeight="1" x14ac:dyDescent="0.25">
      <c r="A883" s="36" t="str">
        <f>IF(Data!B873="","",IF(COUNTIFS(Data!A$1:'Data'!A873,Data!A873)&lt;=1,0,1))</f>
        <v/>
      </c>
      <c r="B883" s="36"/>
      <c r="C883" s="36" t="str">
        <f>IF(Data!C873="","",(IF(ISNUMBER(MATCH("*@*.?*",Data!C873,0)),0,1)+IF(COUNTIFS(Data!C$1:'Data'!C873,Data!C873)&gt;1,1,0)))</f>
        <v/>
      </c>
      <c r="D883" s="36" t="str">
        <f>IF(Data!B873="","",IF(ISNUMBER(Data!D873),IF(AND(Data!D873&gt;999999999,Data!D873&lt;=9999999999),IF(COUNTIFS(Data!D$1:'Data'!D873,Data!D873)&lt;=1,0,1),1),1))</f>
        <v/>
      </c>
      <c r="E883" s="36" t="str">
        <f>IF(Data!B873="","",IF(ISNUMBER(MATCH(Data!E873,Data_Val!$A$2:$A$3,0)),0,1))</f>
        <v/>
      </c>
      <c r="F883" s="36" t="str">
        <f ca="1">IF(Data!B873="","",IF(ISNUMBER(Data!F873),IF(AND(Data!F873&gt;(TODAY()-(Data_Val!$H$3*365.25)),Data!F873&lt;=(TODAY()-(Data_Val!$H$2*365.25))),0,1),1))</f>
        <v/>
      </c>
      <c r="G883" s="12" t="str">
        <f>IF(Data!B873="","",IF(AND(Data!G873="",Data!H873&lt;&gt;""),1,IF(ISNUMBER(MATCH(Data!G873,Data_Val!$C$2:$C$5,0)),0,1)))</f>
        <v/>
      </c>
      <c r="H883" s="12" t="str">
        <f>IF(Data!B873="","",IF(AND(Data!G873&lt;&gt;"",Data!H873=""),1,IF(Data!G873="",1,IF(ISNUMBER(MATCH(Data!H873,Data_Val!$D$2:$D$35,0)),0,1))))</f>
        <v/>
      </c>
      <c r="I883" s="38" t="str">
        <f>IF(Data!G873="","",IF(Data!G873=Data_Val!$C$2,IF(Data!I873="",0,1),0))</f>
        <v/>
      </c>
      <c r="J883" s="38" t="str">
        <f>IF(Data!I873="","",IF(ISNUMBER(MATCH(Data!J873,Data_Val!$A$2:$A$3,0)),0,1))</f>
        <v/>
      </c>
      <c r="K883" s="38" t="str">
        <f ca="1">IF(Data!I873="","",IF(ISNUMBER(Data!K873),IF(AND(Data!K873&gt;(TODAY()-(Data_Val!$K$3*365.25)),Data!K873&lt;=(TODAY()-(Data_Val!$K$2*365.25))),0,1),1))</f>
        <v/>
      </c>
      <c r="L883" s="16" t="str">
        <f>IF(Data!G873="","",IF(Data!G873=Data_Val!$C$2,IF(Data!L873="",0,1),0))</f>
        <v/>
      </c>
      <c r="M883" s="16" t="str">
        <f>IF(Data!L873="","",IF(ISNUMBER(MATCH(Data!M873,Data_Val!$A$2:$A$3,0)),0,1))</f>
        <v/>
      </c>
      <c r="N883" s="43" t="str">
        <f ca="1">IF(Data!L873="","",IF(ISNUMBER(Data!N873),IF(AND(Data!N873&gt;(TODAY()-(Data_Val!$L$3*365.25)),Data!N873&lt;=(TODAY()-(Data_Val!$L$2*365.25))),0,1),1))</f>
        <v/>
      </c>
      <c r="O883" s="18" t="str">
        <f>IF(Data!$G873="","",IF(Data!$G873=Data_Val!$C$2,IF(Data!O873="",0,1),0))</f>
        <v/>
      </c>
      <c r="P883" s="18" t="str">
        <f>IF(Data!O873="","",IF(ISNUMBER(MATCH(Data!P873,Data_Val!$A$2:$A$3,0)),0,1))</f>
        <v/>
      </c>
      <c r="Q883" s="44" t="str">
        <f ca="1">IF(Data!O873="","",IF(ISNUMBER(Data!Q873),IF(AND(Data!Q873&gt;(TODAY()-(Data_Val!$L$3*365.25)),Data!Q873&lt;=(TODAY()-(Data_Val!$L$2*365.25))),0,1),1))</f>
        <v/>
      </c>
    </row>
    <row r="884" spans="1:17" ht="12" customHeight="1" x14ac:dyDescent="0.25">
      <c r="A884" s="36" t="str">
        <f>IF(Data!B874="","",IF(COUNTIFS(Data!A$1:'Data'!A874,Data!A874)&lt;=1,0,1))</f>
        <v/>
      </c>
      <c r="B884" s="36"/>
      <c r="C884" s="36" t="str">
        <f>IF(Data!C874="","",(IF(ISNUMBER(MATCH("*@*.?*",Data!C874,0)),0,1)+IF(COUNTIFS(Data!C$1:'Data'!C874,Data!C874)&gt;1,1,0)))</f>
        <v/>
      </c>
      <c r="D884" s="36" t="str">
        <f>IF(Data!B874="","",IF(ISNUMBER(Data!D874),IF(AND(Data!D874&gt;999999999,Data!D874&lt;=9999999999),IF(COUNTIFS(Data!D$1:'Data'!D874,Data!D874)&lt;=1,0,1),1),1))</f>
        <v/>
      </c>
      <c r="E884" s="36" t="str">
        <f>IF(Data!B874="","",IF(ISNUMBER(MATCH(Data!E874,Data_Val!$A$2:$A$3,0)),0,1))</f>
        <v/>
      </c>
      <c r="F884" s="36" t="str">
        <f ca="1">IF(Data!B874="","",IF(ISNUMBER(Data!F874),IF(AND(Data!F874&gt;(TODAY()-(Data_Val!$H$3*365.25)),Data!F874&lt;=(TODAY()-(Data_Val!$H$2*365.25))),0,1),1))</f>
        <v/>
      </c>
      <c r="G884" s="12" t="str">
        <f>IF(Data!B874="","",IF(AND(Data!G874="",Data!H874&lt;&gt;""),1,IF(ISNUMBER(MATCH(Data!G874,Data_Val!$C$2:$C$5,0)),0,1)))</f>
        <v/>
      </c>
      <c r="H884" s="12" t="str">
        <f>IF(Data!B874="","",IF(AND(Data!G874&lt;&gt;"",Data!H874=""),1,IF(Data!G874="",1,IF(ISNUMBER(MATCH(Data!H874,Data_Val!$D$2:$D$35,0)),0,1))))</f>
        <v/>
      </c>
      <c r="I884" s="38" t="str">
        <f>IF(Data!G874="","",IF(Data!G874=Data_Val!$C$2,IF(Data!I874="",0,1),0))</f>
        <v/>
      </c>
      <c r="J884" s="38" t="str">
        <f>IF(Data!I874="","",IF(ISNUMBER(MATCH(Data!J874,Data_Val!$A$2:$A$3,0)),0,1))</f>
        <v/>
      </c>
      <c r="K884" s="38" t="str">
        <f ca="1">IF(Data!I874="","",IF(ISNUMBER(Data!K874),IF(AND(Data!K874&gt;(TODAY()-(Data_Val!$K$3*365.25)),Data!K874&lt;=(TODAY()-(Data_Val!$K$2*365.25))),0,1),1))</f>
        <v/>
      </c>
      <c r="L884" s="16" t="str">
        <f>IF(Data!G874="","",IF(Data!G874=Data_Val!$C$2,IF(Data!L874="",0,1),0))</f>
        <v/>
      </c>
      <c r="M884" s="16" t="str">
        <f>IF(Data!L874="","",IF(ISNUMBER(MATCH(Data!M874,Data_Val!$A$2:$A$3,0)),0,1))</f>
        <v/>
      </c>
      <c r="N884" s="43" t="str">
        <f ca="1">IF(Data!L874="","",IF(ISNUMBER(Data!N874),IF(AND(Data!N874&gt;(TODAY()-(Data_Val!$L$3*365.25)),Data!N874&lt;=(TODAY()-(Data_Val!$L$2*365.25))),0,1),1))</f>
        <v/>
      </c>
      <c r="O884" s="18" t="str">
        <f>IF(Data!$G874="","",IF(Data!$G874=Data_Val!$C$2,IF(Data!O874="",0,1),0))</f>
        <v/>
      </c>
      <c r="P884" s="18" t="str">
        <f>IF(Data!O874="","",IF(ISNUMBER(MATCH(Data!P874,Data_Val!$A$2:$A$3,0)),0,1))</f>
        <v/>
      </c>
      <c r="Q884" s="44" t="str">
        <f ca="1">IF(Data!O874="","",IF(ISNUMBER(Data!Q874),IF(AND(Data!Q874&gt;(TODAY()-(Data_Val!$L$3*365.25)),Data!Q874&lt;=(TODAY()-(Data_Val!$L$2*365.25))),0,1),1))</f>
        <v/>
      </c>
    </row>
    <row r="885" spans="1:17" ht="12" customHeight="1" x14ac:dyDescent="0.25">
      <c r="A885" s="36" t="str">
        <f>IF(Data!B875="","",IF(COUNTIFS(Data!A$1:'Data'!A875,Data!A875)&lt;=1,0,1))</f>
        <v/>
      </c>
      <c r="B885" s="36"/>
      <c r="C885" s="36" t="str">
        <f>IF(Data!C875="","",(IF(ISNUMBER(MATCH("*@*.?*",Data!C875,0)),0,1)+IF(COUNTIFS(Data!C$1:'Data'!C875,Data!C875)&gt;1,1,0)))</f>
        <v/>
      </c>
      <c r="D885" s="36" t="str">
        <f>IF(Data!B875="","",IF(ISNUMBER(Data!D875),IF(AND(Data!D875&gt;999999999,Data!D875&lt;=9999999999),IF(COUNTIFS(Data!D$1:'Data'!D875,Data!D875)&lt;=1,0,1),1),1))</f>
        <v/>
      </c>
      <c r="E885" s="36" t="str">
        <f>IF(Data!B875="","",IF(ISNUMBER(MATCH(Data!E875,Data_Val!$A$2:$A$3,0)),0,1))</f>
        <v/>
      </c>
      <c r="F885" s="36" t="str">
        <f ca="1">IF(Data!B875="","",IF(ISNUMBER(Data!F875),IF(AND(Data!F875&gt;(TODAY()-(Data_Val!$H$3*365.25)),Data!F875&lt;=(TODAY()-(Data_Val!$H$2*365.25))),0,1),1))</f>
        <v/>
      </c>
      <c r="G885" s="12" t="str">
        <f>IF(Data!B875="","",IF(AND(Data!G875="",Data!H875&lt;&gt;""),1,IF(ISNUMBER(MATCH(Data!G875,Data_Val!$C$2:$C$5,0)),0,1)))</f>
        <v/>
      </c>
      <c r="H885" s="12" t="str">
        <f>IF(Data!B875="","",IF(AND(Data!G875&lt;&gt;"",Data!H875=""),1,IF(Data!G875="",1,IF(ISNUMBER(MATCH(Data!H875,Data_Val!$D$2:$D$35,0)),0,1))))</f>
        <v/>
      </c>
      <c r="I885" s="38" t="str">
        <f>IF(Data!G875="","",IF(Data!G875=Data_Val!$C$2,IF(Data!I875="",0,1),0))</f>
        <v/>
      </c>
      <c r="J885" s="38" t="str">
        <f>IF(Data!I875="","",IF(ISNUMBER(MATCH(Data!J875,Data_Val!$A$2:$A$3,0)),0,1))</f>
        <v/>
      </c>
      <c r="K885" s="38" t="str">
        <f ca="1">IF(Data!I875="","",IF(ISNUMBER(Data!K875),IF(AND(Data!K875&gt;(TODAY()-(Data_Val!$K$3*365.25)),Data!K875&lt;=(TODAY()-(Data_Val!$K$2*365.25))),0,1),1))</f>
        <v/>
      </c>
      <c r="L885" s="16" t="str">
        <f>IF(Data!G875="","",IF(Data!G875=Data_Val!$C$2,IF(Data!L875="",0,1),0))</f>
        <v/>
      </c>
      <c r="M885" s="16" t="str">
        <f>IF(Data!L875="","",IF(ISNUMBER(MATCH(Data!M875,Data_Val!$A$2:$A$3,0)),0,1))</f>
        <v/>
      </c>
      <c r="N885" s="43" t="str">
        <f ca="1">IF(Data!L875="","",IF(ISNUMBER(Data!N875),IF(AND(Data!N875&gt;(TODAY()-(Data_Val!$L$3*365.25)),Data!N875&lt;=(TODAY()-(Data_Val!$L$2*365.25))),0,1),1))</f>
        <v/>
      </c>
      <c r="O885" s="18" t="str">
        <f>IF(Data!$G875="","",IF(Data!$G875=Data_Val!$C$2,IF(Data!O875="",0,1),0))</f>
        <v/>
      </c>
      <c r="P885" s="18" t="str">
        <f>IF(Data!O875="","",IF(ISNUMBER(MATCH(Data!P875,Data_Val!$A$2:$A$3,0)),0,1))</f>
        <v/>
      </c>
      <c r="Q885" s="44" t="str">
        <f ca="1">IF(Data!O875="","",IF(ISNUMBER(Data!Q875),IF(AND(Data!Q875&gt;(TODAY()-(Data_Val!$L$3*365.25)),Data!Q875&lt;=(TODAY()-(Data_Val!$L$2*365.25))),0,1),1))</f>
        <v/>
      </c>
    </row>
    <row r="886" spans="1:17" ht="12" customHeight="1" x14ac:dyDescent="0.25">
      <c r="A886" s="36" t="str">
        <f>IF(Data!B876="","",IF(COUNTIFS(Data!A$1:'Data'!A876,Data!A876)&lt;=1,0,1))</f>
        <v/>
      </c>
      <c r="B886" s="36"/>
      <c r="C886" s="36" t="str">
        <f>IF(Data!C876="","",(IF(ISNUMBER(MATCH("*@*.?*",Data!C876,0)),0,1)+IF(COUNTIFS(Data!C$1:'Data'!C876,Data!C876)&gt;1,1,0)))</f>
        <v/>
      </c>
      <c r="D886" s="36" t="str">
        <f>IF(Data!B876="","",IF(ISNUMBER(Data!D876),IF(AND(Data!D876&gt;999999999,Data!D876&lt;=9999999999),IF(COUNTIFS(Data!D$1:'Data'!D876,Data!D876)&lt;=1,0,1),1),1))</f>
        <v/>
      </c>
      <c r="E886" s="36" t="str">
        <f>IF(Data!B876="","",IF(ISNUMBER(MATCH(Data!E876,Data_Val!$A$2:$A$3,0)),0,1))</f>
        <v/>
      </c>
      <c r="F886" s="36" t="str">
        <f ca="1">IF(Data!B876="","",IF(ISNUMBER(Data!F876),IF(AND(Data!F876&gt;(TODAY()-(Data_Val!$H$3*365.25)),Data!F876&lt;=(TODAY()-(Data_Val!$H$2*365.25))),0,1),1))</f>
        <v/>
      </c>
      <c r="G886" s="12" t="str">
        <f>IF(Data!B876="","",IF(AND(Data!G876="",Data!H876&lt;&gt;""),1,IF(ISNUMBER(MATCH(Data!G876,Data_Val!$C$2:$C$5,0)),0,1)))</f>
        <v/>
      </c>
      <c r="H886" s="12" t="str">
        <f>IF(Data!B876="","",IF(AND(Data!G876&lt;&gt;"",Data!H876=""),1,IF(Data!G876="",1,IF(ISNUMBER(MATCH(Data!H876,Data_Val!$D$2:$D$35,0)),0,1))))</f>
        <v/>
      </c>
      <c r="I886" s="38" t="str">
        <f>IF(Data!G876="","",IF(Data!G876=Data_Val!$C$2,IF(Data!I876="",0,1),0))</f>
        <v/>
      </c>
      <c r="J886" s="38" t="str">
        <f>IF(Data!I876="","",IF(ISNUMBER(MATCH(Data!J876,Data_Val!$A$2:$A$3,0)),0,1))</f>
        <v/>
      </c>
      <c r="K886" s="38" t="str">
        <f ca="1">IF(Data!I876="","",IF(ISNUMBER(Data!K876),IF(AND(Data!K876&gt;(TODAY()-(Data_Val!$K$3*365.25)),Data!K876&lt;=(TODAY()-(Data_Val!$K$2*365.25))),0,1),1))</f>
        <v/>
      </c>
      <c r="L886" s="16" t="str">
        <f>IF(Data!G876="","",IF(Data!G876=Data_Val!$C$2,IF(Data!L876="",0,1),0))</f>
        <v/>
      </c>
      <c r="M886" s="16" t="str">
        <f>IF(Data!L876="","",IF(ISNUMBER(MATCH(Data!M876,Data_Val!$A$2:$A$3,0)),0,1))</f>
        <v/>
      </c>
      <c r="N886" s="43" t="str">
        <f ca="1">IF(Data!L876="","",IF(ISNUMBER(Data!N876),IF(AND(Data!N876&gt;(TODAY()-(Data_Val!$L$3*365.25)),Data!N876&lt;=(TODAY()-(Data_Val!$L$2*365.25))),0,1),1))</f>
        <v/>
      </c>
      <c r="O886" s="18" t="str">
        <f>IF(Data!$G876="","",IF(Data!$G876=Data_Val!$C$2,IF(Data!O876="",0,1),0))</f>
        <v/>
      </c>
      <c r="P886" s="18" t="str">
        <f>IF(Data!O876="","",IF(ISNUMBER(MATCH(Data!P876,Data_Val!$A$2:$A$3,0)),0,1))</f>
        <v/>
      </c>
      <c r="Q886" s="44" t="str">
        <f ca="1">IF(Data!O876="","",IF(ISNUMBER(Data!Q876),IF(AND(Data!Q876&gt;(TODAY()-(Data_Val!$L$3*365.25)),Data!Q876&lt;=(TODAY()-(Data_Val!$L$2*365.25))),0,1),1))</f>
        <v/>
      </c>
    </row>
    <row r="887" spans="1:17" ht="12" customHeight="1" x14ac:dyDescent="0.25">
      <c r="A887" s="36" t="str">
        <f>IF(Data!B877="","",IF(COUNTIFS(Data!A$1:'Data'!A877,Data!A877)&lt;=1,0,1))</f>
        <v/>
      </c>
      <c r="B887" s="36"/>
      <c r="C887" s="36" t="str">
        <f>IF(Data!C877="","",(IF(ISNUMBER(MATCH("*@*.?*",Data!C877,0)),0,1)+IF(COUNTIFS(Data!C$1:'Data'!C877,Data!C877)&gt;1,1,0)))</f>
        <v/>
      </c>
      <c r="D887" s="36" t="str">
        <f>IF(Data!B877="","",IF(ISNUMBER(Data!D877),IF(AND(Data!D877&gt;999999999,Data!D877&lt;=9999999999),IF(COUNTIFS(Data!D$1:'Data'!D877,Data!D877)&lt;=1,0,1),1),1))</f>
        <v/>
      </c>
      <c r="E887" s="36" t="str">
        <f>IF(Data!B877="","",IF(ISNUMBER(MATCH(Data!E877,Data_Val!$A$2:$A$3,0)),0,1))</f>
        <v/>
      </c>
      <c r="F887" s="36" t="str">
        <f ca="1">IF(Data!B877="","",IF(ISNUMBER(Data!F877),IF(AND(Data!F877&gt;(TODAY()-(Data_Val!$H$3*365.25)),Data!F877&lt;=(TODAY()-(Data_Val!$H$2*365.25))),0,1),1))</f>
        <v/>
      </c>
      <c r="G887" s="12" t="str">
        <f>IF(Data!B877="","",IF(AND(Data!G877="",Data!H877&lt;&gt;""),1,IF(ISNUMBER(MATCH(Data!G877,Data_Val!$C$2:$C$5,0)),0,1)))</f>
        <v/>
      </c>
      <c r="H887" s="12" t="str">
        <f>IF(Data!B877="","",IF(AND(Data!G877&lt;&gt;"",Data!H877=""),1,IF(Data!G877="",1,IF(ISNUMBER(MATCH(Data!H877,Data_Val!$D$2:$D$35,0)),0,1))))</f>
        <v/>
      </c>
      <c r="I887" s="38" t="str">
        <f>IF(Data!G877="","",IF(Data!G877=Data_Val!$C$2,IF(Data!I877="",0,1),0))</f>
        <v/>
      </c>
      <c r="J887" s="38" t="str">
        <f>IF(Data!I877="","",IF(ISNUMBER(MATCH(Data!J877,Data_Val!$A$2:$A$3,0)),0,1))</f>
        <v/>
      </c>
      <c r="K887" s="38" t="str">
        <f ca="1">IF(Data!I877="","",IF(ISNUMBER(Data!K877),IF(AND(Data!K877&gt;(TODAY()-(Data_Val!$K$3*365.25)),Data!K877&lt;=(TODAY()-(Data_Val!$K$2*365.25))),0,1),1))</f>
        <v/>
      </c>
      <c r="L887" s="16" t="str">
        <f>IF(Data!G877="","",IF(Data!G877=Data_Val!$C$2,IF(Data!L877="",0,1),0))</f>
        <v/>
      </c>
      <c r="M887" s="16" t="str">
        <f>IF(Data!L877="","",IF(ISNUMBER(MATCH(Data!M877,Data_Val!$A$2:$A$3,0)),0,1))</f>
        <v/>
      </c>
      <c r="N887" s="43" t="str">
        <f ca="1">IF(Data!L877="","",IF(ISNUMBER(Data!N877),IF(AND(Data!N877&gt;(TODAY()-(Data_Val!$L$3*365.25)),Data!N877&lt;=(TODAY()-(Data_Val!$L$2*365.25))),0,1),1))</f>
        <v/>
      </c>
      <c r="O887" s="18" t="str">
        <f>IF(Data!$G877="","",IF(Data!$G877=Data_Val!$C$2,IF(Data!O877="",0,1),0))</f>
        <v/>
      </c>
      <c r="P887" s="18" t="str">
        <f>IF(Data!O877="","",IF(ISNUMBER(MATCH(Data!P877,Data_Val!$A$2:$A$3,0)),0,1))</f>
        <v/>
      </c>
      <c r="Q887" s="44" t="str">
        <f ca="1">IF(Data!O877="","",IF(ISNUMBER(Data!Q877),IF(AND(Data!Q877&gt;(TODAY()-(Data_Val!$L$3*365.25)),Data!Q877&lt;=(TODAY()-(Data_Val!$L$2*365.25))),0,1),1))</f>
        <v/>
      </c>
    </row>
    <row r="888" spans="1:17" ht="12" customHeight="1" x14ac:dyDescent="0.25">
      <c r="A888" s="36" t="str">
        <f>IF(Data!B878="","",IF(COUNTIFS(Data!A$1:'Data'!A878,Data!A878)&lt;=1,0,1))</f>
        <v/>
      </c>
      <c r="B888" s="36"/>
      <c r="C888" s="36" t="str">
        <f>IF(Data!C878="","",(IF(ISNUMBER(MATCH("*@*.?*",Data!C878,0)),0,1)+IF(COUNTIFS(Data!C$1:'Data'!C878,Data!C878)&gt;1,1,0)))</f>
        <v/>
      </c>
      <c r="D888" s="36" t="str">
        <f>IF(Data!B878="","",IF(ISNUMBER(Data!D878),IF(AND(Data!D878&gt;999999999,Data!D878&lt;=9999999999),IF(COUNTIFS(Data!D$1:'Data'!D878,Data!D878)&lt;=1,0,1),1),1))</f>
        <v/>
      </c>
      <c r="E888" s="36" t="str">
        <f>IF(Data!B878="","",IF(ISNUMBER(MATCH(Data!E878,Data_Val!$A$2:$A$3,0)),0,1))</f>
        <v/>
      </c>
      <c r="F888" s="36" t="str">
        <f ca="1">IF(Data!B878="","",IF(ISNUMBER(Data!F878),IF(AND(Data!F878&gt;(TODAY()-(Data_Val!$H$3*365.25)),Data!F878&lt;=(TODAY()-(Data_Val!$H$2*365.25))),0,1),1))</f>
        <v/>
      </c>
      <c r="G888" s="12" t="str">
        <f>IF(Data!B878="","",IF(AND(Data!G878="",Data!H878&lt;&gt;""),1,IF(ISNUMBER(MATCH(Data!G878,Data_Val!$C$2:$C$5,0)),0,1)))</f>
        <v/>
      </c>
      <c r="H888" s="12" t="str">
        <f>IF(Data!B878="","",IF(AND(Data!G878&lt;&gt;"",Data!H878=""),1,IF(Data!G878="",1,IF(ISNUMBER(MATCH(Data!H878,Data_Val!$D$2:$D$35,0)),0,1))))</f>
        <v/>
      </c>
      <c r="I888" s="38" t="str">
        <f>IF(Data!G878="","",IF(Data!G878=Data_Val!$C$2,IF(Data!I878="",0,1),0))</f>
        <v/>
      </c>
      <c r="J888" s="38" t="str">
        <f>IF(Data!I878="","",IF(ISNUMBER(MATCH(Data!J878,Data_Val!$A$2:$A$3,0)),0,1))</f>
        <v/>
      </c>
      <c r="K888" s="38" t="str">
        <f ca="1">IF(Data!I878="","",IF(ISNUMBER(Data!K878),IF(AND(Data!K878&gt;(TODAY()-(Data_Val!$K$3*365.25)),Data!K878&lt;=(TODAY()-(Data_Val!$K$2*365.25))),0,1),1))</f>
        <v/>
      </c>
      <c r="L888" s="16" t="str">
        <f>IF(Data!G878="","",IF(Data!G878=Data_Val!$C$2,IF(Data!L878="",0,1),0))</f>
        <v/>
      </c>
      <c r="M888" s="16" t="str">
        <f>IF(Data!L878="","",IF(ISNUMBER(MATCH(Data!M878,Data_Val!$A$2:$A$3,0)),0,1))</f>
        <v/>
      </c>
      <c r="N888" s="43" t="str">
        <f ca="1">IF(Data!L878="","",IF(ISNUMBER(Data!N878),IF(AND(Data!N878&gt;(TODAY()-(Data_Val!$L$3*365.25)),Data!N878&lt;=(TODAY()-(Data_Val!$L$2*365.25))),0,1),1))</f>
        <v/>
      </c>
      <c r="O888" s="18" t="str">
        <f>IF(Data!$G878="","",IF(Data!$G878=Data_Val!$C$2,IF(Data!O878="",0,1),0))</f>
        <v/>
      </c>
      <c r="P888" s="18" t="str">
        <f>IF(Data!O878="","",IF(ISNUMBER(MATCH(Data!P878,Data_Val!$A$2:$A$3,0)),0,1))</f>
        <v/>
      </c>
      <c r="Q888" s="44" t="str">
        <f ca="1">IF(Data!O878="","",IF(ISNUMBER(Data!Q878),IF(AND(Data!Q878&gt;(TODAY()-(Data_Val!$L$3*365.25)),Data!Q878&lt;=(TODAY()-(Data_Val!$L$2*365.25))),0,1),1))</f>
        <v/>
      </c>
    </row>
    <row r="889" spans="1:17" ht="12" customHeight="1" x14ac:dyDescent="0.25">
      <c r="A889" s="36" t="str">
        <f>IF(Data!B879="","",IF(COUNTIFS(Data!A$1:'Data'!A879,Data!A879)&lt;=1,0,1))</f>
        <v/>
      </c>
      <c r="B889" s="36"/>
      <c r="C889" s="36" t="str">
        <f>IF(Data!C879="","",(IF(ISNUMBER(MATCH("*@*.?*",Data!C879,0)),0,1)+IF(COUNTIFS(Data!C$1:'Data'!C879,Data!C879)&gt;1,1,0)))</f>
        <v/>
      </c>
      <c r="D889" s="36" t="str">
        <f>IF(Data!B879="","",IF(ISNUMBER(Data!D879),IF(AND(Data!D879&gt;999999999,Data!D879&lt;=9999999999),IF(COUNTIFS(Data!D$1:'Data'!D879,Data!D879)&lt;=1,0,1),1),1))</f>
        <v/>
      </c>
      <c r="E889" s="36" t="str">
        <f>IF(Data!B879="","",IF(ISNUMBER(MATCH(Data!E879,Data_Val!$A$2:$A$3,0)),0,1))</f>
        <v/>
      </c>
      <c r="F889" s="36" t="str">
        <f ca="1">IF(Data!B879="","",IF(ISNUMBER(Data!F879),IF(AND(Data!F879&gt;(TODAY()-(Data_Val!$H$3*365.25)),Data!F879&lt;=(TODAY()-(Data_Val!$H$2*365.25))),0,1),1))</f>
        <v/>
      </c>
      <c r="G889" s="12" t="str">
        <f>IF(Data!B879="","",IF(AND(Data!G879="",Data!H879&lt;&gt;""),1,IF(ISNUMBER(MATCH(Data!G879,Data_Val!$C$2:$C$5,0)),0,1)))</f>
        <v/>
      </c>
      <c r="H889" s="12" t="str">
        <f>IF(Data!B879="","",IF(AND(Data!G879&lt;&gt;"",Data!H879=""),1,IF(Data!G879="",1,IF(ISNUMBER(MATCH(Data!H879,Data_Val!$D$2:$D$35,0)),0,1))))</f>
        <v/>
      </c>
      <c r="I889" s="38" t="str">
        <f>IF(Data!G879="","",IF(Data!G879=Data_Val!$C$2,IF(Data!I879="",0,1),0))</f>
        <v/>
      </c>
      <c r="J889" s="38" t="str">
        <f>IF(Data!I879="","",IF(ISNUMBER(MATCH(Data!J879,Data_Val!$A$2:$A$3,0)),0,1))</f>
        <v/>
      </c>
      <c r="K889" s="38" t="str">
        <f ca="1">IF(Data!I879="","",IF(ISNUMBER(Data!K879),IF(AND(Data!K879&gt;(TODAY()-(Data_Val!$K$3*365.25)),Data!K879&lt;=(TODAY()-(Data_Val!$K$2*365.25))),0,1),1))</f>
        <v/>
      </c>
      <c r="L889" s="16" t="str">
        <f>IF(Data!G879="","",IF(Data!G879=Data_Val!$C$2,IF(Data!L879="",0,1),0))</f>
        <v/>
      </c>
      <c r="M889" s="16" t="str">
        <f>IF(Data!L879="","",IF(ISNUMBER(MATCH(Data!M879,Data_Val!$A$2:$A$3,0)),0,1))</f>
        <v/>
      </c>
      <c r="N889" s="43" t="str">
        <f ca="1">IF(Data!L879="","",IF(ISNUMBER(Data!N879),IF(AND(Data!N879&gt;(TODAY()-(Data_Val!$L$3*365.25)),Data!N879&lt;=(TODAY()-(Data_Val!$L$2*365.25))),0,1),1))</f>
        <v/>
      </c>
      <c r="O889" s="18" t="str">
        <f>IF(Data!$G879="","",IF(Data!$G879=Data_Val!$C$2,IF(Data!O879="",0,1),0))</f>
        <v/>
      </c>
      <c r="P889" s="18" t="str">
        <f>IF(Data!O879="","",IF(ISNUMBER(MATCH(Data!P879,Data_Val!$A$2:$A$3,0)),0,1))</f>
        <v/>
      </c>
      <c r="Q889" s="44" t="str">
        <f ca="1">IF(Data!O879="","",IF(ISNUMBER(Data!Q879),IF(AND(Data!Q879&gt;(TODAY()-(Data_Val!$L$3*365.25)),Data!Q879&lt;=(TODAY()-(Data_Val!$L$2*365.25))),0,1),1))</f>
        <v/>
      </c>
    </row>
    <row r="890" spans="1:17" ht="12" customHeight="1" x14ac:dyDescent="0.25">
      <c r="A890" s="36" t="str">
        <f>IF(Data!B880="","",IF(COUNTIFS(Data!A$1:'Data'!A880,Data!A880)&lt;=1,0,1))</f>
        <v/>
      </c>
      <c r="B890" s="36"/>
      <c r="C890" s="36" t="str">
        <f>IF(Data!C880="","",(IF(ISNUMBER(MATCH("*@*.?*",Data!C880,0)),0,1)+IF(COUNTIFS(Data!C$1:'Data'!C880,Data!C880)&gt;1,1,0)))</f>
        <v/>
      </c>
      <c r="D890" s="36" t="str">
        <f>IF(Data!B880="","",IF(ISNUMBER(Data!D880),IF(AND(Data!D880&gt;999999999,Data!D880&lt;=9999999999),IF(COUNTIFS(Data!D$1:'Data'!D880,Data!D880)&lt;=1,0,1),1),1))</f>
        <v/>
      </c>
      <c r="E890" s="36" t="str">
        <f>IF(Data!B880="","",IF(ISNUMBER(MATCH(Data!E880,Data_Val!$A$2:$A$3,0)),0,1))</f>
        <v/>
      </c>
      <c r="F890" s="36" t="str">
        <f ca="1">IF(Data!B880="","",IF(ISNUMBER(Data!F880),IF(AND(Data!F880&gt;(TODAY()-(Data_Val!$H$3*365.25)),Data!F880&lt;=(TODAY()-(Data_Val!$H$2*365.25))),0,1),1))</f>
        <v/>
      </c>
      <c r="G890" s="12" t="str">
        <f>IF(Data!B880="","",IF(AND(Data!G880="",Data!H880&lt;&gt;""),1,IF(ISNUMBER(MATCH(Data!G880,Data_Val!$C$2:$C$5,0)),0,1)))</f>
        <v/>
      </c>
      <c r="H890" s="12" t="str">
        <f>IF(Data!B880="","",IF(AND(Data!G880&lt;&gt;"",Data!H880=""),1,IF(Data!G880="",1,IF(ISNUMBER(MATCH(Data!H880,Data_Val!$D$2:$D$35,0)),0,1))))</f>
        <v/>
      </c>
      <c r="I890" s="38" t="str">
        <f>IF(Data!G880="","",IF(Data!G880=Data_Val!$C$2,IF(Data!I880="",0,1),0))</f>
        <v/>
      </c>
      <c r="J890" s="38" t="str">
        <f>IF(Data!I880="","",IF(ISNUMBER(MATCH(Data!J880,Data_Val!$A$2:$A$3,0)),0,1))</f>
        <v/>
      </c>
      <c r="K890" s="38" t="str">
        <f ca="1">IF(Data!I880="","",IF(ISNUMBER(Data!K880),IF(AND(Data!K880&gt;(TODAY()-(Data_Val!$K$3*365.25)),Data!K880&lt;=(TODAY()-(Data_Val!$K$2*365.25))),0,1),1))</f>
        <v/>
      </c>
      <c r="L890" s="16" t="str">
        <f>IF(Data!G880="","",IF(Data!G880=Data_Val!$C$2,IF(Data!L880="",0,1),0))</f>
        <v/>
      </c>
      <c r="M890" s="16" t="str">
        <f>IF(Data!L880="","",IF(ISNUMBER(MATCH(Data!M880,Data_Val!$A$2:$A$3,0)),0,1))</f>
        <v/>
      </c>
      <c r="N890" s="43" t="str">
        <f ca="1">IF(Data!L880="","",IF(ISNUMBER(Data!N880),IF(AND(Data!N880&gt;(TODAY()-(Data_Val!$L$3*365.25)),Data!N880&lt;=(TODAY()-(Data_Val!$L$2*365.25))),0,1),1))</f>
        <v/>
      </c>
      <c r="O890" s="18" t="str">
        <f>IF(Data!$G880="","",IF(Data!$G880=Data_Val!$C$2,IF(Data!O880="",0,1),0))</f>
        <v/>
      </c>
      <c r="P890" s="18" t="str">
        <f>IF(Data!O880="","",IF(ISNUMBER(MATCH(Data!P880,Data_Val!$A$2:$A$3,0)),0,1))</f>
        <v/>
      </c>
      <c r="Q890" s="44" t="str">
        <f ca="1">IF(Data!O880="","",IF(ISNUMBER(Data!Q880),IF(AND(Data!Q880&gt;(TODAY()-(Data_Val!$L$3*365.25)),Data!Q880&lt;=(TODAY()-(Data_Val!$L$2*365.25))),0,1),1))</f>
        <v/>
      </c>
    </row>
    <row r="891" spans="1:17" ht="12" customHeight="1" x14ac:dyDescent="0.25">
      <c r="A891" s="36" t="str">
        <f>IF(Data!B881="","",IF(COUNTIFS(Data!A$1:'Data'!A881,Data!A881)&lt;=1,0,1))</f>
        <v/>
      </c>
      <c r="B891" s="36"/>
      <c r="C891" s="36" t="str">
        <f>IF(Data!C881="","",(IF(ISNUMBER(MATCH("*@*.?*",Data!C881,0)),0,1)+IF(COUNTIFS(Data!C$1:'Data'!C881,Data!C881)&gt;1,1,0)))</f>
        <v/>
      </c>
      <c r="D891" s="36" t="str">
        <f>IF(Data!B881="","",IF(ISNUMBER(Data!D881),IF(AND(Data!D881&gt;999999999,Data!D881&lt;=9999999999),IF(COUNTIFS(Data!D$1:'Data'!D881,Data!D881)&lt;=1,0,1),1),1))</f>
        <v/>
      </c>
      <c r="E891" s="36" t="str">
        <f>IF(Data!B881="","",IF(ISNUMBER(MATCH(Data!E881,Data_Val!$A$2:$A$3,0)),0,1))</f>
        <v/>
      </c>
      <c r="F891" s="36" t="str">
        <f ca="1">IF(Data!B881="","",IF(ISNUMBER(Data!F881),IF(AND(Data!F881&gt;(TODAY()-(Data_Val!$H$3*365.25)),Data!F881&lt;=(TODAY()-(Data_Val!$H$2*365.25))),0,1),1))</f>
        <v/>
      </c>
      <c r="G891" s="12" t="str">
        <f>IF(Data!B881="","",IF(AND(Data!G881="",Data!H881&lt;&gt;""),1,IF(ISNUMBER(MATCH(Data!G881,Data_Val!$C$2:$C$5,0)),0,1)))</f>
        <v/>
      </c>
      <c r="H891" s="12" t="str">
        <f>IF(Data!B881="","",IF(AND(Data!G881&lt;&gt;"",Data!H881=""),1,IF(Data!G881="",1,IF(ISNUMBER(MATCH(Data!H881,Data_Val!$D$2:$D$35,0)),0,1))))</f>
        <v/>
      </c>
      <c r="I891" s="38" t="str">
        <f>IF(Data!G881="","",IF(Data!G881=Data_Val!$C$2,IF(Data!I881="",0,1),0))</f>
        <v/>
      </c>
      <c r="J891" s="38" t="str">
        <f>IF(Data!I881="","",IF(ISNUMBER(MATCH(Data!J881,Data_Val!$A$2:$A$3,0)),0,1))</f>
        <v/>
      </c>
      <c r="K891" s="38" t="str">
        <f ca="1">IF(Data!I881="","",IF(ISNUMBER(Data!K881),IF(AND(Data!K881&gt;(TODAY()-(Data_Val!$K$3*365.25)),Data!K881&lt;=(TODAY()-(Data_Val!$K$2*365.25))),0,1),1))</f>
        <v/>
      </c>
      <c r="L891" s="16" t="str">
        <f>IF(Data!G881="","",IF(Data!G881=Data_Val!$C$2,IF(Data!L881="",0,1),0))</f>
        <v/>
      </c>
      <c r="M891" s="16" t="str">
        <f>IF(Data!L881="","",IF(ISNUMBER(MATCH(Data!M881,Data_Val!$A$2:$A$3,0)),0,1))</f>
        <v/>
      </c>
      <c r="N891" s="43" t="str">
        <f ca="1">IF(Data!L881="","",IF(ISNUMBER(Data!N881),IF(AND(Data!N881&gt;(TODAY()-(Data_Val!$L$3*365.25)),Data!N881&lt;=(TODAY()-(Data_Val!$L$2*365.25))),0,1),1))</f>
        <v/>
      </c>
      <c r="O891" s="18" t="str">
        <f>IF(Data!$G881="","",IF(Data!$G881=Data_Val!$C$2,IF(Data!O881="",0,1),0))</f>
        <v/>
      </c>
      <c r="P891" s="18" t="str">
        <f>IF(Data!O881="","",IF(ISNUMBER(MATCH(Data!P881,Data_Val!$A$2:$A$3,0)),0,1))</f>
        <v/>
      </c>
      <c r="Q891" s="44" t="str">
        <f ca="1">IF(Data!O881="","",IF(ISNUMBER(Data!Q881),IF(AND(Data!Q881&gt;(TODAY()-(Data_Val!$L$3*365.25)),Data!Q881&lt;=(TODAY()-(Data_Val!$L$2*365.25))),0,1),1))</f>
        <v/>
      </c>
    </row>
    <row r="892" spans="1:17" ht="12" customHeight="1" x14ac:dyDescent="0.25">
      <c r="A892" s="36" t="str">
        <f>IF(Data!B882="","",IF(COUNTIFS(Data!A$1:'Data'!A882,Data!A882)&lt;=1,0,1))</f>
        <v/>
      </c>
      <c r="B892" s="36"/>
      <c r="C892" s="36" t="str">
        <f>IF(Data!C882="","",(IF(ISNUMBER(MATCH("*@*.?*",Data!C882,0)),0,1)+IF(COUNTIFS(Data!C$1:'Data'!C882,Data!C882)&gt;1,1,0)))</f>
        <v/>
      </c>
      <c r="D892" s="36" t="str">
        <f>IF(Data!B882="","",IF(ISNUMBER(Data!D882),IF(AND(Data!D882&gt;999999999,Data!D882&lt;=9999999999),IF(COUNTIFS(Data!D$1:'Data'!D882,Data!D882)&lt;=1,0,1),1),1))</f>
        <v/>
      </c>
      <c r="E892" s="36" t="str">
        <f>IF(Data!B882="","",IF(ISNUMBER(MATCH(Data!E882,Data_Val!$A$2:$A$3,0)),0,1))</f>
        <v/>
      </c>
      <c r="F892" s="36" t="str">
        <f ca="1">IF(Data!B882="","",IF(ISNUMBER(Data!F882),IF(AND(Data!F882&gt;(TODAY()-(Data_Val!$H$3*365.25)),Data!F882&lt;=(TODAY()-(Data_Val!$H$2*365.25))),0,1),1))</f>
        <v/>
      </c>
      <c r="G892" s="12" t="str">
        <f>IF(Data!B882="","",IF(AND(Data!G882="",Data!H882&lt;&gt;""),1,IF(ISNUMBER(MATCH(Data!G882,Data_Val!$C$2:$C$5,0)),0,1)))</f>
        <v/>
      </c>
      <c r="H892" s="12" t="str">
        <f>IF(Data!B882="","",IF(AND(Data!G882&lt;&gt;"",Data!H882=""),1,IF(Data!G882="",1,IF(ISNUMBER(MATCH(Data!H882,Data_Val!$D$2:$D$35,0)),0,1))))</f>
        <v/>
      </c>
      <c r="I892" s="38" t="str">
        <f>IF(Data!G882="","",IF(Data!G882=Data_Val!$C$2,IF(Data!I882="",0,1),0))</f>
        <v/>
      </c>
      <c r="J892" s="38" t="str">
        <f>IF(Data!I882="","",IF(ISNUMBER(MATCH(Data!J882,Data_Val!$A$2:$A$3,0)),0,1))</f>
        <v/>
      </c>
      <c r="K892" s="38" t="str">
        <f ca="1">IF(Data!I882="","",IF(ISNUMBER(Data!K882),IF(AND(Data!K882&gt;(TODAY()-(Data_Val!$K$3*365.25)),Data!K882&lt;=(TODAY()-(Data_Val!$K$2*365.25))),0,1),1))</f>
        <v/>
      </c>
      <c r="L892" s="16" t="str">
        <f>IF(Data!G882="","",IF(Data!G882=Data_Val!$C$2,IF(Data!L882="",0,1),0))</f>
        <v/>
      </c>
      <c r="M892" s="16" t="str">
        <f>IF(Data!L882="","",IF(ISNUMBER(MATCH(Data!M882,Data_Val!$A$2:$A$3,0)),0,1))</f>
        <v/>
      </c>
      <c r="N892" s="43" t="str">
        <f ca="1">IF(Data!L882="","",IF(ISNUMBER(Data!N882),IF(AND(Data!N882&gt;(TODAY()-(Data_Val!$L$3*365.25)),Data!N882&lt;=(TODAY()-(Data_Val!$L$2*365.25))),0,1),1))</f>
        <v/>
      </c>
      <c r="O892" s="18" t="str">
        <f>IF(Data!$G882="","",IF(Data!$G882=Data_Val!$C$2,IF(Data!O882="",0,1),0))</f>
        <v/>
      </c>
      <c r="P892" s="18" t="str">
        <f>IF(Data!O882="","",IF(ISNUMBER(MATCH(Data!P882,Data_Val!$A$2:$A$3,0)),0,1))</f>
        <v/>
      </c>
      <c r="Q892" s="44" t="str">
        <f ca="1">IF(Data!O882="","",IF(ISNUMBER(Data!Q882),IF(AND(Data!Q882&gt;(TODAY()-(Data_Val!$L$3*365.25)),Data!Q882&lt;=(TODAY()-(Data_Val!$L$2*365.25))),0,1),1))</f>
        <v/>
      </c>
    </row>
    <row r="893" spans="1:17" ht="12" customHeight="1" x14ac:dyDescent="0.25">
      <c r="A893" s="36" t="str">
        <f>IF(Data!B883="","",IF(COUNTIFS(Data!A$1:'Data'!A883,Data!A883)&lt;=1,0,1))</f>
        <v/>
      </c>
      <c r="B893" s="36"/>
      <c r="C893" s="36" t="str">
        <f>IF(Data!C883="","",(IF(ISNUMBER(MATCH("*@*.?*",Data!C883,0)),0,1)+IF(COUNTIFS(Data!C$1:'Data'!C883,Data!C883)&gt;1,1,0)))</f>
        <v/>
      </c>
      <c r="D893" s="36" t="str">
        <f>IF(Data!B883="","",IF(ISNUMBER(Data!D883),IF(AND(Data!D883&gt;999999999,Data!D883&lt;=9999999999),IF(COUNTIFS(Data!D$1:'Data'!D883,Data!D883)&lt;=1,0,1),1),1))</f>
        <v/>
      </c>
      <c r="E893" s="36" t="str">
        <f>IF(Data!B883="","",IF(ISNUMBER(MATCH(Data!E883,Data_Val!$A$2:$A$3,0)),0,1))</f>
        <v/>
      </c>
      <c r="F893" s="36" t="str">
        <f ca="1">IF(Data!B883="","",IF(ISNUMBER(Data!F883),IF(AND(Data!F883&gt;(TODAY()-(Data_Val!$H$3*365.25)),Data!F883&lt;=(TODAY()-(Data_Val!$H$2*365.25))),0,1),1))</f>
        <v/>
      </c>
      <c r="G893" s="12" t="str">
        <f>IF(Data!B883="","",IF(AND(Data!G883="",Data!H883&lt;&gt;""),1,IF(ISNUMBER(MATCH(Data!G883,Data_Val!$C$2:$C$5,0)),0,1)))</f>
        <v/>
      </c>
      <c r="H893" s="12" t="str">
        <f>IF(Data!B883="","",IF(AND(Data!G883&lt;&gt;"",Data!H883=""),1,IF(Data!G883="",1,IF(ISNUMBER(MATCH(Data!H883,Data_Val!$D$2:$D$35,0)),0,1))))</f>
        <v/>
      </c>
      <c r="I893" s="38" t="str">
        <f>IF(Data!G883="","",IF(Data!G883=Data_Val!$C$2,IF(Data!I883="",0,1),0))</f>
        <v/>
      </c>
      <c r="J893" s="38" t="str">
        <f>IF(Data!I883="","",IF(ISNUMBER(MATCH(Data!J883,Data_Val!$A$2:$A$3,0)),0,1))</f>
        <v/>
      </c>
      <c r="K893" s="38" t="str">
        <f ca="1">IF(Data!I883="","",IF(ISNUMBER(Data!K883),IF(AND(Data!K883&gt;(TODAY()-(Data_Val!$K$3*365.25)),Data!K883&lt;=(TODAY()-(Data_Val!$K$2*365.25))),0,1),1))</f>
        <v/>
      </c>
      <c r="L893" s="16" t="str">
        <f>IF(Data!G883="","",IF(Data!G883=Data_Val!$C$2,IF(Data!L883="",0,1),0))</f>
        <v/>
      </c>
      <c r="M893" s="16" t="str">
        <f>IF(Data!L883="","",IF(ISNUMBER(MATCH(Data!M883,Data_Val!$A$2:$A$3,0)),0,1))</f>
        <v/>
      </c>
      <c r="N893" s="43" t="str">
        <f ca="1">IF(Data!L883="","",IF(ISNUMBER(Data!N883),IF(AND(Data!N883&gt;(TODAY()-(Data_Val!$L$3*365.25)),Data!N883&lt;=(TODAY()-(Data_Val!$L$2*365.25))),0,1),1))</f>
        <v/>
      </c>
      <c r="O893" s="18" t="str">
        <f>IF(Data!$G883="","",IF(Data!$G883=Data_Val!$C$2,IF(Data!O883="",0,1),0))</f>
        <v/>
      </c>
      <c r="P893" s="18" t="str">
        <f>IF(Data!O883="","",IF(ISNUMBER(MATCH(Data!P883,Data_Val!$A$2:$A$3,0)),0,1))</f>
        <v/>
      </c>
      <c r="Q893" s="44" t="str">
        <f ca="1">IF(Data!O883="","",IF(ISNUMBER(Data!Q883),IF(AND(Data!Q883&gt;(TODAY()-(Data_Val!$L$3*365.25)),Data!Q883&lt;=(TODAY()-(Data_Val!$L$2*365.25))),0,1),1))</f>
        <v/>
      </c>
    </row>
    <row r="894" spans="1:17" ht="12" customHeight="1" x14ac:dyDescent="0.25">
      <c r="A894" s="36" t="str">
        <f>IF(Data!B884="","",IF(COUNTIFS(Data!A$1:'Data'!A884,Data!A884)&lt;=1,0,1))</f>
        <v/>
      </c>
      <c r="B894" s="36"/>
      <c r="C894" s="36" t="str">
        <f>IF(Data!C884="","",(IF(ISNUMBER(MATCH("*@*.?*",Data!C884,0)),0,1)+IF(COUNTIFS(Data!C$1:'Data'!C884,Data!C884)&gt;1,1,0)))</f>
        <v/>
      </c>
      <c r="D894" s="36" t="str">
        <f>IF(Data!B884="","",IF(ISNUMBER(Data!D884),IF(AND(Data!D884&gt;999999999,Data!D884&lt;=9999999999),IF(COUNTIFS(Data!D$1:'Data'!D884,Data!D884)&lt;=1,0,1),1),1))</f>
        <v/>
      </c>
      <c r="E894" s="36" t="str">
        <f>IF(Data!B884="","",IF(ISNUMBER(MATCH(Data!E884,Data_Val!$A$2:$A$3,0)),0,1))</f>
        <v/>
      </c>
      <c r="F894" s="36" t="str">
        <f ca="1">IF(Data!B884="","",IF(ISNUMBER(Data!F884),IF(AND(Data!F884&gt;(TODAY()-(Data_Val!$H$3*365.25)),Data!F884&lt;=(TODAY()-(Data_Val!$H$2*365.25))),0,1),1))</f>
        <v/>
      </c>
      <c r="G894" s="12" t="str">
        <f>IF(Data!B884="","",IF(AND(Data!G884="",Data!H884&lt;&gt;""),1,IF(ISNUMBER(MATCH(Data!G884,Data_Val!$C$2:$C$5,0)),0,1)))</f>
        <v/>
      </c>
      <c r="H894" s="12" t="str">
        <f>IF(Data!B884="","",IF(AND(Data!G884&lt;&gt;"",Data!H884=""),1,IF(Data!G884="",1,IF(ISNUMBER(MATCH(Data!H884,Data_Val!$D$2:$D$35,0)),0,1))))</f>
        <v/>
      </c>
      <c r="I894" s="38" t="str">
        <f>IF(Data!G884="","",IF(Data!G884=Data_Val!$C$2,IF(Data!I884="",0,1),0))</f>
        <v/>
      </c>
      <c r="J894" s="38" t="str">
        <f>IF(Data!I884="","",IF(ISNUMBER(MATCH(Data!J884,Data_Val!$A$2:$A$3,0)),0,1))</f>
        <v/>
      </c>
      <c r="K894" s="38" t="str">
        <f ca="1">IF(Data!I884="","",IF(ISNUMBER(Data!K884),IF(AND(Data!K884&gt;(TODAY()-(Data_Val!$K$3*365.25)),Data!K884&lt;=(TODAY()-(Data_Val!$K$2*365.25))),0,1),1))</f>
        <v/>
      </c>
      <c r="L894" s="16" t="str">
        <f>IF(Data!G884="","",IF(Data!G884=Data_Val!$C$2,IF(Data!L884="",0,1),0))</f>
        <v/>
      </c>
      <c r="M894" s="16" t="str">
        <f>IF(Data!L884="","",IF(ISNUMBER(MATCH(Data!M884,Data_Val!$A$2:$A$3,0)),0,1))</f>
        <v/>
      </c>
      <c r="N894" s="43" t="str">
        <f ca="1">IF(Data!L884="","",IF(ISNUMBER(Data!N884),IF(AND(Data!N884&gt;(TODAY()-(Data_Val!$L$3*365.25)),Data!N884&lt;=(TODAY()-(Data_Val!$L$2*365.25))),0,1),1))</f>
        <v/>
      </c>
      <c r="O894" s="18" t="str">
        <f>IF(Data!$G884="","",IF(Data!$G884=Data_Val!$C$2,IF(Data!O884="",0,1),0))</f>
        <v/>
      </c>
      <c r="P894" s="18" t="str">
        <f>IF(Data!O884="","",IF(ISNUMBER(MATCH(Data!P884,Data_Val!$A$2:$A$3,0)),0,1))</f>
        <v/>
      </c>
      <c r="Q894" s="44" t="str">
        <f ca="1">IF(Data!O884="","",IF(ISNUMBER(Data!Q884),IF(AND(Data!Q884&gt;(TODAY()-(Data_Val!$L$3*365.25)),Data!Q884&lt;=(TODAY()-(Data_Val!$L$2*365.25))),0,1),1))</f>
        <v/>
      </c>
    </row>
    <row r="895" spans="1:17" ht="12" customHeight="1" x14ac:dyDescent="0.25">
      <c r="A895" s="36" t="str">
        <f>IF(Data!B885="","",IF(COUNTIFS(Data!A$1:'Data'!A885,Data!A885)&lt;=1,0,1))</f>
        <v/>
      </c>
      <c r="B895" s="36"/>
      <c r="C895" s="36" t="str">
        <f>IF(Data!C885="","",(IF(ISNUMBER(MATCH("*@*.?*",Data!C885,0)),0,1)+IF(COUNTIFS(Data!C$1:'Data'!C885,Data!C885)&gt;1,1,0)))</f>
        <v/>
      </c>
      <c r="D895" s="36" t="str">
        <f>IF(Data!B885="","",IF(ISNUMBER(Data!D885),IF(AND(Data!D885&gt;999999999,Data!D885&lt;=9999999999),IF(COUNTIFS(Data!D$1:'Data'!D885,Data!D885)&lt;=1,0,1),1),1))</f>
        <v/>
      </c>
      <c r="E895" s="36" t="str">
        <f>IF(Data!B885="","",IF(ISNUMBER(MATCH(Data!E885,Data_Val!$A$2:$A$3,0)),0,1))</f>
        <v/>
      </c>
      <c r="F895" s="36" t="str">
        <f ca="1">IF(Data!B885="","",IF(ISNUMBER(Data!F885),IF(AND(Data!F885&gt;(TODAY()-(Data_Val!$H$3*365.25)),Data!F885&lt;=(TODAY()-(Data_Val!$H$2*365.25))),0,1),1))</f>
        <v/>
      </c>
      <c r="G895" s="12" t="str">
        <f>IF(Data!B885="","",IF(AND(Data!G885="",Data!H885&lt;&gt;""),1,IF(ISNUMBER(MATCH(Data!G885,Data_Val!$C$2:$C$5,0)),0,1)))</f>
        <v/>
      </c>
      <c r="H895" s="12" t="str">
        <f>IF(Data!B885="","",IF(AND(Data!G885&lt;&gt;"",Data!H885=""),1,IF(Data!G885="",1,IF(ISNUMBER(MATCH(Data!H885,Data_Val!$D$2:$D$35,0)),0,1))))</f>
        <v/>
      </c>
      <c r="I895" s="38" t="str">
        <f>IF(Data!G885="","",IF(Data!G885=Data_Val!$C$2,IF(Data!I885="",0,1),0))</f>
        <v/>
      </c>
      <c r="J895" s="38" t="str">
        <f>IF(Data!I885="","",IF(ISNUMBER(MATCH(Data!J885,Data_Val!$A$2:$A$3,0)),0,1))</f>
        <v/>
      </c>
      <c r="K895" s="38" t="str">
        <f ca="1">IF(Data!I885="","",IF(ISNUMBER(Data!K885),IF(AND(Data!K885&gt;(TODAY()-(Data_Val!$K$3*365.25)),Data!K885&lt;=(TODAY()-(Data_Val!$K$2*365.25))),0,1),1))</f>
        <v/>
      </c>
      <c r="L895" s="16" t="str">
        <f>IF(Data!G885="","",IF(Data!G885=Data_Val!$C$2,IF(Data!L885="",0,1),0))</f>
        <v/>
      </c>
      <c r="M895" s="16" t="str">
        <f>IF(Data!L885="","",IF(ISNUMBER(MATCH(Data!M885,Data_Val!$A$2:$A$3,0)),0,1))</f>
        <v/>
      </c>
      <c r="N895" s="43" t="str">
        <f ca="1">IF(Data!L885="","",IF(ISNUMBER(Data!N885),IF(AND(Data!N885&gt;(TODAY()-(Data_Val!$L$3*365.25)),Data!N885&lt;=(TODAY()-(Data_Val!$L$2*365.25))),0,1),1))</f>
        <v/>
      </c>
      <c r="O895" s="18" t="str">
        <f>IF(Data!$G885="","",IF(Data!$G885=Data_Val!$C$2,IF(Data!O885="",0,1),0))</f>
        <v/>
      </c>
      <c r="P895" s="18" t="str">
        <f>IF(Data!O885="","",IF(ISNUMBER(MATCH(Data!P885,Data_Val!$A$2:$A$3,0)),0,1))</f>
        <v/>
      </c>
      <c r="Q895" s="44" t="str">
        <f ca="1">IF(Data!O885="","",IF(ISNUMBER(Data!Q885),IF(AND(Data!Q885&gt;(TODAY()-(Data_Val!$L$3*365.25)),Data!Q885&lt;=(TODAY()-(Data_Val!$L$2*365.25))),0,1),1))</f>
        <v/>
      </c>
    </row>
    <row r="896" spans="1:17" ht="12" customHeight="1" x14ac:dyDescent="0.25">
      <c r="A896" s="36" t="str">
        <f>IF(Data!B886="","",IF(COUNTIFS(Data!A$1:'Data'!A886,Data!A886)&lt;=1,0,1))</f>
        <v/>
      </c>
      <c r="B896" s="36"/>
      <c r="C896" s="36" t="str">
        <f>IF(Data!C886="","",(IF(ISNUMBER(MATCH("*@*.?*",Data!C886,0)),0,1)+IF(COUNTIFS(Data!C$1:'Data'!C886,Data!C886)&gt;1,1,0)))</f>
        <v/>
      </c>
      <c r="D896" s="36" t="str">
        <f>IF(Data!B886="","",IF(ISNUMBER(Data!D886),IF(AND(Data!D886&gt;999999999,Data!D886&lt;=9999999999),IF(COUNTIFS(Data!D$1:'Data'!D886,Data!D886)&lt;=1,0,1),1),1))</f>
        <v/>
      </c>
      <c r="E896" s="36" t="str">
        <f>IF(Data!B886="","",IF(ISNUMBER(MATCH(Data!E886,Data_Val!$A$2:$A$3,0)),0,1))</f>
        <v/>
      </c>
      <c r="F896" s="36" t="str">
        <f ca="1">IF(Data!B886="","",IF(ISNUMBER(Data!F886),IF(AND(Data!F886&gt;(TODAY()-(Data_Val!$H$3*365.25)),Data!F886&lt;=(TODAY()-(Data_Val!$H$2*365.25))),0,1),1))</f>
        <v/>
      </c>
      <c r="G896" s="12" t="str">
        <f>IF(Data!B886="","",IF(AND(Data!G886="",Data!H886&lt;&gt;""),1,IF(ISNUMBER(MATCH(Data!G886,Data_Val!$C$2:$C$5,0)),0,1)))</f>
        <v/>
      </c>
      <c r="H896" s="12" t="str">
        <f>IF(Data!B886="","",IF(AND(Data!G886&lt;&gt;"",Data!H886=""),1,IF(Data!G886="",1,IF(ISNUMBER(MATCH(Data!H886,Data_Val!$D$2:$D$35,0)),0,1))))</f>
        <v/>
      </c>
      <c r="I896" s="38" t="str">
        <f>IF(Data!G886="","",IF(Data!G886=Data_Val!$C$2,IF(Data!I886="",0,1),0))</f>
        <v/>
      </c>
      <c r="J896" s="38" t="str">
        <f>IF(Data!I886="","",IF(ISNUMBER(MATCH(Data!J886,Data_Val!$A$2:$A$3,0)),0,1))</f>
        <v/>
      </c>
      <c r="K896" s="38" t="str">
        <f ca="1">IF(Data!I886="","",IF(ISNUMBER(Data!K886),IF(AND(Data!K886&gt;(TODAY()-(Data_Val!$K$3*365.25)),Data!K886&lt;=(TODAY()-(Data_Val!$K$2*365.25))),0,1),1))</f>
        <v/>
      </c>
      <c r="L896" s="16" t="str">
        <f>IF(Data!G886="","",IF(Data!G886=Data_Val!$C$2,IF(Data!L886="",0,1),0))</f>
        <v/>
      </c>
      <c r="M896" s="16" t="str">
        <f>IF(Data!L886="","",IF(ISNUMBER(MATCH(Data!M886,Data_Val!$A$2:$A$3,0)),0,1))</f>
        <v/>
      </c>
      <c r="N896" s="43" t="str">
        <f ca="1">IF(Data!L886="","",IF(ISNUMBER(Data!N886),IF(AND(Data!N886&gt;(TODAY()-(Data_Val!$L$3*365.25)),Data!N886&lt;=(TODAY()-(Data_Val!$L$2*365.25))),0,1),1))</f>
        <v/>
      </c>
      <c r="O896" s="18" t="str">
        <f>IF(Data!$G886="","",IF(Data!$G886=Data_Val!$C$2,IF(Data!O886="",0,1),0))</f>
        <v/>
      </c>
      <c r="P896" s="18" t="str">
        <f>IF(Data!O886="","",IF(ISNUMBER(MATCH(Data!P886,Data_Val!$A$2:$A$3,0)),0,1))</f>
        <v/>
      </c>
      <c r="Q896" s="44" t="str">
        <f ca="1">IF(Data!O886="","",IF(ISNUMBER(Data!Q886),IF(AND(Data!Q886&gt;(TODAY()-(Data_Val!$L$3*365.25)),Data!Q886&lt;=(TODAY()-(Data_Val!$L$2*365.25))),0,1),1))</f>
        <v/>
      </c>
    </row>
    <row r="897" spans="1:17" ht="12" customHeight="1" x14ac:dyDescent="0.25">
      <c r="A897" s="36" t="str">
        <f>IF(Data!B887="","",IF(COUNTIFS(Data!A$1:'Data'!A887,Data!A887)&lt;=1,0,1))</f>
        <v/>
      </c>
      <c r="B897" s="36"/>
      <c r="C897" s="36" t="str">
        <f>IF(Data!C887="","",(IF(ISNUMBER(MATCH("*@*.?*",Data!C887,0)),0,1)+IF(COUNTIFS(Data!C$1:'Data'!C887,Data!C887)&gt;1,1,0)))</f>
        <v/>
      </c>
      <c r="D897" s="36" t="str">
        <f>IF(Data!B887="","",IF(ISNUMBER(Data!D887),IF(AND(Data!D887&gt;999999999,Data!D887&lt;=9999999999),IF(COUNTIFS(Data!D$1:'Data'!D887,Data!D887)&lt;=1,0,1),1),1))</f>
        <v/>
      </c>
      <c r="E897" s="36" t="str">
        <f>IF(Data!B887="","",IF(ISNUMBER(MATCH(Data!E887,Data_Val!$A$2:$A$3,0)),0,1))</f>
        <v/>
      </c>
      <c r="F897" s="36" t="str">
        <f ca="1">IF(Data!B887="","",IF(ISNUMBER(Data!F887),IF(AND(Data!F887&gt;(TODAY()-(Data_Val!$H$3*365.25)),Data!F887&lt;=(TODAY()-(Data_Val!$H$2*365.25))),0,1),1))</f>
        <v/>
      </c>
      <c r="G897" s="12" t="str">
        <f>IF(Data!B887="","",IF(AND(Data!G887="",Data!H887&lt;&gt;""),1,IF(ISNUMBER(MATCH(Data!G887,Data_Val!$C$2:$C$5,0)),0,1)))</f>
        <v/>
      </c>
      <c r="H897" s="12" t="str">
        <f>IF(Data!B887="","",IF(AND(Data!G887&lt;&gt;"",Data!H887=""),1,IF(Data!G887="",1,IF(ISNUMBER(MATCH(Data!H887,Data_Val!$D$2:$D$35,0)),0,1))))</f>
        <v/>
      </c>
      <c r="I897" s="38" t="str">
        <f>IF(Data!G887="","",IF(Data!G887=Data_Val!$C$2,IF(Data!I887="",0,1),0))</f>
        <v/>
      </c>
      <c r="J897" s="38" t="str">
        <f>IF(Data!I887="","",IF(ISNUMBER(MATCH(Data!J887,Data_Val!$A$2:$A$3,0)),0,1))</f>
        <v/>
      </c>
      <c r="K897" s="38" t="str">
        <f ca="1">IF(Data!I887="","",IF(ISNUMBER(Data!K887),IF(AND(Data!K887&gt;(TODAY()-(Data_Val!$K$3*365.25)),Data!K887&lt;=(TODAY()-(Data_Val!$K$2*365.25))),0,1),1))</f>
        <v/>
      </c>
      <c r="L897" s="16" t="str">
        <f>IF(Data!G887="","",IF(Data!G887=Data_Val!$C$2,IF(Data!L887="",0,1),0))</f>
        <v/>
      </c>
      <c r="M897" s="16" t="str">
        <f>IF(Data!L887="","",IF(ISNUMBER(MATCH(Data!M887,Data_Val!$A$2:$A$3,0)),0,1))</f>
        <v/>
      </c>
      <c r="N897" s="43" t="str">
        <f ca="1">IF(Data!L887="","",IF(ISNUMBER(Data!N887),IF(AND(Data!N887&gt;(TODAY()-(Data_Val!$L$3*365.25)),Data!N887&lt;=(TODAY()-(Data_Val!$L$2*365.25))),0,1),1))</f>
        <v/>
      </c>
      <c r="O897" s="18" t="str">
        <f>IF(Data!$G887="","",IF(Data!$G887=Data_Val!$C$2,IF(Data!O887="",0,1),0))</f>
        <v/>
      </c>
      <c r="P897" s="18" t="str">
        <f>IF(Data!O887="","",IF(ISNUMBER(MATCH(Data!P887,Data_Val!$A$2:$A$3,0)),0,1))</f>
        <v/>
      </c>
      <c r="Q897" s="44" t="str">
        <f ca="1">IF(Data!O887="","",IF(ISNUMBER(Data!Q887),IF(AND(Data!Q887&gt;(TODAY()-(Data_Val!$L$3*365.25)),Data!Q887&lt;=(TODAY()-(Data_Val!$L$2*365.25))),0,1),1))</f>
        <v/>
      </c>
    </row>
    <row r="898" spans="1:17" ht="12" customHeight="1" x14ac:dyDescent="0.25">
      <c r="A898" s="36" t="str">
        <f>IF(Data!B888="","",IF(COUNTIFS(Data!A$1:'Data'!A888,Data!A888)&lt;=1,0,1))</f>
        <v/>
      </c>
      <c r="B898" s="36"/>
      <c r="C898" s="36" t="str">
        <f>IF(Data!C888="","",(IF(ISNUMBER(MATCH("*@*.?*",Data!C888,0)),0,1)+IF(COUNTIFS(Data!C$1:'Data'!C888,Data!C888)&gt;1,1,0)))</f>
        <v/>
      </c>
      <c r="D898" s="36" t="str">
        <f>IF(Data!B888="","",IF(ISNUMBER(Data!D888),IF(AND(Data!D888&gt;999999999,Data!D888&lt;=9999999999),IF(COUNTIFS(Data!D$1:'Data'!D888,Data!D888)&lt;=1,0,1),1),1))</f>
        <v/>
      </c>
      <c r="E898" s="36" t="str">
        <f>IF(Data!B888="","",IF(ISNUMBER(MATCH(Data!E888,Data_Val!$A$2:$A$3,0)),0,1))</f>
        <v/>
      </c>
      <c r="F898" s="36" t="str">
        <f ca="1">IF(Data!B888="","",IF(ISNUMBER(Data!F888),IF(AND(Data!F888&gt;(TODAY()-(Data_Val!$H$3*365.25)),Data!F888&lt;=(TODAY()-(Data_Val!$H$2*365.25))),0,1),1))</f>
        <v/>
      </c>
      <c r="G898" s="12" t="str">
        <f>IF(Data!B888="","",IF(AND(Data!G888="",Data!H888&lt;&gt;""),1,IF(ISNUMBER(MATCH(Data!G888,Data_Val!$C$2:$C$5,0)),0,1)))</f>
        <v/>
      </c>
      <c r="H898" s="12" t="str">
        <f>IF(Data!B888="","",IF(AND(Data!G888&lt;&gt;"",Data!H888=""),1,IF(Data!G888="",1,IF(ISNUMBER(MATCH(Data!H888,Data_Val!$D$2:$D$35,0)),0,1))))</f>
        <v/>
      </c>
      <c r="I898" s="38" t="str">
        <f>IF(Data!G888="","",IF(Data!G888=Data_Val!$C$2,IF(Data!I888="",0,1),0))</f>
        <v/>
      </c>
      <c r="J898" s="38" t="str">
        <f>IF(Data!I888="","",IF(ISNUMBER(MATCH(Data!J888,Data_Val!$A$2:$A$3,0)),0,1))</f>
        <v/>
      </c>
      <c r="K898" s="38" t="str">
        <f ca="1">IF(Data!I888="","",IF(ISNUMBER(Data!K888),IF(AND(Data!K888&gt;(TODAY()-(Data_Val!$K$3*365.25)),Data!K888&lt;=(TODAY()-(Data_Val!$K$2*365.25))),0,1),1))</f>
        <v/>
      </c>
      <c r="L898" s="16" t="str">
        <f>IF(Data!G888="","",IF(Data!G888=Data_Val!$C$2,IF(Data!L888="",0,1),0))</f>
        <v/>
      </c>
      <c r="M898" s="16" t="str">
        <f>IF(Data!L888="","",IF(ISNUMBER(MATCH(Data!M888,Data_Val!$A$2:$A$3,0)),0,1))</f>
        <v/>
      </c>
      <c r="N898" s="43" t="str">
        <f ca="1">IF(Data!L888="","",IF(ISNUMBER(Data!N888),IF(AND(Data!N888&gt;(TODAY()-(Data_Val!$L$3*365.25)),Data!N888&lt;=(TODAY()-(Data_Val!$L$2*365.25))),0,1),1))</f>
        <v/>
      </c>
      <c r="O898" s="18" t="str">
        <f>IF(Data!$G888="","",IF(Data!$G888=Data_Val!$C$2,IF(Data!O888="",0,1),0))</f>
        <v/>
      </c>
      <c r="P898" s="18" t="str">
        <f>IF(Data!O888="","",IF(ISNUMBER(MATCH(Data!P888,Data_Val!$A$2:$A$3,0)),0,1))</f>
        <v/>
      </c>
      <c r="Q898" s="44" t="str">
        <f ca="1">IF(Data!O888="","",IF(ISNUMBER(Data!Q888),IF(AND(Data!Q888&gt;(TODAY()-(Data_Val!$L$3*365.25)),Data!Q888&lt;=(TODAY()-(Data_Val!$L$2*365.25))),0,1),1))</f>
        <v/>
      </c>
    </row>
    <row r="899" spans="1:17" ht="12" customHeight="1" x14ac:dyDescent="0.25">
      <c r="A899" s="36" t="str">
        <f>IF(Data!B889="","",IF(COUNTIFS(Data!A$1:'Data'!A889,Data!A889)&lt;=1,0,1))</f>
        <v/>
      </c>
      <c r="B899" s="36"/>
      <c r="C899" s="36" t="str">
        <f>IF(Data!C889="","",(IF(ISNUMBER(MATCH("*@*.?*",Data!C889,0)),0,1)+IF(COUNTIFS(Data!C$1:'Data'!C889,Data!C889)&gt;1,1,0)))</f>
        <v/>
      </c>
      <c r="D899" s="36" t="str">
        <f>IF(Data!B889="","",IF(ISNUMBER(Data!D889),IF(AND(Data!D889&gt;999999999,Data!D889&lt;=9999999999),IF(COUNTIFS(Data!D$1:'Data'!D889,Data!D889)&lt;=1,0,1),1),1))</f>
        <v/>
      </c>
      <c r="E899" s="36" t="str">
        <f>IF(Data!B889="","",IF(ISNUMBER(MATCH(Data!E889,Data_Val!$A$2:$A$3,0)),0,1))</f>
        <v/>
      </c>
      <c r="F899" s="36" t="str">
        <f ca="1">IF(Data!B889="","",IF(ISNUMBER(Data!F889),IF(AND(Data!F889&gt;(TODAY()-(Data_Val!$H$3*365.25)),Data!F889&lt;=(TODAY()-(Data_Val!$H$2*365.25))),0,1),1))</f>
        <v/>
      </c>
      <c r="G899" s="12" t="str">
        <f>IF(Data!B889="","",IF(AND(Data!G889="",Data!H889&lt;&gt;""),1,IF(ISNUMBER(MATCH(Data!G889,Data_Val!$C$2:$C$5,0)),0,1)))</f>
        <v/>
      </c>
      <c r="H899" s="12" t="str">
        <f>IF(Data!B889="","",IF(AND(Data!G889&lt;&gt;"",Data!H889=""),1,IF(Data!G889="",1,IF(ISNUMBER(MATCH(Data!H889,Data_Val!$D$2:$D$35,0)),0,1))))</f>
        <v/>
      </c>
      <c r="I899" s="38" t="str">
        <f>IF(Data!G889="","",IF(Data!G889=Data_Val!$C$2,IF(Data!I889="",0,1),0))</f>
        <v/>
      </c>
      <c r="J899" s="38" t="str">
        <f>IF(Data!I889="","",IF(ISNUMBER(MATCH(Data!J889,Data_Val!$A$2:$A$3,0)),0,1))</f>
        <v/>
      </c>
      <c r="K899" s="38" t="str">
        <f ca="1">IF(Data!I889="","",IF(ISNUMBER(Data!K889),IF(AND(Data!K889&gt;(TODAY()-(Data_Val!$K$3*365.25)),Data!K889&lt;=(TODAY()-(Data_Val!$K$2*365.25))),0,1),1))</f>
        <v/>
      </c>
      <c r="L899" s="16" t="str">
        <f>IF(Data!G889="","",IF(Data!G889=Data_Val!$C$2,IF(Data!L889="",0,1),0))</f>
        <v/>
      </c>
      <c r="M899" s="16" t="str">
        <f>IF(Data!L889="","",IF(ISNUMBER(MATCH(Data!M889,Data_Val!$A$2:$A$3,0)),0,1))</f>
        <v/>
      </c>
      <c r="N899" s="43" t="str">
        <f ca="1">IF(Data!L889="","",IF(ISNUMBER(Data!N889),IF(AND(Data!N889&gt;(TODAY()-(Data_Val!$L$3*365.25)),Data!N889&lt;=(TODAY()-(Data_Val!$L$2*365.25))),0,1),1))</f>
        <v/>
      </c>
      <c r="O899" s="18" t="str">
        <f>IF(Data!$G889="","",IF(Data!$G889=Data_Val!$C$2,IF(Data!O889="",0,1),0))</f>
        <v/>
      </c>
      <c r="P899" s="18" t="str">
        <f>IF(Data!O889="","",IF(ISNUMBER(MATCH(Data!P889,Data_Val!$A$2:$A$3,0)),0,1))</f>
        <v/>
      </c>
      <c r="Q899" s="44" t="str">
        <f ca="1">IF(Data!O889="","",IF(ISNUMBER(Data!Q889),IF(AND(Data!Q889&gt;(TODAY()-(Data_Val!$L$3*365.25)),Data!Q889&lt;=(TODAY()-(Data_Val!$L$2*365.25))),0,1),1))</f>
        <v/>
      </c>
    </row>
    <row r="900" spans="1:17" ht="12" customHeight="1" x14ac:dyDescent="0.25">
      <c r="A900" s="36" t="str">
        <f>IF(Data!B890="","",IF(COUNTIFS(Data!A$1:'Data'!A890,Data!A890)&lt;=1,0,1))</f>
        <v/>
      </c>
      <c r="B900" s="36"/>
      <c r="C900" s="36" t="str">
        <f>IF(Data!C890="","",(IF(ISNUMBER(MATCH("*@*.?*",Data!C890,0)),0,1)+IF(COUNTIFS(Data!C$1:'Data'!C890,Data!C890)&gt;1,1,0)))</f>
        <v/>
      </c>
      <c r="D900" s="36" t="str">
        <f>IF(Data!B890="","",IF(ISNUMBER(Data!D890),IF(AND(Data!D890&gt;999999999,Data!D890&lt;=9999999999),IF(COUNTIFS(Data!D$1:'Data'!D890,Data!D890)&lt;=1,0,1),1),1))</f>
        <v/>
      </c>
      <c r="E900" s="36" t="str">
        <f>IF(Data!B890="","",IF(ISNUMBER(MATCH(Data!E890,Data_Val!$A$2:$A$3,0)),0,1))</f>
        <v/>
      </c>
      <c r="F900" s="36" t="str">
        <f ca="1">IF(Data!B890="","",IF(ISNUMBER(Data!F890),IF(AND(Data!F890&gt;(TODAY()-(Data_Val!$H$3*365.25)),Data!F890&lt;=(TODAY()-(Data_Val!$H$2*365.25))),0,1),1))</f>
        <v/>
      </c>
      <c r="G900" s="12" t="str">
        <f>IF(Data!B890="","",IF(AND(Data!G890="",Data!H890&lt;&gt;""),1,IF(ISNUMBER(MATCH(Data!G890,Data_Val!$C$2:$C$5,0)),0,1)))</f>
        <v/>
      </c>
      <c r="H900" s="12" t="str">
        <f>IF(Data!B890="","",IF(AND(Data!G890&lt;&gt;"",Data!H890=""),1,IF(Data!G890="",1,IF(ISNUMBER(MATCH(Data!H890,Data_Val!$D$2:$D$35,0)),0,1))))</f>
        <v/>
      </c>
      <c r="I900" s="38" t="str">
        <f>IF(Data!G890="","",IF(Data!G890=Data_Val!$C$2,IF(Data!I890="",0,1),0))</f>
        <v/>
      </c>
      <c r="J900" s="38" t="str">
        <f>IF(Data!I890="","",IF(ISNUMBER(MATCH(Data!J890,Data_Val!$A$2:$A$3,0)),0,1))</f>
        <v/>
      </c>
      <c r="K900" s="38" t="str">
        <f ca="1">IF(Data!I890="","",IF(ISNUMBER(Data!K890),IF(AND(Data!K890&gt;(TODAY()-(Data_Val!$K$3*365.25)),Data!K890&lt;=(TODAY()-(Data_Val!$K$2*365.25))),0,1),1))</f>
        <v/>
      </c>
      <c r="L900" s="16" t="str">
        <f>IF(Data!G890="","",IF(Data!G890=Data_Val!$C$2,IF(Data!L890="",0,1),0))</f>
        <v/>
      </c>
      <c r="M900" s="16" t="str">
        <f>IF(Data!L890="","",IF(ISNUMBER(MATCH(Data!M890,Data_Val!$A$2:$A$3,0)),0,1))</f>
        <v/>
      </c>
      <c r="N900" s="43" t="str">
        <f ca="1">IF(Data!L890="","",IF(ISNUMBER(Data!N890),IF(AND(Data!N890&gt;(TODAY()-(Data_Val!$L$3*365.25)),Data!N890&lt;=(TODAY()-(Data_Val!$L$2*365.25))),0,1),1))</f>
        <v/>
      </c>
      <c r="O900" s="18" t="str">
        <f>IF(Data!$G890="","",IF(Data!$G890=Data_Val!$C$2,IF(Data!O890="",0,1),0))</f>
        <v/>
      </c>
      <c r="P900" s="18" t="str">
        <f>IF(Data!O890="","",IF(ISNUMBER(MATCH(Data!P890,Data_Val!$A$2:$A$3,0)),0,1))</f>
        <v/>
      </c>
      <c r="Q900" s="44" t="str">
        <f ca="1">IF(Data!O890="","",IF(ISNUMBER(Data!Q890),IF(AND(Data!Q890&gt;(TODAY()-(Data_Val!$L$3*365.25)),Data!Q890&lt;=(TODAY()-(Data_Val!$L$2*365.25))),0,1),1))</f>
        <v/>
      </c>
    </row>
    <row r="901" spans="1:17" ht="12" customHeight="1" x14ac:dyDescent="0.25">
      <c r="A901" s="36" t="str">
        <f>IF(Data!B891="","",IF(COUNTIFS(Data!A$1:'Data'!A891,Data!A891)&lt;=1,0,1))</f>
        <v/>
      </c>
      <c r="B901" s="36"/>
      <c r="C901" s="36" t="str">
        <f>IF(Data!C891="","",(IF(ISNUMBER(MATCH("*@*.?*",Data!C891,0)),0,1)+IF(COUNTIFS(Data!C$1:'Data'!C891,Data!C891)&gt;1,1,0)))</f>
        <v/>
      </c>
      <c r="D901" s="36" t="str">
        <f>IF(Data!B891="","",IF(ISNUMBER(Data!D891),IF(AND(Data!D891&gt;999999999,Data!D891&lt;=9999999999),IF(COUNTIFS(Data!D$1:'Data'!D891,Data!D891)&lt;=1,0,1),1),1))</f>
        <v/>
      </c>
      <c r="E901" s="36" t="str">
        <f>IF(Data!B891="","",IF(ISNUMBER(MATCH(Data!E891,Data_Val!$A$2:$A$3,0)),0,1))</f>
        <v/>
      </c>
      <c r="F901" s="36" t="str">
        <f ca="1">IF(Data!B891="","",IF(ISNUMBER(Data!F891),IF(AND(Data!F891&gt;(TODAY()-(Data_Val!$H$3*365.25)),Data!F891&lt;=(TODAY()-(Data_Val!$H$2*365.25))),0,1),1))</f>
        <v/>
      </c>
      <c r="G901" s="12" t="str">
        <f>IF(Data!B891="","",IF(AND(Data!G891="",Data!H891&lt;&gt;""),1,IF(ISNUMBER(MATCH(Data!G891,Data_Val!$C$2:$C$5,0)),0,1)))</f>
        <v/>
      </c>
      <c r="H901" s="12" t="str">
        <f>IF(Data!B891="","",IF(AND(Data!G891&lt;&gt;"",Data!H891=""),1,IF(Data!G891="",1,IF(ISNUMBER(MATCH(Data!H891,Data_Val!$D$2:$D$35,0)),0,1))))</f>
        <v/>
      </c>
      <c r="I901" s="38" t="str">
        <f>IF(Data!G891="","",IF(Data!G891=Data_Val!$C$2,IF(Data!I891="",0,1),0))</f>
        <v/>
      </c>
      <c r="J901" s="38" t="str">
        <f>IF(Data!I891="","",IF(ISNUMBER(MATCH(Data!J891,Data_Val!$A$2:$A$3,0)),0,1))</f>
        <v/>
      </c>
      <c r="K901" s="38" t="str">
        <f ca="1">IF(Data!I891="","",IF(ISNUMBER(Data!K891),IF(AND(Data!K891&gt;(TODAY()-(Data_Val!$K$3*365.25)),Data!K891&lt;=(TODAY()-(Data_Val!$K$2*365.25))),0,1),1))</f>
        <v/>
      </c>
      <c r="L901" s="16" t="str">
        <f>IF(Data!G891="","",IF(Data!G891=Data_Val!$C$2,IF(Data!L891="",0,1),0))</f>
        <v/>
      </c>
      <c r="M901" s="16" t="str">
        <f>IF(Data!L891="","",IF(ISNUMBER(MATCH(Data!M891,Data_Val!$A$2:$A$3,0)),0,1))</f>
        <v/>
      </c>
      <c r="N901" s="43" t="str">
        <f ca="1">IF(Data!L891="","",IF(ISNUMBER(Data!N891),IF(AND(Data!N891&gt;(TODAY()-(Data_Val!$L$3*365.25)),Data!N891&lt;=(TODAY()-(Data_Val!$L$2*365.25))),0,1),1))</f>
        <v/>
      </c>
      <c r="O901" s="18" t="str">
        <f>IF(Data!$G891="","",IF(Data!$G891=Data_Val!$C$2,IF(Data!O891="",0,1),0))</f>
        <v/>
      </c>
      <c r="P901" s="18" t="str">
        <f>IF(Data!O891="","",IF(ISNUMBER(MATCH(Data!P891,Data_Val!$A$2:$A$3,0)),0,1))</f>
        <v/>
      </c>
      <c r="Q901" s="44" t="str">
        <f ca="1">IF(Data!O891="","",IF(ISNUMBER(Data!Q891),IF(AND(Data!Q891&gt;(TODAY()-(Data_Val!$L$3*365.25)),Data!Q891&lt;=(TODAY()-(Data_Val!$L$2*365.25))),0,1),1))</f>
        <v/>
      </c>
    </row>
    <row r="902" spans="1:17" ht="12" customHeight="1" x14ac:dyDescent="0.25">
      <c r="A902" s="36" t="str">
        <f>IF(Data!B892="","",IF(COUNTIFS(Data!A$1:'Data'!A892,Data!A892)&lt;=1,0,1))</f>
        <v/>
      </c>
      <c r="B902" s="36"/>
      <c r="C902" s="36" t="str">
        <f>IF(Data!C892="","",(IF(ISNUMBER(MATCH("*@*.?*",Data!C892,0)),0,1)+IF(COUNTIFS(Data!C$1:'Data'!C892,Data!C892)&gt;1,1,0)))</f>
        <v/>
      </c>
      <c r="D902" s="36" t="str">
        <f>IF(Data!B892="","",IF(ISNUMBER(Data!D892),IF(AND(Data!D892&gt;999999999,Data!D892&lt;=9999999999),IF(COUNTIFS(Data!D$1:'Data'!D892,Data!D892)&lt;=1,0,1),1),1))</f>
        <v/>
      </c>
      <c r="E902" s="36" t="str">
        <f>IF(Data!B892="","",IF(ISNUMBER(MATCH(Data!E892,Data_Val!$A$2:$A$3,0)),0,1))</f>
        <v/>
      </c>
      <c r="F902" s="36" t="str">
        <f ca="1">IF(Data!B892="","",IF(ISNUMBER(Data!F892),IF(AND(Data!F892&gt;(TODAY()-(Data_Val!$H$3*365.25)),Data!F892&lt;=(TODAY()-(Data_Val!$H$2*365.25))),0,1),1))</f>
        <v/>
      </c>
      <c r="G902" s="12" t="str">
        <f>IF(Data!B892="","",IF(AND(Data!G892="",Data!H892&lt;&gt;""),1,IF(ISNUMBER(MATCH(Data!G892,Data_Val!$C$2:$C$5,0)),0,1)))</f>
        <v/>
      </c>
      <c r="H902" s="12" t="str">
        <f>IF(Data!B892="","",IF(AND(Data!G892&lt;&gt;"",Data!H892=""),1,IF(Data!G892="",1,IF(ISNUMBER(MATCH(Data!H892,Data_Val!$D$2:$D$35,0)),0,1))))</f>
        <v/>
      </c>
      <c r="I902" s="38" t="str">
        <f>IF(Data!G892="","",IF(Data!G892=Data_Val!$C$2,IF(Data!I892="",0,1),0))</f>
        <v/>
      </c>
      <c r="J902" s="38" t="str">
        <f>IF(Data!I892="","",IF(ISNUMBER(MATCH(Data!J892,Data_Val!$A$2:$A$3,0)),0,1))</f>
        <v/>
      </c>
      <c r="K902" s="38" t="str">
        <f ca="1">IF(Data!I892="","",IF(ISNUMBER(Data!K892),IF(AND(Data!K892&gt;(TODAY()-(Data_Val!$K$3*365.25)),Data!K892&lt;=(TODAY()-(Data_Val!$K$2*365.25))),0,1),1))</f>
        <v/>
      </c>
      <c r="L902" s="16" t="str">
        <f>IF(Data!G892="","",IF(Data!G892=Data_Val!$C$2,IF(Data!L892="",0,1),0))</f>
        <v/>
      </c>
      <c r="M902" s="16" t="str">
        <f>IF(Data!L892="","",IF(ISNUMBER(MATCH(Data!M892,Data_Val!$A$2:$A$3,0)),0,1))</f>
        <v/>
      </c>
      <c r="N902" s="43" t="str">
        <f ca="1">IF(Data!L892="","",IF(ISNUMBER(Data!N892),IF(AND(Data!N892&gt;(TODAY()-(Data_Val!$L$3*365.25)),Data!N892&lt;=(TODAY()-(Data_Val!$L$2*365.25))),0,1),1))</f>
        <v/>
      </c>
      <c r="O902" s="18" t="str">
        <f>IF(Data!$G892="","",IF(Data!$G892=Data_Val!$C$2,IF(Data!O892="",0,1),0))</f>
        <v/>
      </c>
      <c r="P902" s="18" t="str">
        <f>IF(Data!O892="","",IF(ISNUMBER(MATCH(Data!P892,Data_Val!$A$2:$A$3,0)),0,1))</f>
        <v/>
      </c>
      <c r="Q902" s="44" t="str">
        <f ca="1">IF(Data!O892="","",IF(ISNUMBER(Data!Q892),IF(AND(Data!Q892&gt;(TODAY()-(Data_Val!$L$3*365.25)),Data!Q892&lt;=(TODAY()-(Data_Val!$L$2*365.25))),0,1),1))</f>
        <v/>
      </c>
    </row>
    <row r="903" spans="1:17" ht="12" customHeight="1" x14ac:dyDescent="0.25">
      <c r="A903" s="36" t="str">
        <f>IF(Data!B893="","",IF(COUNTIFS(Data!A$1:'Data'!A893,Data!A893)&lt;=1,0,1))</f>
        <v/>
      </c>
      <c r="B903" s="36"/>
      <c r="C903" s="36" t="str">
        <f>IF(Data!C893="","",(IF(ISNUMBER(MATCH("*@*.?*",Data!C893,0)),0,1)+IF(COUNTIFS(Data!C$1:'Data'!C893,Data!C893)&gt;1,1,0)))</f>
        <v/>
      </c>
      <c r="D903" s="36" t="str">
        <f>IF(Data!B893="","",IF(ISNUMBER(Data!D893),IF(AND(Data!D893&gt;999999999,Data!D893&lt;=9999999999),IF(COUNTIFS(Data!D$1:'Data'!D893,Data!D893)&lt;=1,0,1),1),1))</f>
        <v/>
      </c>
      <c r="E903" s="36" t="str">
        <f>IF(Data!B893="","",IF(ISNUMBER(MATCH(Data!E893,Data_Val!$A$2:$A$3,0)),0,1))</f>
        <v/>
      </c>
      <c r="F903" s="36" t="str">
        <f ca="1">IF(Data!B893="","",IF(ISNUMBER(Data!F893),IF(AND(Data!F893&gt;(TODAY()-(Data_Val!$H$3*365.25)),Data!F893&lt;=(TODAY()-(Data_Val!$H$2*365.25))),0,1),1))</f>
        <v/>
      </c>
      <c r="G903" s="12" t="str">
        <f>IF(Data!B893="","",IF(AND(Data!G893="",Data!H893&lt;&gt;""),1,IF(ISNUMBER(MATCH(Data!G893,Data_Val!$C$2:$C$5,0)),0,1)))</f>
        <v/>
      </c>
      <c r="H903" s="12" t="str">
        <f>IF(Data!B893="","",IF(AND(Data!G893&lt;&gt;"",Data!H893=""),1,IF(Data!G893="",1,IF(ISNUMBER(MATCH(Data!H893,Data_Val!$D$2:$D$35,0)),0,1))))</f>
        <v/>
      </c>
      <c r="I903" s="38" t="str">
        <f>IF(Data!G893="","",IF(Data!G893=Data_Val!$C$2,IF(Data!I893="",0,1),0))</f>
        <v/>
      </c>
      <c r="J903" s="38" t="str">
        <f>IF(Data!I893="","",IF(ISNUMBER(MATCH(Data!J893,Data_Val!$A$2:$A$3,0)),0,1))</f>
        <v/>
      </c>
      <c r="K903" s="38" t="str">
        <f ca="1">IF(Data!I893="","",IF(ISNUMBER(Data!K893),IF(AND(Data!K893&gt;(TODAY()-(Data_Val!$K$3*365.25)),Data!K893&lt;=(TODAY()-(Data_Val!$K$2*365.25))),0,1),1))</f>
        <v/>
      </c>
      <c r="L903" s="16" t="str">
        <f>IF(Data!G893="","",IF(Data!G893=Data_Val!$C$2,IF(Data!L893="",0,1),0))</f>
        <v/>
      </c>
      <c r="M903" s="16" t="str">
        <f>IF(Data!L893="","",IF(ISNUMBER(MATCH(Data!M893,Data_Val!$A$2:$A$3,0)),0,1))</f>
        <v/>
      </c>
      <c r="N903" s="43" t="str">
        <f ca="1">IF(Data!L893="","",IF(ISNUMBER(Data!N893),IF(AND(Data!N893&gt;(TODAY()-(Data_Val!$L$3*365.25)),Data!N893&lt;=(TODAY()-(Data_Val!$L$2*365.25))),0,1),1))</f>
        <v/>
      </c>
      <c r="O903" s="18" t="str">
        <f>IF(Data!$G893="","",IF(Data!$G893=Data_Val!$C$2,IF(Data!O893="",0,1),0))</f>
        <v/>
      </c>
      <c r="P903" s="18" t="str">
        <f>IF(Data!O893="","",IF(ISNUMBER(MATCH(Data!P893,Data_Val!$A$2:$A$3,0)),0,1))</f>
        <v/>
      </c>
      <c r="Q903" s="44" t="str">
        <f ca="1">IF(Data!O893="","",IF(ISNUMBER(Data!Q893),IF(AND(Data!Q893&gt;(TODAY()-(Data_Val!$L$3*365.25)),Data!Q893&lt;=(TODAY()-(Data_Val!$L$2*365.25))),0,1),1))</f>
        <v/>
      </c>
    </row>
    <row r="904" spans="1:17" ht="12" customHeight="1" x14ac:dyDescent="0.25">
      <c r="A904" s="36" t="str">
        <f>IF(Data!B894="","",IF(COUNTIFS(Data!A$1:'Data'!A894,Data!A894)&lt;=1,0,1))</f>
        <v/>
      </c>
      <c r="B904" s="36"/>
      <c r="C904" s="36" t="str">
        <f>IF(Data!C894="","",(IF(ISNUMBER(MATCH("*@*.?*",Data!C894,0)),0,1)+IF(COUNTIFS(Data!C$1:'Data'!C894,Data!C894)&gt;1,1,0)))</f>
        <v/>
      </c>
      <c r="D904" s="36" t="str">
        <f>IF(Data!B894="","",IF(ISNUMBER(Data!D894),IF(AND(Data!D894&gt;999999999,Data!D894&lt;=9999999999),IF(COUNTIFS(Data!D$1:'Data'!D894,Data!D894)&lt;=1,0,1),1),1))</f>
        <v/>
      </c>
      <c r="E904" s="36" t="str">
        <f>IF(Data!B894="","",IF(ISNUMBER(MATCH(Data!E894,Data_Val!$A$2:$A$3,0)),0,1))</f>
        <v/>
      </c>
      <c r="F904" s="36" t="str">
        <f ca="1">IF(Data!B894="","",IF(ISNUMBER(Data!F894),IF(AND(Data!F894&gt;(TODAY()-(Data_Val!$H$3*365.25)),Data!F894&lt;=(TODAY()-(Data_Val!$H$2*365.25))),0,1),1))</f>
        <v/>
      </c>
      <c r="G904" s="12" t="str">
        <f>IF(Data!B894="","",IF(AND(Data!G894="",Data!H894&lt;&gt;""),1,IF(ISNUMBER(MATCH(Data!G894,Data_Val!$C$2:$C$5,0)),0,1)))</f>
        <v/>
      </c>
      <c r="H904" s="12" t="str">
        <f>IF(Data!B894="","",IF(AND(Data!G894&lt;&gt;"",Data!H894=""),1,IF(Data!G894="",1,IF(ISNUMBER(MATCH(Data!H894,Data_Val!$D$2:$D$35,0)),0,1))))</f>
        <v/>
      </c>
      <c r="I904" s="38" t="str">
        <f>IF(Data!G894="","",IF(Data!G894=Data_Val!$C$2,IF(Data!I894="",0,1),0))</f>
        <v/>
      </c>
      <c r="J904" s="38" t="str">
        <f>IF(Data!I894="","",IF(ISNUMBER(MATCH(Data!J894,Data_Val!$A$2:$A$3,0)),0,1))</f>
        <v/>
      </c>
      <c r="K904" s="38" t="str">
        <f ca="1">IF(Data!I894="","",IF(ISNUMBER(Data!K894),IF(AND(Data!K894&gt;(TODAY()-(Data_Val!$K$3*365.25)),Data!K894&lt;=(TODAY()-(Data_Val!$K$2*365.25))),0,1),1))</f>
        <v/>
      </c>
      <c r="L904" s="16" t="str">
        <f>IF(Data!G894="","",IF(Data!G894=Data_Val!$C$2,IF(Data!L894="",0,1),0))</f>
        <v/>
      </c>
      <c r="M904" s="16" t="str">
        <f>IF(Data!L894="","",IF(ISNUMBER(MATCH(Data!M894,Data_Val!$A$2:$A$3,0)),0,1))</f>
        <v/>
      </c>
      <c r="N904" s="43" t="str">
        <f ca="1">IF(Data!L894="","",IF(ISNUMBER(Data!N894),IF(AND(Data!N894&gt;(TODAY()-(Data_Val!$L$3*365.25)),Data!N894&lt;=(TODAY()-(Data_Val!$L$2*365.25))),0,1),1))</f>
        <v/>
      </c>
      <c r="O904" s="18" t="str">
        <f>IF(Data!$G894="","",IF(Data!$G894=Data_Val!$C$2,IF(Data!O894="",0,1),0))</f>
        <v/>
      </c>
      <c r="P904" s="18" t="str">
        <f>IF(Data!O894="","",IF(ISNUMBER(MATCH(Data!P894,Data_Val!$A$2:$A$3,0)),0,1))</f>
        <v/>
      </c>
      <c r="Q904" s="44" t="str">
        <f ca="1">IF(Data!O894="","",IF(ISNUMBER(Data!Q894),IF(AND(Data!Q894&gt;(TODAY()-(Data_Val!$L$3*365.25)),Data!Q894&lt;=(TODAY()-(Data_Val!$L$2*365.25))),0,1),1))</f>
        <v/>
      </c>
    </row>
    <row r="905" spans="1:17" ht="12" customHeight="1" x14ac:dyDescent="0.25">
      <c r="A905" s="36" t="str">
        <f>IF(Data!B895="","",IF(COUNTIFS(Data!A$1:'Data'!A895,Data!A895)&lt;=1,0,1))</f>
        <v/>
      </c>
      <c r="B905" s="36"/>
      <c r="C905" s="36" t="str">
        <f>IF(Data!C895="","",(IF(ISNUMBER(MATCH("*@*.?*",Data!C895,0)),0,1)+IF(COUNTIFS(Data!C$1:'Data'!C895,Data!C895)&gt;1,1,0)))</f>
        <v/>
      </c>
      <c r="D905" s="36" t="str">
        <f>IF(Data!B895="","",IF(ISNUMBER(Data!D895),IF(AND(Data!D895&gt;999999999,Data!D895&lt;=9999999999),IF(COUNTIFS(Data!D$1:'Data'!D895,Data!D895)&lt;=1,0,1),1),1))</f>
        <v/>
      </c>
      <c r="E905" s="36" t="str">
        <f>IF(Data!B895="","",IF(ISNUMBER(MATCH(Data!E895,Data_Val!$A$2:$A$3,0)),0,1))</f>
        <v/>
      </c>
      <c r="F905" s="36" t="str">
        <f ca="1">IF(Data!B895="","",IF(ISNUMBER(Data!F895),IF(AND(Data!F895&gt;(TODAY()-(Data_Val!$H$3*365.25)),Data!F895&lt;=(TODAY()-(Data_Val!$H$2*365.25))),0,1),1))</f>
        <v/>
      </c>
      <c r="G905" s="12" t="str">
        <f>IF(Data!B895="","",IF(AND(Data!G895="",Data!H895&lt;&gt;""),1,IF(ISNUMBER(MATCH(Data!G895,Data_Val!$C$2:$C$5,0)),0,1)))</f>
        <v/>
      </c>
      <c r="H905" s="12" t="str">
        <f>IF(Data!B895="","",IF(AND(Data!G895&lt;&gt;"",Data!H895=""),1,IF(Data!G895="",1,IF(ISNUMBER(MATCH(Data!H895,Data_Val!$D$2:$D$35,0)),0,1))))</f>
        <v/>
      </c>
      <c r="I905" s="38" t="str">
        <f>IF(Data!G895="","",IF(Data!G895=Data_Val!$C$2,IF(Data!I895="",0,1),0))</f>
        <v/>
      </c>
      <c r="J905" s="38" t="str">
        <f>IF(Data!I895="","",IF(ISNUMBER(MATCH(Data!J895,Data_Val!$A$2:$A$3,0)),0,1))</f>
        <v/>
      </c>
      <c r="K905" s="38" t="str">
        <f ca="1">IF(Data!I895="","",IF(ISNUMBER(Data!K895),IF(AND(Data!K895&gt;(TODAY()-(Data_Val!$K$3*365.25)),Data!K895&lt;=(TODAY()-(Data_Val!$K$2*365.25))),0,1),1))</f>
        <v/>
      </c>
      <c r="L905" s="16" t="str">
        <f>IF(Data!G895="","",IF(Data!G895=Data_Val!$C$2,IF(Data!L895="",0,1),0))</f>
        <v/>
      </c>
      <c r="M905" s="16" t="str">
        <f>IF(Data!L895="","",IF(ISNUMBER(MATCH(Data!M895,Data_Val!$A$2:$A$3,0)),0,1))</f>
        <v/>
      </c>
      <c r="N905" s="43" t="str">
        <f ca="1">IF(Data!L895="","",IF(ISNUMBER(Data!N895),IF(AND(Data!N895&gt;(TODAY()-(Data_Val!$L$3*365.25)),Data!N895&lt;=(TODAY()-(Data_Val!$L$2*365.25))),0,1),1))</f>
        <v/>
      </c>
      <c r="O905" s="18" t="str">
        <f>IF(Data!$G895="","",IF(Data!$G895=Data_Val!$C$2,IF(Data!O895="",0,1),0))</f>
        <v/>
      </c>
      <c r="P905" s="18" t="str">
        <f>IF(Data!O895="","",IF(ISNUMBER(MATCH(Data!P895,Data_Val!$A$2:$A$3,0)),0,1))</f>
        <v/>
      </c>
      <c r="Q905" s="44" t="str">
        <f ca="1">IF(Data!O895="","",IF(ISNUMBER(Data!Q895),IF(AND(Data!Q895&gt;(TODAY()-(Data_Val!$L$3*365.25)),Data!Q895&lt;=(TODAY()-(Data_Val!$L$2*365.25))),0,1),1))</f>
        <v/>
      </c>
    </row>
    <row r="906" spans="1:17" ht="12" customHeight="1" x14ac:dyDescent="0.25">
      <c r="A906" s="36" t="str">
        <f>IF(Data!B896="","",IF(COUNTIFS(Data!A$1:'Data'!A896,Data!A896)&lt;=1,0,1))</f>
        <v/>
      </c>
      <c r="B906" s="36"/>
      <c r="C906" s="36" t="str">
        <f>IF(Data!C896="","",(IF(ISNUMBER(MATCH("*@*.?*",Data!C896,0)),0,1)+IF(COUNTIFS(Data!C$1:'Data'!C896,Data!C896)&gt;1,1,0)))</f>
        <v/>
      </c>
      <c r="D906" s="36" t="str">
        <f>IF(Data!B896="","",IF(ISNUMBER(Data!D896),IF(AND(Data!D896&gt;999999999,Data!D896&lt;=9999999999),IF(COUNTIFS(Data!D$1:'Data'!D896,Data!D896)&lt;=1,0,1),1),1))</f>
        <v/>
      </c>
      <c r="E906" s="36" t="str">
        <f>IF(Data!B896="","",IF(ISNUMBER(MATCH(Data!E896,Data_Val!$A$2:$A$3,0)),0,1))</f>
        <v/>
      </c>
      <c r="F906" s="36" t="str">
        <f ca="1">IF(Data!B896="","",IF(ISNUMBER(Data!F896),IF(AND(Data!F896&gt;(TODAY()-(Data_Val!$H$3*365.25)),Data!F896&lt;=(TODAY()-(Data_Val!$H$2*365.25))),0,1),1))</f>
        <v/>
      </c>
      <c r="G906" s="12" t="str">
        <f>IF(Data!B896="","",IF(AND(Data!G896="",Data!H896&lt;&gt;""),1,IF(ISNUMBER(MATCH(Data!G896,Data_Val!$C$2:$C$5,0)),0,1)))</f>
        <v/>
      </c>
      <c r="H906" s="12" t="str">
        <f>IF(Data!B896="","",IF(AND(Data!G896&lt;&gt;"",Data!H896=""),1,IF(Data!G896="",1,IF(ISNUMBER(MATCH(Data!H896,Data_Val!$D$2:$D$35,0)),0,1))))</f>
        <v/>
      </c>
      <c r="I906" s="38" t="str">
        <f>IF(Data!G896="","",IF(Data!G896=Data_Val!$C$2,IF(Data!I896="",0,1),0))</f>
        <v/>
      </c>
      <c r="J906" s="38" t="str">
        <f>IF(Data!I896="","",IF(ISNUMBER(MATCH(Data!J896,Data_Val!$A$2:$A$3,0)),0,1))</f>
        <v/>
      </c>
      <c r="K906" s="38" t="str">
        <f ca="1">IF(Data!I896="","",IF(ISNUMBER(Data!K896),IF(AND(Data!K896&gt;(TODAY()-(Data_Val!$K$3*365.25)),Data!K896&lt;=(TODAY()-(Data_Val!$K$2*365.25))),0,1),1))</f>
        <v/>
      </c>
      <c r="L906" s="16" t="str">
        <f>IF(Data!G896="","",IF(Data!G896=Data_Val!$C$2,IF(Data!L896="",0,1),0))</f>
        <v/>
      </c>
      <c r="M906" s="16" t="str">
        <f>IF(Data!L896="","",IF(ISNUMBER(MATCH(Data!M896,Data_Val!$A$2:$A$3,0)),0,1))</f>
        <v/>
      </c>
      <c r="N906" s="43" t="str">
        <f ca="1">IF(Data!L896="","",IF(ISNUMBER(Data!N896),IF(AND(Data!N896&gt;(TODAY()-(Data_Val!$L$3*365.25)),Data!N896&lt;=(TODAY()-(Data_Val!$L$2*365.25))),0,1),1))</f>
        <v/>
      </c>
      <c r="O906" s="18" t="str">
        <f>IF(Data!$G896="","",IF(Data!$G896=Data_Val!$C$2,IF(Data!O896="",0,1),0))</f>
        <v/>
      </c>
      <c r="P906" s="18" t="str">
        <f>IF(Data!O896="","",IF(ISNUMBER(MATCH(Data!P896,Data_Val!$A$2:$A$3,0)),0,1))</f>
        <v/>
      </c>
      <c r="Q906" s="44" t="str">
        <f ca="1">IF(Data!O896="","",IF(ISNUMBER(Data!Q896),IF(AND(Data!Q896&gt;(TODAY()-(Data_Val!$L$3*365.25)),Data!Q896&lt;=(TODAY()-(Data_Val!$L$2*365.25))),0,1),1))</f>
        <v/>
      </c>
    </row>
    <row r="907" spans="1:17" ht="12" customHeight="1" x14ac:dyDescent="0.25">
      <c r="A907" s="36" t="str">
        <f>IF(Data!B897="","",IF(COUNTIFS(Data!A$1:'Data'!A897,Data!A897)&lt;=1,0,1))</f>
        <v/>
      </c>
      <c r="B907" s="36"/>
      <c r="C907" s="36" t="str">
        <f>IF(Data!C897="","",(IF(ISNUMBER(MATCH("*@*.?*",Data!C897,0)),0,1)+IF(COUNTIFS(Data!C$1:'Data'!C897,Data!C897)&gt;1,1,0)))</f>
        <v/>
      </c>
      <c r="D907" s="36" t="str">
        <f>IF(Data!B897="","",IF(ISNUMBER(Data!D897),IF(AND(Data!D897&gt;999999999,Data!D897&lt;=9999999999),IF(COUNTIFS(Data!D$1:'Data'!D897,Data!D897)&lt;=1,0,1),1),1))</f>
        <v/>
      </c>
      <c r="E907" s="36" t="str">
        <f>IF(Data!B897="","",IF(ISNUMBER(MATCH(Data!E897,Data_Val!$A$2:$A$3,0)),0,1))</f>
        <v/>
      </c>
      <c r="F907" s="36" t="str">
        <f ca="1">IF(Data!B897="","",IF(ISNUMBER(Data!F897),IF(AND(Data!F897&gt;(TODAY()-(Data_Val!$H$3*365.25)),Data!F897&lt;=(TODAY()-(Data_Val!$H$2*365.25))),0,1),1))</f>
        <v/>
      </c>
      <c r="G907" s="12" t="str">
        <f>IF(Data!B897="","",IF(AND(Data!G897="",Data!H897&lt;&gt;""),1,IF(ISNUMBER(MATCH(Data!G897,Data_Val!$C$2:$C$5,0)),0,1)))</f>
        <v/>
      </c>
      <c r="H907" s="12" t="str">
        <f>IF(Data!B897="","",IF(AND(Data!G897&lt;&gt;"",Data!H897=""),1,IF(Data!G897="",1,IF(ISNUMBER(MATCH(Data!H897,Data_Val!$D$2:$D$35,0)),0,1))))</f>
        <v/>
      </c>
      <c r="I907" s="38" t="str">
        <f>IF(Data!G897="","",IF(Data!G897=Data_Val!$C$2,IF(Data!I897="",0,1),0))</f>
        <v/>
      </c>
      <c r="J907" s="38" t="str">
        <f>IF(Data!I897="","",IF(ISNUMBER(MATCH(Data!J897,Data_Val!$A$2:$A$3,0)),0,1))</f>
        <v/>
      </c>
      <c r="K907" s="38" t="str">
        <f ca="1">IF(Data!I897="","",IF(ISNUMBER(Data!K897),IF(AND(Data!K897&gt;(TODAY()-(Data_Val!$K$3*365.25)),Data!K897&lt;=(TODAY()-(Data_Val!$K$2*365.25))),0,1),1))</f>
        <v/>
      </c>
      <c r="L907" s="16" t="str">
        <f>IF(Data!G897="","",IF(Data!G897=Data_Val!$C$2,IF(Data!L897="",0,1),0))</f>
        <v/>
      </c>
      <c r="M907" s="16" t="str">
        <f>IF(Data!L897="","",IF(ISNUMBER(MATCH(Data!M897,Data_Val!$A$2:$A$3,0)),0,1))</f>
        <v/>
      </c>
      <c r="N907" s="43" t="str">
        <f ca="1">IF(Data!L897="","",IF(ISNUMBER(Data!N897),IF(AND(Data!N897&gt;(TODAY()-(Data_Val!$L$3*365.25)),Data!N897&lt;=(TODAY()-(Data_Val!$L$2*365.25))),0,1),1))</f>
        <v/>
      </c>
      <c r="O907" s="18" t="str">
        <f>IF(Data!$G897="","",IF(Data!$G897=Data_Val!$C$2,IF(Data!O897="",0,1),0))</f>
        <v/>
      </c>
      <c r="P907" s="18" t="str">
        <f>IF(Data!O897="","",IF(ISNUMBER(MATCH(Data!P897,Data_Val!$A$2:$A$3,0)),0,1))</f>
        <v/>
      </c>
      <c r="Q907" s="44" t="str">
        <f ca="1">IF(Data!O897="","",IF(ISNUMBER(Data!Q897),IF(AND(Data!Q897&gt;(TODAY()-(Data_Val!$L$3*365.25)),Data!Q897&lt;=(TODAY()-(Data_Val!$L$2*365.25))),0,1),1))</f>
        <v/>
      </c>
    </row>
    <row r="908" spans="1:17" ht="12" customHeight="1" x14ac:dyDescent="0.25">
      <c r="A908" s="36" t="str">
        <f>IF(Data!B898="","",IF(COUNTIFS(Data!A$1:'Data'!A898,Data!A898)&lt;=1,0,1))</f>
        <v/>
      </c>
      <c r="B908" s="36"/>
      <c r="C908" s="36" t="str">
        <f>IF(Data!C898="","",(IF(ISNUMBER(MATCH("*@*.?*",Data!C898,0)),0,1)+IF(COUNTIFS(Data!C$1:'Data'!C898,Data!C898)&gt;1,1,0)))</f>
        <v/>
      </c>
      <c r="D908" s="36" t="str">
        <f>IF(Data!B898="","",IF(ISNUMBER(Data!D898),IF(AND(Data!D898&gt;999999999,Data!D898&lt;=9999999999),IF(COUNTIFS(Data!D$1:'Data'!D898,Data!D898)&lt;=1,0,1),1),1))</f>
        <v/>
      </c>
      <c r="E908" s="36" t="str">
        <f>IF(Data!B898="","",IF(ISNUMBER(MATCH(Data!E898,Data_Val!$A$2:$A$3,0)),0,1))</f>
        <v/>
      </c>
      <c r="F908" s="36" t="str">
        <f ca="1">IF(Data!B898="","",IF(ISNUMBER(Data!F898),IF(AND(Data!F898&gt;(TODAY()-(Data_Val!$H$3*365.25)),Data!F898&lt;=(TODAY()-(Data_Val!$H$2*365.25))),0,1),1))</f>
        <v/>
      </c>
      <c r="G908" s="12" t="str">
        <f>IF(Data!B898="","",IF(AND(Data!G898="",Data!H898&lt;&gt;""),1,IF(ISNUMBER(MATCH(Data!G898,Data_Val!$C$2:$C$5,0)),0,1)))</f>
        <v/>
      </c>
      <c r="H908" s="12" t="str">
        <f>IF(Data!B898="","",IF(AND(Data!G898&lt;&gt;"",Data!H898=""),1,IF(Data!G898="",1,IF(ISNUMBER(MATCH(Data!H898,Data_Val!$D$2:$D$35,0)),0,1))))</f>
        <v/>
      </c>
      <c r="I908" s="38" t="str">
        <f>IF(Data!G898="","",IF(Data!G898=Data_Val!$C$2,IF(Data!I898="",0,1),0))</f>
        <v/>
      </c>
      <c r="J908" s="38" t="str">
        <f>IF(Data!I898="","",IF(ISNUMBER(MATCH(Data!J898,Data_Val!$A$2:$A$3,0)),0,1))</f>
        <v/>
      </c>
      <c r="K908" s="38" t="str">
        <f ca="1">IF(Data!I898="","",IF(ISNUMBER(Data!K898),IF(AND(Data!K898&gt;(TODAY()-(Data_Val!$K$3*365.25)),Data!K898&lt;=(TODAY()-(Data_Val!$K$2*365.25))),0,1),1))</f>
        <v/>
      </c>
      <c r="L908" s="16" t="str">
        <f>IF(Data!G898="","",IF(Data!G898=Data_Val!$C$2,IF(Data!L898="",0,1),0))</f>
        <v/>
      </c>
      <c r="M908" s="16" t="str">
        <f>IF(Data!L898="","",IF(ISNUMBER(MATCH(Data!M898,Data_Val!$A$2:$A$3,0)),0,1))</f>
        <v/>
      </c>
      <c r="N908" s="43" t="str">
        <f ca="1">IF(Data!L898="","",IF(ISNUMBER(Data!N898),IF(AND(Data!N898&gt;(TODAY()-(Data_Val!$L$3*365.25)),Data!N898&lt;=(TODAY()-(Data_Val!$L$2*365.25))),0,1),1))</f>
        <v/>
      </c>
      <c r="O908" s="18" t="str">
        <f>IF(Data!$G898="","",IF(Data!$G898=Data_Val!$C$2,IF(Data!O898="",0,1),0))</f>
        <v/>
      </c>
      <c r="P908" s="18" t="str">
        <f>IF(Data!O898="","",IF(ISNUMBER(MATCH(Data!P898,Data_Val!$A$2:$A$3,0)),0,1))</f>
        <v/>
      </c>
      <c r="Q908" s="44" t="str">
        <f ca="1">IF(Data!O898="","",IF(ISNUMBER(Data!Q898),IF(AND(Data!Q898&gt;(TODAY()-(Data_Val!$L$3*365.25)),Data!Q898&lt;=(TODAY()-(Data_Val!$L$2*365.25))),0,1),1))</f>
        <v/>
      </c>
    </row>
    <row r="909" spans="1:17" ht="12" customHeight="1" x14ac:dyDescent="0.25">
      <c r="A909" s="36" t="str">
        <f>IF(Data!B899="","",IF(COUNTIFS(Data!A$1:'Data'!A899,Data!A899)&lt;=1,0,1))</f>
        <v/>
      </c>
      <c r="B909" s="36"/>
      <c r="C909" s="36" t="str">
        <f>IF(Data!C899="","",(IF(ISNUMBER(MATCH("*@*.?*",Data!C899,0)),0,1)+IF(COUNTIFS(Data!C$1:'Data'!C899,Data!C899)&gt;1,1,0)))</f>
        <v/>
      </c>
      <c r="D909" s="36" t="str">
        <f>IF(Data!B899="","",IF(ISNUMBER(Data!D899),IF(AND(Data!D899&gt;999999999,Data!D899&lt;=9999999999),IF(COUNTIFS(Data!D$1:'Data'!D899,Data!D899)&lt;=1,0,1),1),1))</f>
        <v/>
      </c>
      <c r="E909" s="36" t="str">
        <f>IF(Data!B899="","",IF(ISNUMBER(MATCH(Data!E899,Data_Val!$A$2:$A$3,0)),0,1))</f>
        <v/>
      </c>
      <c r="F909" s="36" t="str">
        <f ca="1">IF(Data!B899="","",IF(ISNUMBER(Data!F899),IF(AND(Data!F899&gt;(TODAY()-(Data_Val!$H$3*365.25)),Data!F899&lt;=(TODAY()-(Data_Val!$H$2*365.25))),0,1),1))</f>
        <v/>
      </c>
      <c r="G909" s="12" t="str">
        <f>IF(Data!B899="","",IF(AND(Data!G899="",Data!H899&lt;&gt;""),1,IF(ISNUMBER(MATCH(Data!G899,Data_Val!$C$2:$C$5,0)),0,1)))</f>
        <v/>
      </c>
      <c r="H909" s="12" t="str">
        <f>IF(Data!B899="","",IF(AND(Data!G899&lt;&gt;"",Data!H899=""),1,IF(Data!G899="",1,IF(ISNUMBER(MATCH(Data!H899,Data_Val!$D$2:$D$35,0)),0,1))))</f>
        <v/>
      </c>
      <c r="I909" s="38" t="str">
        <f>IF(Data!G899="","",IF(Data!G899=Data_Val!$C$2,IF(Data!I899="",0,1),0))</f>
        <v/>
      </c>
      <c r="J909" s="38" t="str">
        <f>IF(Data!I899="","",IF(ISNUMBER(MATCH(Data!J899,Data_Val!$A$2:$A$3,0)),0,1))</f>
        <v/>
      </c>
      <c r="K909" s="38" t="str">
        <f ca="1">IF(Data!I899="","",IF(ISNUMBER(Data!K899),IF(AND(Data!K899&gt;(TODAY()-(Data_Val!$K$3*365.25)),Data!K899&lt;=(TODAY()-(Data_Val!$K$2*365.25))),0,1),1))</f>
        <v/>
      </c>
      <c r="L909" s="16" t="str">
        <f>IF(Data!G899="","",IF(Data!G899=Data_Val!$C$2,IF(Data!L899="",0,1),0))</f>
        <v/>
      </c>
      <c r="M909" s="16" t="str">
        <f>IF(Data!L899="","",IF(ISNUMBER(MATCH(Data!M899,Data_Val!$A$2:$A$3,0)),0,1))</f>
        <v/>
      </c>
      <c r="N909" s="43" t="str">
        <f ca="1">IF(Data!L899="","",IF(ISNUMBER(Data!N899),IF(AND(Data!N899&gt;(TODAY()-(Data_Val!$L$3*365.25)),Data!N899&lt;=(TODAY()-(Data_Val!$L$2*365.25))),0,1),1))</f>
        <v/>
      </c>
      <c r="O909" s="18" t="str">
        <f>IF(Data!$G899="","",IF(Data!$G899=Data_Val!$C$2,IF(Data!O899="",0,1),0))</f>
        <v/>
      </c>
      <c r="P909" s="18" t="str">
        <f>IF(Data!O899="","",IF(ISNUMBER(MATCH(Data!P899,Data_Val!$A$2:$A$3,0)),0,1))</f>
        <v/>
      </c>
      <c r="Q909" s="44" t="str">
        <f ca="1">IF(Data!O899="","",IF(ISNUMBER(Data!Q899),IF(AND(Data!Q899&gt;(TODAY()-(Data_Val!$L$3*365.25)),Data!Q899&lt;=(TODAY()-(Data_Val!$L$2*365.25))),0,1),1))</f>
        <v/>
      </c>
    </row>
    <row r="910" spans="1:17" ht="12" customHeight="1" x14ac:dyDescent="0.25">
      <c r="A910" s="36" t="str">
        <f>IF(Data!B900="","",IF(COUNTIFS(Data!A$1:'Data'!A900,Data!A900)&lt;=1,0,1))</f>
        <v/>
      </c>
      <c r="B910" s="36"/>
      <c r="C910" s="36" t="str">
        <f>IF(Data!C900="","",(IF(ISNUMBER(MATCH("*@*.?*",Data!C900,0)),0,1)+IF(COUNTIFS(Data!C$1:'Data'!C900,Data!C900)&gt;1,1,0)))</f>
        <v/>
      </c>
      <c r="D910" s="36" t="str">
        <f>IF(Data!B900="","",IF(ISNUMBER(Data!D900),IF(AND(Data!D900&gt;999999999,Data!D900&lt;=9999999999),IF(COUNTIFS(Data!D$1:'Data'!D900,Data!D900)&lt;=1,0,1),1),1))</f>
        <v/>
      </c>
      <c r="E910" s="36" t="str">
        <f>IF(Data!B900="","",IF(ISNUMBER(MATCH(Data!E900,Data_Val!$A$2:$A$3,0)),0,1))</f>
        <v/>
      </c>
      <c r="F910" s="36" t="str">
        <f ca="1">IF(Data!B900="","",IF(ISNUMBER(Data!F900),IF(AND(Data!F900&gt;(TODAY()-(Data_Val!$H$3*365.25)),Data!F900&lt;=(TODAY()-(Data_Val!$H$2*365.25))),0,1),1))</f>
        <v/>
      </c>
      <c r="G910" s="12" t="str">
        <f>IF(Data!B900="","",IF(AND(Data!G900="",Data!H900&lt;&gt;""),1,IF(ISNUMBER(MATCH(Data!G900,Data_Val!$C$2:$C$5,0)),0,1)))</f>
        <v/>
      </c>
      <c r="H910" s="12" t="str">
        <f>IF(Data!B900="","",IF(AND(Data!G900&lt;&gt;"",Data!H900=""),1,IF(Data!G900="",1,IF(ISNUMBER(MATCH(Data!H900,Data_Val!$D$2:$D$35,0)),0,1))))</f>
        <v/>
      </c>
      <c r="I910" s="38" t="str">
        <f>IF(Data!G900="","",IF(Data!G900=Data_Val!$C$2,IF(Data!I900="",0,1),0))</f>
        <v/>
      </c>
      <c r="J910" s="38" t="str">
        <f>IF(Data!I900="","",IF(ISNUMBER(MATCH(Data!J900,Data_Val!$A$2:$A$3,0)),0,1))</f>
        <v/>
      </c>
      <c r="K910" s="38" t="str">
        <f ca="1">IF(Data!I900="","",IF(ISNUMBER(Data!K900),IF(AND(Data!K900&gt;(TODAY()-(Data_Val!$K$3*365.25)),Data!K900&lt;=(TODAY()-(Data_Val!$K$2*365.25))),0,1),1))</f>
        <v/>
      </c>
      <c r="L910" s="16" t="str">
        <f>IF(Data!G900="","",IF(Data!G900=Data_Val!$C$2,IF(Data!L900="",0,1),0))</f>
        <v/>
      </c>
      <c r="M910" s="16" t="str">
        <f>IF(Data!L900="","",IF(ISNUMBER(MATCH(Data!M900,Data_Val!$A$2:$A$3,0)),0,1))</f>
        <v/>
      </c>
      <c r="N910" s="43" t="str">
        <f ca="1">IF(Data!L900="","",IF(ISNUMBER(Data!N900),IF(AND(Data!N900&gt;(TODAY()-(Data_Val!$L$3*365.25)),Data!N900&lt;=(TODAY()-(Data_Val!$L$2*365.25))),0,1),1))</f>
        <v/>
      </c>
      <c r="O910" s="18" t="str">
        <f>IF(Data!$G900="","",IF(Data!$G900=Data_Val!$C$2,IF(Data!O900="",0,1),0))</f>
        <v/>
      </c>
      <c r="P910" s="18" t="str">
        <f>IF(Data!O900="","",IF(ISNUMBER(MATCH(Data!P900,Data_Val!$A$2:$A$3,0)),0,1))</f>
        <v/>
      </c>
      <c r="Q910" s="44" t="str">
        <f ca="1">IF(Data!O900="","",IF(ISNUMBER(Data!Q900),IF(AND(Data!Q900&gt;(TODAY()-(Data_Val!$L$3*365.25)),Data!Q900&lt;=(TODAY()-(Data_Val!$L$2*365.25))),0,1),1))</f>
        <v/>
      </c>
    </row>
    <row r="911" spans="1:17" ht="12" customHeight="1" x14ac:dyDescent="0.25">
      <c r="A911" s="36" t="str">
        <f>IF(Data!B901="","",IF(COUNTIFS(Data!A$1:'Data'!A901,Data!A901)&lt;=1,0,1))</f>
        <v/>
      </c>
      <c r="B911" s="36"/>
      <c r="C911" s="36" t="str">
        <f>IF(Data!C901="","",(IF(ISNUMBER(MATCH("*@*.?*",Data!C901,0)),0,1)+IF(COUNTIFS(Data!C$1:'Data'!C901,Data!C901)&gt;1,1,0)))</f>
        <v/>
      </c>
      <c r="D911" s="36" t="str">
        <f>IF(Data!B901="","",IF(ISNUMBER(Data!D901),IF(AND(Data!D901&gt;999999999,Data!D901&lt;=9999999999),IF(COUNTIFS(Data!D$1:'Data'!D901,Data!D901)&lt;=1,0,1),1),1))</f>
        <v/>
      </c>
      <c r="E911" s="36" t="str">
        <f>IF(Data!B901="","",IF(ISNUMBER(MATCH(Data!E901,Data_Val!$A$2:$A$3,0)),0,1))</f>
        <v/>
      </c>
      <c r="F911" s="36" t="str">
        <f ca="1">IF(Data!B901="","",IF(ISNUMBER(Data!F901),IF(AND(Data!F901&gt;(TODAY()-(Data_Val!$H$3*365.25)),Data!F901&lt;=(TODAY()-(Data_Val!$H$2*365.25))),0,1),1))</f>
        <v/>
      </c>
      <c r="G911" s="12" t="str">
        <f>IF(Data!B901="","",IF(AND(Data!G901="",Data!H901&lt;&gt;""),1,IF(ISNUMBER(MATCH(Data!G901,Data_Val!$C$2:$C$5,0)),0,1)))</f>
        <v/>
      </c>
      <c r="H911" s="12" t="str">
        <f>IF(Data!B901="","",IF(AND(Data!G901&lt;&gt;"",Data!H901=""),1,IF(Data!G901="",1,IF(ISNUMBER(MATCH(Data!H901,Data_Val!$D$2:$D$35,0)),0,1))))</f>
        <v/>
      </c>
      <c r="I911" s="38" t="str">
        <f>IF(Data!G901="","",IF(Data!G901=Data_Val!$C$2,IF(Data!I901="",0,1),0))</f>
        <v/>
      </c>
      <c r="J911" s="38" t="str">
        <f>IF(Data!I901="","",IF(ISNUMBER(MATCH(Data!J901,Data_Val!$A$2:$A$3,0)),0,1))</f>
        <v/>
      </c>
      <c r="K911" s="38" t="str">
        <f ca="1">IF(Data!I901="","",IF(ISNUMBER(Data!K901),IF(AND(Data!K901&gt;(TODAY()-(Data_Val!$K$3*365.25)),Data!K901&lt;=(TODAY()-(Data_Val!$K$2*365.25))),0,1),1))</f>
        <v/>
      </c>
      <c r="L911" s="16" t="str">
        <f>IF(Data!G901="","",IF(Data!G901=Data_Val!$C$2,IF(Data!L901="",0,1),0))</f>
        <v/>
      </c>
      <c r="M911" s="16" t="str">
        <f>IF(Data!L901="","",IF(ISNUMBER(MATCH(Data!M901,Data_Val!$A$2:$A$3,0)),0,1))</f>
        <v/>
      </c>
      <c r="N911" s="43" t="str">
        <f ca="1">IF(Data!L901="","",IF(ISNUMBER(Data!N901),IF(AND(Data!N901&gt;(TODAY()-(Data_Val!$L$3*365.25)),Data!N901&lt;=(TODAY()-(Data_Val!$L$2*365.25))),0,1),1))</f>
        <v/>
      </c>
      <c r="O911" s="18" t="str">
        <f>IF(Data!$G901="","",IF(Data!$G901=Data_Val!$C$2,IF(Data!O901="",0,1),0))</f>
        <v/>
      </c>
      <c r="P911" s="18" t="str">
        <f>IF(Data!O901="","",IF(ISNUMBER(MATCH(Data!P901,Data_Val!$A$2:$A$3,0)),0,1))</f>
        <v/>
      </c>
      <c r="Q911" s="44" t="str">
        <f ca="1">IF(Data!O901="","",IF(ISNUMBER(Data!Q901),IF(AND(Data!Q901&gt;(TODAY()-(Data_Val!$L$3*365.25)),Data!Q901&lt;=(TODAY()-(Data_Val!$L$2*365.25))),0,1),1))</f>
        <v/>
      </c>
    </row>
    <row r="912" spans="1:17" ht="12" customHeight="1" x14ac:dyDescent="0.25">
      <c r="A912" s="36" t="str">
        <f>IF(Data!B902="","",IF(COUNTIFS(Data!A$1:'Data'!A902,Data!A902)&lt;=1,0,1))</f>
        <v/>
      </c>
      <c r="B912" s="36"/>
      <c r="C912" s="36" t="str">
        <f>IF(Data!C902="","",(IF(ISNUMBER(MATCH("*@*.?*",Data!C902,0)),0,1)+IF(COUNTIFS(Data!C$1:'Data'!C902,Data!C902)&gt;1,1,0)))</f>
        <v/>
      </c>
      <c r="D912" s="36" t="str">
        <f>IF(Data!B902="","",IF(ISNUMBER(Data!D902),IF(AND(Data!D902&gt;999999999,Data!D902&lt;=9999999999),IF(COUNTIFS(Data!D$1:'Data'!D902,Data!D902)&lt;=1,0,1),1),1))</f>
        <v/>
      </c>
      <c r="E912" s="36" t="str">
        <f>IF(Data!B902="","",IF(ISNUMBER(MATCH(Data!E902,Data_Val!$A$2:$A$3,0)),0,1))</f>
        <v/>
      </c>
      <c r="F912" s="36" t="str">
        <f ca="1">IF(Data!B902="","",IF(ISNUMBER(Data!F902),IF(AND(Data!F902&gt;(TODAY()-(Data_Val!$H$3*365.25)),Data!F902&lt;=(TODAY()-(Data_Val!$H$2*365.25))),0,1),1))</f>
        <v/>
      </c>
      <c r="G912" s="12" t="str">
        <f>IF(Data!B902="","",IF(AND(Data!G902="",Data!H902&lt;&gt;""),1,IF(ISNUMBER(MATCH(Data!G902,Data_Val!$C$2:$C$5,0)),0,1)))</f>
        <v/>
      </c>
      <c r="H912" s="12" t="str">
        <f>IF(Data!B902="","",IF(AND(Data!G902&lt;&gt;"",Data!H902=""),1,IF(Data!G902="",1,IF(ISNUMBER(MATCH(Data!H902,Data_Val!$D$2:$D$35,0)),0,1))))</f>
        <v/>
      </c>
      <c r="I912" s="38" t="str">
        <f>IF(Data!G902="","",IF(Data!G902=Data_Val!$C$2,IF(Data!I902="",0,1),0))</f>
        <v/>
      </c>
      <c r="J912" s="38" t="str">
        <f>IF(Data!I902="","",IF(ISNUMBER(MATCH(Data!J902,Data_Val!$A$2:$A$3,0)),0,1))</f>
        <v/>
      </c>
      <c r="K912" s="38" t="str">
        <f ca="1">IF(Data!I902="","",IF(ISNUMBER(Data!K902),IF(AND(Data!K902&gt;(TODAY()-(Data_Val!$K$3*365.25)),Data!K902&lt;=(TODAY()-(Data_Val!$K$2*365.25))),0,1),1))</f>
        <v/>
      </c>
      <c r="L912" s="16" t="str">
        <f>IF(Data!G902="","",IF(Data!G902=Data_Val!$C$2,IF(Data!L902="",0,1),0))</f>
        <v/>
      </c>
      <c r="M912" s="16" t="str">
        <f>IF(Data!L902="","",IF(ISNUMBER(MATCH(Data!M902,Data_Val!$A$2:$A$3,0)),0,1))</f>
        <v/>
      </c>
      <c r="N912" s="43" t="str">
        <f ca="1">IF(Data!L902="","",IF(ISNUMBER(Data!N902),IF(AND(Data!N902&gt;(TODAY()-(Data_Val!$L$3*365.25)),Data!N902&lt;=(TODAY()-(Data_Val!$L$2*365.25))),0,1),1))</f>
        <v/>
      </c>
      <c r="O912" s="18" t="str">
        <f>IF(Data!$G902="","",IF(Data!$G902=Data_Val!$C$2,IF(Data!O902="",0,1),0))</f>
        <v/>
      </c>
      <c r="P912" s="18" t="str">
        <f>IF(Data!O902="","",IF(ISNUMBER(MATCH(Data!P902,Data_Val!$A$2:$A$3,0)),0,1))</f>
        <v/>
      </c>
      <c r="Q912" s="44" t="str">
        <f ca="1">IF(Data!O902="","",IF(ISNUMBER(Data!Q902),IF(AND(Data!Q902&gt;(TODAY()-(Data_Val!$L$3*365.25)),Data!Q902&lt;=(TODAY()-(Data_Val!$L$2*365.25))),0,1),1))</f>
        <v/>
      </c>
    </row>
    <row r="913" spans="1:17" ht="12" customHeight="1" x14ac:dyDescent="0.25">
      <c r="A913" s="36" t="str">
        <f>IF(Data!B903="","",IF(COUNTIFS(Data!A$1:'Data'!A903,Data!A903)&lt;=1,0,1))</f>
        <v/>
      </c>
      <c r="B913" s="36"/>
      <c r="C913" s="36" t="str">
        <f>IF(Data!C903="","",(IF(ISNUMBER(MATCH("*@*.?*",Data!C903,0)),0,1)+IF(COUNTIFS(Data!C$1:'Data'!C903,Data!C903)&gt;1,1,0)))</f>
        <v/>
      </c>
      <c r="D913" s="36" t="str">
        <f>IF(Data!B903="","",IF(ISNUMBER(Data!D903),IF(AND(Data!D903&gt;999999999,Data!D903&lt;=9999999999),IF(COUNTIFS(Data!D$1:'Data'!D903,Data!D903)&lt;=1,0,1),1),1))</f>
        <v/>
      </c>
      <c r="E913" s="36" t="str">
        <f>IF(Data!B903="","",IF(ISNUMBER(MATCH(Data!E903,Data_Val!$A$2:$A$3,0)),0,1))</f>
        <v/>
      </c>
      <c r="F913" s="36" t="str">
        <f ca="1">IF(Data!B903="","",IF(ISNUMBER(Data!F903),IF(AND(Data!F903&gt;(TODAY()-(Data_Val!$H$3*365.25)),Data!F903&lt;=(TODAY()-(Data_Val!$H$2*365.25))),0,1),1))</f>
        <v/>
      </c>
      <c r="G913" s="12" t="str">
        <f>IF(Data!B903="","",IF(AND(Data!G903="",Data!H903&lt;&gt;""),1,IF(ISNUMBER(MATCH(Data!G903,Data_Val!$C$2:$C$5,0)),0,1)))</f>
        <v/>
      </c>
      <c r="H913" s="12" t="str">
        <f>IF(Data!B903="","",IF(AND(Data!G903&lt;&gt;"",Data!H903=""),1,IF(Data!G903="",1,IF(ISNUMBER(MATCH(Data!H903,Data_Val!$D$2:$D$35,0)),0,1))))</f>
        <v/>
      </c>
      <c r="I913" s="38" t="str">
        <f>IF(Data!G903="","",IF(Data!G903=Data_Val!$C$2,IF(Data!I903="",0,1),0))</f>
        <v/>
      </c>
      <c r="J913" s="38" t="str">
        <f>IF(Data!I903="","",IF(ISNUMBER(MATCH(Data!J903,Data_Val!$A$2:$A$3,0)),0,1))</f>
        <v/>
      </c>
      <c r="K913" s="38" t="str">
        <f ca="1">IF(Data!I903="","",IF(ISNUMBER(Data!K903),IF(AND(Data!K903&gt;(TODAY()-(Data_Val!$K$3*365.25)),Data!K903&lt;=(TODAY()-(Data_Val!$K$2*365.25))),0,1),1))</f>
        <v/>
      </c>
      <c r="L913" s="16" t="str">
        <f>IF(Data!G903="","",IF(Data!G903=Data_Val!$C$2,IF(Data!L903="",0,1),0))</f>
        <v/>
      </c>
      <c r="M913" s="16" t="str">
        <f>IF(Data!L903="","",IF(ISNUMBER(MATCH(Data!M903,Data_Val!$A$2:$A$3,0)),0,1))</f>
        <v/>
      </c>
      <c r="N913" s="43" t="str">
        <f ca="1">IF(Data!L903="","",IF(ISNUMBER(Data!N903),IF(AND(Data!N903&gt;(TODAY()-(Data_Val!$L$3*365.25)),Data!N903&lt;=(TODAY()-(Data_Val!$L$2*365.25))),0,1),1))</f>
        <v/>
      </c>
      <c r="O913" s="18" t="str">
        <f>IF(Data!$G903="","",IF(Data!$G903=Data_Val!$C$2,IF(Data!O903="",0,1),0))</f>
        <v/>
      </c>
      <c r="P913" s="18" t="str">
        <f>IF(Data!O903="","",IF(ISNUMBER(MATCH(Data!P903,Data_Val!$A$2:$A$3,0)),0,1))</f>
        <v/>
      </c>
      <c r="Q913" s="44" t="str">
        <f ca="1">IF(Data!O903="","",IF(ISNUMBER(Data!Q903),IF(AND(Data!Q903&gt;(TODAY()-(Data_Val!$L$3*365.25)),Data!Q903&lt;=(TODAY()-(Data_Val!$L$2*365.25))),0,1),1))</f>
        <v/>
      </c>
    </row>
    <row r="914" spans="1:17" ht="12" customHeight="1" x14ac:dyDescent="0.25">
      <c r="A914" s="36" t="str">
        <f>IF(Data!B904="","",IF(COUNTIFS(Data!A$1:'Data'!A904,Data!A904)&lt;=1,0,1))</f>
        <v/>
      </c>
      <c r="B914" s="36"/>
      <c r="C914" s="36" t="str">
        <f>IF(Data!C904="","",(IF(ISNUMBER(MATCH("*@*.?*",Data!C904,0)),0,1)+IF(COUNTIFS(Data!C$1:'Data'!C904,Data!C904)&gt;1,1,0)))</f>
        <v/>
      </c>
      <c r="D914" s="36" t="str">
        <f>IF(Data!B904="","",IF(ISNUMBER(Data!D904),IF(AND(Data!D904&gt;999999999,Data!D904&lt;=9999999999),IF(COUNTIFS(Data!D$1:'Data'!D904,Data!D904)&lt;=1,0,1),1),1))</f>
        <v/>
      </c>
      <c r="E914" s="36" t="str">
        <f>IF(Data!B904="","",IF(ISNUMBER(MATCH(Data!E904,Data_Val!$A$2:$A$3,0)),0,1))</f>
        <v/>
      </c>
      <c r="F914" s="36" t="str">
        <f ca="1">IF(Data!B904="","",IF(ISNUMBER(Data!F904),IF(AND(Data!F904&gt;(TODAY()-(Data_Val!$H$3*365.25)),Data!F904&lt;=(TODAY()-(Data_Val!$H$2*365.25))),0,1),1))</f>
        <v/>
      </c>
      <c r="G914" s="12" t="str">
        <f>IF(Data!B904="","",IF(AND(Data!G904="",Data!H904&lt;&gt;""),1,IF(ISNUMBER(MATCH(Data!G904,Data_Val!$C$2:$C$5,0)),0,1)))</f>
        <v/>
      </c>
      <c r="H914" s="12" t="str">
        <f>IF(Data!B904="","",IF(AND(Data!G904&lt;&gt;"",Data!H904=""),1,IF(Data!G904="",1,IF(ISNUMBER(MATCH(Data!H904,Data_Val!$D$2:$D$35,0)),0,1))))</f>
        <v/>
      </c>
      <c r="I914" s="38" t="str">
        <f>IF(Data!G904="","",IF(Data!G904=Data_Val!$C$2,IF(Data!I904="",0,1),0))</f>
        <v/>
      </c>
      <c r="J914" s="38" t="str">
        <f>IF(Data!I904="","",IF(ISNUMBER(MATCH(Data!J904,Data_Val!$A$2:$A$3,0)),0,1))</f>
        <v/>
      </c>
      <c r="K914" s="38" t="str">
        <f ca="1">IF(Data!I904="","",IF(ISNUMBER(Data!K904),IF(AND(Data!K904&gt;(TODAY()-(Data_Val!$K$3*365.25)),Data!K904&lt;=(TODAY()-(Data_Val!$K$2*365.25))),0,1),1))</f>
        <v/>
      </c>
      <c r="L914" s="16" t="str">
        <f>IF(Data!G904="","",IF(Data!G904=Data_Val!$C$2,IF(Data!L904="",0,1),0))</f>
        <v/>
      </c>
      <c r="M914" s="16" t="str">
        <f>IF(Data!L904="","",IF(ISNUMBER(MATCH(Data!M904,Data_Val!$A$2:$A$3,0)),0,1))</f>
        <v/>
      </c>
      <c r="N914" s="43" t="str">
        <f ca="1">IF(Data!L904="","",IF(ISNUMBER(Data!N904),IF(AND(Data!N904&gt;(TODAY()-(Data_Val!$L$3*365.25)),Data!N904&lt;=(TODAY()-(Data_Val!$L$2*365.25))),0,1),1))</f>
        <v/>
      </c>
      <c r="O914" s="18" t="str">
        <f>IF(Data!$G904="","",IF(Data!$G904=Data_Val!$C$2,IF(Data!O904="",0,1),0))</f>
        <v/>
      </c>
      <c r="P914" s="18" t="str">
        <f>IF(Data!O904="","",IF(ISNUMBER(MATCH(Data!P904,Data_Val!$A$2:$A$3,0)),0,1))</f>
        <v/>
      </c>
      <c r="Q914" s="44" t="str">
        <f ca="1">IF(Data!O904="","",IF(ISNUMBER(Data!Q904),IF(AND(Data!Q904&gt;(TODAY()-(Data_Val!$L$3*365.25)),Data!Q904&lt;=(TODAY()-(Data_Val!$L$2*365.25))),0,1),1))</f>
        <v/>
      </c>
    </row>
    <row r="915" spans="1:17" ht="12" customHeight="1" x14ac:dyDescent="0.25">
      <c r="A915" s="36" t="str">
        <f>IF(Data!B905="","",IF(COUNTIFS(Data!A$1:'Data'!A905,Data!A905)&lt;=1,0,1))</f>
        <v/>
      </c>
      <c r="B915" s="36"/>
      <c r="C915" s="36" t="str">
        <f>IF(Data!C905="","",(IF(ISNUMBER(MATCH("*@*.?*",Data!C905,0)),0,1)+IF(COUNTIFS(Data!C$1:'Data'!C905,Data!C905)&gt;1,1,0)))</f>
        <v/>
      </c>
      <c r="D915" s="36" t="str">
        <f>IF(Data!B905="","",IF(ISNUMBER(Data!D905),IF(AND(Data!D905&gt;999999999,Data!D905&lt;=9999999999),IF(COUNTIFS(Data!D$1:'Data'!D905,Data!D905)&lt;=1,0,1),1),1))</f>
        <v/>
      </c>
      <c r="E915" s="36" t="str">
        <f>IF(Data!B905="","",IF(ISNUMBER(MATCH(Data!E905,Data_Val!$A$2:$A$3,0)),0,1))</f>
        <v/>
      </c>
      <c r="F915" s="36" t="str">
        <f ca="1">IF(Data!B905="","",IF(ISNUMBER(Data!F905),IF(AND(Data!F905&gt;(TODAY()-(Data_Val!$H$3*365.25)),Data!F905&lt;=(TODAY()-(Data_Val!$H$2*365.25))),0,1),1))</f>
        <v/>
      </c>
      <c r="G915" s="12" t="str">
        <f>IF(Data!B905="","",IF(AND(Data!G905="",Data!H905&lt;&gt;""),1,IF(ISNUMBER(MATCH(Data!G905,Data_Val!$C$2:$C$5,0)),0,1)))</f>
        <v/>
      </c>
      <c r="H915" s="12" t="str">
        <f>IF(Data!B905="","",IF(AND(Data!G905&lt;&gt;"",Data!H905=""),1,IF(Data!G905="",1,IF(ISNUMBER(MATCH(Data!H905,Data_Val!$D$2:$D$35,0)),0,1))))</f>
        <v/>
      </c>
      <c r="I915" s="38" t="str">
        <f>IF(Data!G905="","",IF(Data!G905=Data_Val!$C$2,IF(Data!I905="",0,1),0))</f>
        <v/>
      </c>
      <c r="J915" s="38" t="str">
        <f>IF(Data!I905="","",IF(ISNUMBER(MATCH(Data!J905,Data_Val!$A$2:$A$3,0)),0,1))</f>
        <v/>
      </c>
      <c r="K915" s="38" t="str">
        <f ca="1">IF(Data!I905="","",IF(ISNUMBER(Data!K905),IF(AND(Data!K905&gt;(TODAY()-(Data_Val!$K$3*365.25)),Data!K905&lt;=(TODAY()-(Data_Val!$K$2*365.25))),0,1),1))</f>
        <v/>
      </c>
      <c r="L915" s="16" t="str">
        <f>IF(Data!G905="","",IF(Data!G905=Data_Val!$C$2,IF(Data!L905="",0,1),0))</f>
        <v/>
      </c>
      <c r="M915" s="16" t="str">
        <f>IF(Data!L905="","",IF(ISNUMBER(MATCH(Data!M905,Data_Val!$A$2:$A$3,0)),0,1))</f>
        <v/>
      </c>
      <c r="N915" s="43" t="str">
        <f ca="1">IF(Data!L905="","",IF(ISNUMBER(Data!N905),IF(AND(Data!N905&gt;(TODAY()-(Data_Val!$L$3*365.25)),Data!N905&lt;=(TODAY()-(Data_Val!$L$2*365.25))),0,1),1))</f>
        <v/>
      </c>
      <c r="O915" s="18" t="str">
        <f>IF(Data!$G905="","",IF(Data!$G905=Data_Val!$C$2,IF(Data!O905="",0,1),0))</f>
        <v/>
      </c>
      <c r="P915" s="18" t="str">
        <f>IF(Data!O905="","",IF(ISNUMBER(MATCH(Data!P905,Data_Val!$A$2:$A$3,0)),0,1))</f>
        <v/>
      </c>
      <c r="Q915" s="44" t="str">
        <f ca="1">IF(Data!O905="","",IF(ISNUMBER(Data!Q905),IF(AND(Data!Q905&gt;(TODAY()-(Data_Val!$L$3*365.25)),Data!Q905&lt;=(TODAY()-(Data_Val!$L$2*365.25))),0,1),1))</f>
        <v/>
      </c>
    </row>
    <row r="916" spans="1:17" ht="12" customHeight="1" x14ac:dyDescent="0.25">
      <c r="A916" s="36" t="str">
        <f>IF(Data!B906="","",IF(COUNTIFS(Data!A$1:'Data'!A906,Data!A906)&lt;=1,0,1))</f>
        <v/>
      </c>
      <c r="B916" s="36"/>
      <c r="C916" s="36" t="str">
        <f>IF(Data!C906="","",(IF(ISNUMBER(MATCH("*@*.?*",Data!C906,0)),0,1)+IF(COUNTIFS(Data!C$1:'Data'!C906,Data!C906)&gt;1,1,0)))</f>
        <v/>
      </c>
      <c r="D916" s="36" t="str">
        <f>IF(Data!B906="","",IF(ISNUMBER(Data!D906),IF(AND(Data!D906&gt;999999999,Data!D906&lt;=9999999999),IF(COUNTIFS(Data!D$1:'Data'!D906,Data!D906)&lt;=1,0,1),1),1))</f>
        <v/>
      </c>
      <c r="E916" s="36" t="str">
        <f>IF(Data!B906="","",IF(ISNUMBER(MATCH(Data!E906,Data_Val!$A$2:$A$3,0)),0,1))</f>
        <v/>
      </c>
      <c r="F916" s="36" t="str">
        <f ca="1">IF(Data!B906="","",IF(ISNUMBER(Data!F906),IF(AND(Data!F906&gt;(TODAY()-(Data_Val!$H$3*365.25)),Data!F906&lt;=(TODAY()-(Data_Val!$H$2*365.25))),0,1),1))</f>
        <v/>
      </c>
      <c r="G916" s="12" t="str">
        <f>IF(Data!B906="","",IF(AND(Data!G906="",Data!H906&lt;&gt;""),1,IF(ISNUMBER(MATCH(Data!G906,Data_Val!$C$2:$C$5,0)),0,1)))</f>
        <v/>
      </c>
      <c r="H916" s="12" t="str">
        <f>IF(Data!B906="","",IF(AND(Data!G906&lt;&gt;"",Data!H906=""),1,IF(Data!G906="",1,IF(ISNUMBER(MATCH(Data!H906,Data_Val!$D$2:$D$35,0)),0,1))))</f>
        <v/>
      </c>
      <c r="I916" s="38" t="str">
        <f>IF(Data!G906="","",IF(Data!G906=Data_Val!$C$2,IF(Data!I906="",0,1),0))</f>
        <v/>
      </c>
      <c r="J916" s="38" t="str">
        <f>IF(Data!I906="","",IF(ISNUMBER(MATCH(Data!J906,Data_Val!$A$2:$A$3,0)),0,1))</f>
        <v/>
      </c>
      <c r="K916" s="38" t="str">
        <f ca="1">IF(Data!I906="","",IF(ISNUMBER(Data!K906),IF(AND(Data!K906&gt;(TODAY()-(Data_Val!$K$3*365.25)),Data!K906&lt;=(TODAY()-(Data_Val!$K$2*365.25))),0,1),1))</f>
        <v/>
      </c>
      <c r="L916" s="16" t="str">
        <f>IF(Data!G906="","",IF(Data!G906=Data_Val!$C$2,IF(Data!L906="",0,1),0))</f>
        <v/>
      </c>
      <c r="M916" s="16" t="str">
        <f>IF(Data!L906="","",IF(ISNUMBER(MATCH(Data!M906,Data_Val!$A$2:$A$3,0)),0,1))</f>
        <v/>
      </c>
      <c r="N916" s="43" t="str">
        <f ca="1">IF(Data!L906="","",IF(ISNUMBER(Data!N906),IF(AND(Data!N906&gt;(TODAY()-(Data_Val!$L$3*365.25)),Data!N906&lt;=(TODAY()-(Data_Val!$L$2*365.25))),0,1),1))</f>
        <v/>
      </c>
      <c r="O916" s="18" t="str">
        <f>IF(Data!$G906="","",IF(Data!$G906=Data_Val!$C$2,IF(Data!O906="",0,1),0))</f>
        <v/>
      </c>
      <c r="P916" s="18" t="str">
        <f>IF(Data!O906="","",IF(ISNUMBER(MATCH(Data!P906,Data_Val!$A$2:$A$3,0)),0,1))</f>
        <v/>
      </c>
      <c r="Q916" s="44" t="str">
        <f ca="1">IF(Data!O906="","",IF(ISNUMBER(Data!Q906),IF(AND(Data!Q906&gt;(TODAY()-(Data_Val!$L$3*365.25)),Data!Q906&lt;=(TODAY()-(Data_Val!$L$2*365.25))),0,1),1))</f>
        <v/>
      </c>
    </row>
    <row r="917" spans="1:17" ht="12" customHeight="1" x14ac:dyDescent="0.25">
      <c r="A917" s="36" t="str">
        <f>IF(Data!B907="","",IF(COUNTIFS(Data!A$1:'Data'!A907,Data!A907)&lt;=1,0,1))</f>
        <v/>
      </c>
      <c r="B917" s="36"/>
      <c r="C917" s="36" t="str">
        <f>IF(Data!C907="","",(IF(ISNUMBER(MATCH("*@*.?*",Data!C907,0)),0,1)+IF(COUNTIFS(Data!C$1:'Data'!C907,Data!C907)&gt;1,1,0)))</f>
        <v/>
      </c>
      <c r="D917" s="36" t="str">
        <f>IF(Data!B907="","",IF(ISNUMBER(Data!D907),IF(AND(Data!D907&gt;999999999,Data!D907&lt;=9999999999),IF(COUNTIFS(Data!D$1:'Data'!D907,Data!D907)&lt;=1,0,1),1),1))</f>
        <v/>
      </c>
      <c r="E917" s="36" t="str">
        <f>IF(Data!B907="","",IF(ISNUMBER(MATCH(Data!E907,Data_Val!$A$2:$A$3,0)),0,1))</f>
        <v/>
      </c>
      <c r="F917" s="36" t="str">
        <f ca="1">IF(Data!B907="","",IF(ISNUMBER(Data!F907),IF(AND(Data!F907&gt;(TODAY()-(Data_Val!$H$3*365.25)),Data!F907&lt;=(TODAY()-(Data_Val!$H$2*365.25))),0,1),1))</f>
        <v/>
      </c>
      <c r="G917" s="12" t="str">
        <f>IF(Data!B907="","",IF(AND(Data!G907="",Data!H907&lt;&gt;""),1,IF(ISNUMBER(MATCH(Data!G907,Data_Val!$C$2:$C$5,0)),0,1)))</f>
        <v/>
      </c>
      <c r="H917" s="12" t="str">
        <f>IF(Data!B907="","",IF(AND(Data!G907&lt;&gt;"",Data!H907=""),1,IF(Data!G907="",1,IF(ISNUMBER(MATCH(Data!H907,Data_Val!$D$2:$D$35,0)),0,1))))</f>
        <v/>
      </c>
      <c r="I917" s="38" t="str">
        <f>IF(Data!G907="","",IF(Data!G907=Data_Val!$C$2,IF(Data!I907="",0,1),0))</f>
        <v/>
      </c>
      <c r="J917" s="38" t="str">
        <f>IF(Data!I907="","",IF(ISNUMBER(MATCH(Data!J907,Data_Val!$A$2:$A$3,0)),0,1))</f>
        <v/>
      </c>
      <c r="K917" s="38" t="str">
        <f ca="1">IF(Data!I907="","",IF(ISNUMBER(Data!K907),IF(AND(Data!K907&gt;(TODAY()-(Data_Val!$K$3*365.25)),Data!K907&lt;=(TODAY()-(Data_Val!$K$2*365.25))),0,1),1))</f>
        <v/>
      </c>
      <c r="L917" s="16" t="str">
        <f>IF(Data!G907="","",IF(Data!G907=Data_Val!$C$2,IF(Data!L907="",0,1),0))</f>
        <v/>
      </c>
      <c r="M917" s="16" t="str">
        <f>IF(Data!L907="","",IF(ISNUMBER(MATCH(Data!M907,Data_Val!$A$2:$A$3,0)),0,1))</f>
        <v/>
      </c>
      <c r="N917" s="43" t="str">
        <f ca="1">IF(Data!L907="","",IF(ISNUMBER(Data!N907),IF(AND(Data!N907&gt;(TODAY()-(Data_Val!$L$3*365.25)),Data!N907&lt;=(TODAY()-(Data_Val!$L$2*365.25))),0,1),1))</f>
        <v/>
      </c>
      <c r="O917" s="18" t="str">
        <f>IF(Data!$G907="","",IF(Data!$G907=Data_Val!$C$2,IF(Data!O907="",0,1),0))</f>
        <v/>
      </c>
      <c r="P917" s="18" t="str">
        <f>IF(Data!O907="","",IF(ISNUMBER(MATCH(Data!P907,Data_Val!$A$2:$A$3,0)),0,1))</f>
        <v/>
      </c>
      <c r="Q917" s="44" t="str">
        <f ca="1">IF(Data!O907="","",IF(ISNUMBER(Data!Q907),IF(AND(Data!Q907&gt;(TODAY()-(Data_Val!$L$3*365.25)),Data!Q907&lt;=(TODAY()-(Data_Val!$L$2*365.25))),0,1),1))</f>
        <v/>
      </c>
    </row>
    <row r="918" spans="1:17" ht="12" customHeight="1" x14ac:dyDescent="0.25">
      <c r="A918" s="36" t="str">
        <f>IF(Data!B908="","",IF(COUNTIFS(Data!A$1:'Data'!A908,Data!A908)&lt;=1,0,1))</f>
        <v/>
      </c>
      <c r="B918" s="36"/>
      <c r="C918" s="36" t="str">
        <f>IF(Data!C908="","",(IF(ISNUMBER(MATCH("*@*.?*",Data!C908,0)),0,1)+IF(COUNTIFS(Data!C$1:'Data'!C908,Data!C908)&gt;1,1,0)))</f>
        <v/>
      </c>
      <c r="D918" s="36" t="str">
        <f>IF(Data!B908="","",IF(ISNUMBER(Data!D908),IF(AND(Data!D908&gt;999999999,Data!D908&lt;=9999999999),IF(COUNTIFS(Data!D$1:'Data'!D908,Data!D908)&lt;=1,0,1),1),1))</f>
        <v/>
      </c>
      <c r="E918" s="36" t="str">
        <f>IF(Data!B908="","",IF(ISNUMBER(MATCH(Data!E908,Data_Val!$A$2:$A$3,0)),0,1))</f>
        <v/>
      </c>
      <c r="F918" s="36" t="str">
        <f ca="1">IF(Data!B908="","",IF(ISNUMBER(Data!F908),IF(AND(Data!F908&gt;(TODAY()-(Data_Val!$H$3*365.25)),Data!F908&lt;=(TODAY()-(Data_Val!$H$2*365.25))),0,1),1))</f>
        <v/>
      </c>
      <c r="G918" s="12" t="str">
        <f>IF(Data!B908="","",IF(AND(Data!G908="",Data!H908&lt;&gt;""),1,IF(ISNUMBER(MATCH(Data!G908,Data_Val!$C$2:$C$5,0)),0,1)))</f>
        <v/>
      </c>
      <c r="H918" s="12" t="str">
        <f>IF(Data!B908="","",IF(AND(Data!G908&lt;&gt;"",Data!H908=""),1,IF(Data!G908="",1,IF(ISNUMBER(MATCH(Data!H908,Data_Val!$D$2:$D$35,0)),0,1))))</f>
        <v/>
      </c>
      <c r="I918" s="38" t="str">
        <f>IF(Data!G908="","",IF(Data!G908=Data_Val!$C$2,IF(Data!I908="",0,1),0))</f>
        <v/>
      </c>
      <c r="J918" s="38" t="str">
        <f>IF(Data!I908="","",IF(ISNUMBER(MATCH(Data!J908,Data_Val!$A$2:$A$3,0)),0,1))</f>
        <v/>
      </c>
      <c r="K918" s="38" t="str">
        <f ca="1">IF(Data!I908="","",IF(ISNUMBER(Data!K908),IF(AND(Data!K908&gt;(TODAY()-(Data_Val!$K$3*365.25)),Data!K908&lt;=(TODAY()-(Data_Val!$K$2*365.25))),0,1),1))</f>
        <v/>
      </c>
      <c r="L918" s="16" t="str">
        <f>IF(Data!G908="","",IF(Data!G908=Data_Val!$C$2,IF(Data!L908="",0,1),0))</f>
        <v/>
      </c>
      <c r="M918" s="16" t="str">
        <f>IF(Data!L908="","",IF(ISNUMBER(MATCH(Data!M908,Data_Val!$A$2:$A$3,0)),0,1))</f>
        <v/>
      </c>
      <c r="N918" s="43" t="str">
        <f ca="1">IF(Data!L908="","",IF(ISNUMBER(Data!N908),IF(AND(Data!N908&gt;(TODAY()-(Data_Val!$L$3*365.25)),Data!N908&lt;=(TODAY()-(Data_Val!$L$2*365.25))),0,1),1))</f>
        <v/>
      </c>
      <c r="O918" s="18" t="str">
        <f>IF(Data!$G908="","",IF(Data!$G908=Data_Val!$C$2,IF(Data!O908="",0,1),0))</f>
        <v/>
      </c>
      <c r="P918" s="18" t="str">
        <f>IF(Data!O908="","",IF(ISNUMBER(MATCH(Data!P908,Data_Val!$A$2:$A$3,0)),0,1))</f>
        <v/>
      </c>
      <c r="Q918" s="44" t="str">
        <f ca="1">IF(Data!O908="","",IF(ISNUMBER(Data!Q908),IF(AND(Data!Q908&gt;(TODAY()-(Data_Val!$L$3*365.25)),Data!Q908&lt;=(TODAY()-(Data_Val!$L$2*365.25))),0,1),1))</f>
        <v/>
      </c>
    </row>
    <row r="919" spans="1:17" ht="12" customHeight="1" x14ac:dyDescent="0.25">
      <c r="A919" s="36" t="str">
        <f>IF(Data!B909="","",IF(COUNTIFS(Data!A$1:'Data'!A909,Data!A909)&lt;=1,0,1))</f>
        <v/>
      </c>
      <c r="B919" s="36"/>
      <c r="C919" s="36" t="str">
        <f>IF(Data!C909="","",(IF(ISNUMBER(MATCH("*@*.?*",Data!C909,0)),0,1)+IF(COUNTIFS(Data!C$1:'Data'!C909,Data!C909)&gt;1,1,0)))</f>
        <v/>
      </c>
      <c r="D919" s="36" t="str">
        <f>IF(Data!B909="","",IF(ISNUMBER(Data!D909),IF(AND(Data!D909&gt;999999999,Data!D909&lt;=9999999999),IF(COUNTIFS(Data!D$1:'Data'!D909,Data!D909)&lt;=1,0,1),1),1))</f>
        <v/>
      </c>
      <c r="E919" s="36" t="str">
        <f>IF(Data!B909="","",IF(ISNUMBER(MATCH(Data!E909,Data_Val!$A$2:$A$3,0)),0,1))</f>
        <v/>
      </c>
      <c r="F919" s="36" t="str">
        <f ca="1">IF(Data!B909="","",IF(ISNUMBER(Data!F909),IF(AND(Data!F909&gt;(TODAY()-(Data_Val!$H$3*365.25)),Data!F909&lt;=(TODAY()-(Data_Val!$H$2*365.25))),0,1),1))</f>
        <v/>
      </c>
      <c r="G919" s="12" t="str">
        <f>IF(Data!B909="","",IF(AND(Data!G909="",Data!H909&lt;&gt;""),1,IF(ISNUMBER(MATCH(Data!G909,Data_Val!$C$2:$C$5,0)),0,1)))</f>
        <v/>
      </c>
      <c r="H919" s="12" t="str">
        <f>IF(Data!B909="","",IF(AND(Data!G909&lt;&gt;"",Data!H909=""),1,IF(Data!G909="",1,IF(ISNUMBER(MATCH(Data!H909,Data_Val!$D$2:$D$35,0)),0,1))))</f>
        <v/>
      </c>
      <c r="I919" s="38" t="str">
        <f>IF(Data!G909="","",IF(Data!G909=Data_Val!$C$2,IF(Data!I909="",0,1),0))</f>
        <v/>
      </c>
      <c r="J919" s="38" t="str">
        <f>IF(Data!I909="","",IF(ISNUMBER(MATCH(Data!J909,Data_Val!$A$2:$A$3,0)),0,1))</f>
        <v/>
      </c>
      <c r="K919" s="38" t="str">
        <f ca="1">IF(Data!I909="","",IF(ISNUMBER(Data!K909),IF(AND(Data!K909&gt;(TODAY()-(Data_Val!$K$3*365.25)),Data!K909&lt;=(TODAY()-(Data_Val!$K$2*365.25))),0,1),1))</f>
        <v/>
      </c>
      <c r="L919" s="16" t="str">
        <f>IF(Data!G909="","",IF(Data!G909=Data_Val!$C$2,IF(Data!L909="",0,1),0))</f>
        <v/>
      </c>
      <c r="M919" s="16" t="str">
        <f>IF(Data!L909="","",IF(ISNUMBER(MATCH(Data!M909,Data_Val!$A$2:$A$3,0)),0,1))</f>
        <v/>
      </c>
      <c r="N919" s="43" t="str">
        <f ca="1">IF(Data!L909="","",IF(ISNUMBER(Data!N909),IF(AND(Data!N909&gt;(TODAY()-(Data_Val!$L$3*365.25)),Data!N909&lt;=(TODAY()-(Data_Val!$L$2*365.25))),0,1),1))</f>
        <v/>
      </c>
      <c r="O919" s="18" t="str">
        <f>IF(Data!$G909="","",IF(Data!$G909=Data_Val!$C$2,IF(Data!O909="",0,1),0))</f>
        <v/>
      </c>
      <c r="P919" s="18" t="str">
        <f>IF(Data!O909="","",IF(ISNUMBER(MATCH(Data!P909,Data_Val!$A$2:$A$3,0)),0,1))</f>
        <v/>
      </c>
      <c r="Q919" s="44" t="str">
        <f ca="1">IF(Data!O909="","",IF(ISNUMBER(Data!Q909),IF(AND(Data!Q909&gt;(TODAY()-(Data_Val!$L$3*365.25)),Data!Q909&lt;=(TODAY()-(Data_Val!$L$2*365.25))),0,1),1))</f>
        <v/>
      </c>
    </row>
    <row r="920" spans="1:17" ht="12" customHeight="1" x14ac:dyDescent="0.25">
      <c r="A920" s="36" t="str">
        <f>IF(Data!B910="","",IF(COUNTIFS(Data!A$1:'Data'!A910,Data!A910)&lt;=1,0,1))</f>
        <v/>
      </c>
      <c r="B920" s="36"/>
      <c r="C920" s="36" t="str">
        <f>IF(Data!C910="","",(IF(ISNUMBER(MATCH("*@*.?*",Data!C910,0)),0,1)+IF(COUNTIFS(Data!C$1:'Data'!C910,Data!C910)&gt;1,1,0)))</f>
        <v/>
      </c>
      <c r="D920" s="36" t="str">
        <f>IF(Data!B910="","",IF(ISNUMBER(Data!D910),IF(AND(Data!D910&gt;999999999,Data!D910&lt;=9999999999),IF(COUNTIFS(Data!D$1:'Data'!D910,Data!D910)&lt;=1,0,1),1),1))</f>
        <v/>
      </c>
      <c r="E920" s="36" t="str">
        <f>IF(Data!B910="","",IF(ISNUMBER(MATCH(Data!E910,Data_Val!$A$2:$A$3,0)),0,1))</f>
        <v/>
      </c>
      <c r="F920" s="36" t="str">
        <f ca="1">IF(Data!B910="","",IF(ISNUMBER(Data!F910),IF(AND(Data!F910&gt;(TODAY()-(Data_Val!$H$3*365.25)),Data!F910&lt;=(TODAY()-(Data_Val!$H$2*365.25))),0,1),1))</f>
        <v/>
      </c>
      <c r="G920" s="12" t="str">
        <f>IF(Data!B910="","",IF(AND(Data!G910="",Data!H910&lt;&gt;""),1,IF(ISNUMBER(MATCH(Data!G910,Data_Val!$C$2:$C$5,0)),0,1)))</f>
        <v/>
      </c>
      <c r="H920" s="12" t="str">
        <f>IF(Data!B910="","",IF(AND(Data!G910&lt;&gt;"",Data!H910=""),1,IF(Data!G910="",1,IF(ISNUMBER(MATCH(Data!H910,Data_Val!$D$2:$D$35,0)),0,1))))</f>
        <v/>
      </c>
      <c r="I920" s="38" t="str">
        <f>IF(Data!G910="","",IF(Data!G910=Data_Val!$C$2,IF(Data!I910="",0,1),0))</f>
        <v/>
      </c>
      <c r="J920" s="38" t="str">
        <f>IF(Data!I910="","",IF(ISNUMBER(MATCH(Data!J910,Data_Val!$A$2:$A$3,0)),0,1))</f>
        <v/>
      </c>
      <c r="K920" s="38" t="str">
        <f ca="1">IF(Data!I910="","",IF(ISNUMBER(Data!K910),IF(AND(Data!K910&gt;(TODAY()-(Data_Val!$K$3*365.25)),Data!K910&lt;=(TODAY()-(Data_Val!$K$2*365.25))),0,1),1))</f>
        <v/>
      </c>
      <c r="L920" s="16" t="str">
        <f>IF(Data!G910="","",IF(Data!G910=Data_Val!$C$2,IF(Data!L910="",0,1),0))</f>
        <v/>
      </c>
      <c r="M920" s="16" t="str">
        <f>IF(Data!L910="","",IF(ISNUMBER(MATCH(Data!M910,Data_Val!$A$2:$A$3,0)),0,1))</f>
        <v/>
      </c>
      <c r="N920" s="43" t="str">
        <f ca="1">IF(Data!L910="","",IF(ISNUMBER(Data!N910),IF(AND(Data!N910&gt;(TODAY()-(Data_Val!$L$3*365.25)),Data!N910&lt;=(TODAY()-(Data_Val!$L$2*365.25))),0,1),1))</f>
        <v/>
      </c>
      <c r="O920" s="18" t="str">
        <f>IF(Data!$G910="","",IF(Data!$G910=Data_Val!$C$2,IF(Data!O910="",0,1),0))</f>
        <v/>
      </c>
      <c r="P920" s="18" t="str">
        <f>IF(Data!O910="","",IF(ISNUMBER(MATCH(Data!P910,Data_Val!$A$2:$A$3,0)),0,1))</f>
        <v/>
      </c>
      <c r="Q920" s="44" t="str">
        <f ca="1">IF(Data!O910="","",IF(ISNUMBER(Data!Q910),IF(AND(Data!Q910&gt;(TODAY()-(Data_Val!$L$3*365.25)),Data!Q910&lt;=(TODAY()-(Data_Val!$L$2*365.25))),0,1),1))</f>
        <v/>
      </c>
    </row>
    <row r="921" spans="1:17" ht="12" customHeight="1" x14ac:dyDescent="0.25">
      <c r="A921" s="36" t="str">
        <f>IF(Data!B911="","",IF(COUNTIFS(Data!A$1:'Data'!A911,Data!A911)&lt;=1,0,1))</f>
        <v/>
      </c>
      <c r="B921" s="36"/>
      <c r="C921" s="36" t="str">
        <f>IF(Data!C911="","",(IF(ISNUMBER(MATCH("*@*.?*",Data!C911,0)),0,1)+IF(COUNTIFS(Data!C$1:'Data'!C911,Data!C911)&gt;1,1,0)))</f>
        <v/>
      </c>
      <c r="D921" s="36" t="str">
        <f>IF(Data!B911="","",IF(ISNUMBER(Data!D911),IF(AND(Data!D911&gt;999999999,Data!D911&lt;=9999999999),IF(COUNTIFS(Data!D$1:'Data'!D911,Data!D911)&lt;=1,0,1),1),1))</f>
        <v/>
      </c>
      <c r="E921" s="36" t="str">
        <f>IF(Data!B911="","",IF(ISNUMBER(MATCH(Data!E911,Data_Val!$A$2:$A$3,0)),0,1))</f>
        <v/>
      </c>
      <c r="F921" s="36" t="str">
        <f ca="1">IF(Data!B911="","",IF(ISNUMBER(Data!F911),IF(AND(Data!F911&gt;(TODAY()-(Data_Val!$H$3*365.25)),Data!F911&lt;=(TODAY()-(Data_Val!$H$2*365.25))),0,1),1))</f>
        <v/>
      </c>
      <c r="G921" s="12" t="str">
        <f>IF(Data!B911="","",IF(AND(Data!G911="",Data!H911&lt;&gt;""),1,IF(ISNUMBER(MATCH(Data!G911,Data_Val!$C$2:$C$5,0)),0,1)))</f>
        <v/>
      </c>
      <c r="H921" s="12" t="str">
        <f>IF(Data!B911="","",IF(AND(Data!G911&lt;&gt;"",Data!H911=""),1,IF(Data!G911="",1,IF(ISNUMBER(MATCH(Data!H911,Data_Val!$D$2:$D$35,0)),0,1))))</f>
        <v/>
      </c>
      <c r="I921" s="38" t="str">
        <f>IF(Data!G911="","",IF(Data!G911=Data_Val!$C$2,IF(Data!I911="",0,1),0))</f>
        <v/>
      </c>
      <c r="J921" s="38" t="str">
        <f>IF(Data!I911="","",IF(ISNUMBER(MATCH(Data!J911,Data_Val!$A$2:$A$3,0)),0,1))</f>
        <v/>
      </c>
      <c r="K921" s="38" t="str">
        <f ca="1">IF(Data!I911="","",IF(ISNUMBER(Data!K911),IF(AND(Data!K911&gt;(TODAY()-(Data_Val!$K$3*365.25)),Data!K911&lt;=(TODAY()-(Data_Val!$K$2*365.25))),0,1),1))</f>
        <v/>
      </c>
      <c r="L921" s="16" t="str">
        <f>IF(Data!G911="","",IF(Data!G911=Data_Val!$C$2,IF(Data!L911="",0,1),0))</f>
        <v/>
      </c>
      <c r="M921" s="16" t="str">
        <f>IF(Data!L911="","",IF(ISNUMBER(MATCH(Data!M911,Data_Val!$A$2:$A$3,0)),0,1))</f>
        <v/>
      </c>
      <c r="N921" s="43" t="str">
        <f ca="1">IF(Data!L911="","",IF(ISNUMBER(Data!N911),IF(AND(Data!N911&gt;(TODAY()-(Data_Val!$L$3*365.25)),Data!N911&lt;=(TODAY()-(Data_Val!$L$2*365.25))),0,1),1))</f>
        <v/>
      </c>
      <c r="O921" s="18" t="str">
        <f>IF(Data!$G911="","",IF(Data!$G911=Data_Val!$C$2,IF(Data!O911="",0,1),0))</f>
        <v/>
      </c>
      <c r="P921" s="18" t="str">
        <f>IF(Data!O911="","",IF(ISNUMBER(MATCH(Data!P911,Data_Val!$A$2:$A$3,0)),0,1))</f>
        <v/>
      </c>
      <c r="Q921" s="44" t="str">
        <f ca="1">IF(Data!O911="","",IF(ISNUMBER(Data!Q911),IF(AND(Data!Q911&gt;(TODAY()-(Data_Val!$L$3*365.25)),Data!Q911&lt;=(TODAY()-(Data_Val!$L$2*365.25))),0,1),1))</f>
        <v/>
      </c>
    </row>
    <row r="922" spans="1:17" ht="12" customHeight="1" x14ac:dyDescent="0.25">
      <c r="A922" s="36" t="str">
        <f>IF(Data!B912="","",IF(COUNTIFS(Data!A$1:'Data'!A912,Data!A912)&lt;=1,0,1))</f>
        <v/>
      </c>
      <c r="B922" s="36"/>
      <c r="C922" s="36" t="str">
        <f>IF(Data!C912="","",(IF(ISNUMBER(MATCH("*@*.?*",Data!C912,0)),0,1)+IF(COUNTIFS(Data!C$1:'Data'!C912,Data!C912)&gt;1,1,0)))</f>
        <v/>
      </c>
      <c r="D922" s="36" t="str">
        <f>IF(Data!B912="","",IF(ISNUMBER(Data!D912),IF(AND(Data!D912&gt;999999999,Data!D912&lt;=9999999999),IF(COUNTIFS(Data!D$1:'Data'!D912,Data!D912)&lt;=1,0,1),1),1))</f>
        <v/>
      </c>
      <c r="E922" s="36" t="str">
        <f>IF(Data!B912="","",IF(ISNUMBER(MATCH(Data!E912,Data_Val!$A$2:$A$3,0)),0,1))</f>
        <v/>
      </c>
      <c r="F922" s="36" t="str">
        <f ca="1">IF(Data!B912="","",IF(ISNUMBER(Data!F912),IF(AND(Data!F912&gt;(TODAY()-(Data_Val!$H$3*365.25)),Data!F912&lt;=(TODAY()-(Data_Val!$H$2*365.25))),0,1),1))</f>
        <v/>
      </c>
      <c r="G922" s="12" t="str">
        <f>IF(Data!B912="","",IF(AND(Data!G912="",Data!H912&lt;&gt;""),1,IF(ISNUMBER(MATCH(Data!G912,Data_Val!$C$2:$C$5,0)),0,1)))</f>
        <v/>
      </c>
      <c r="H922" s="12" t="str">
        <f>IF(Data!B912="","",IF(AND(Data!G912&lt;&gt;"",Data!H912=""),1,IF(Data!G912="",1,IF(ISNUMBER(MATCH(Data!H912,Data_Val!$D$2:$D$35,0)),0,1))))</f>
        <v/>
      </c>
      <c r="I922" s="38" t="str">
        <f>IF(Data!G912="","",IF(Data!G912=Data_Val!$C$2,IF(Data!I912="",0,1),0))</f>
        <v/>
      </c>
      <c r="J922" s="38" t="str">
        <f>IF(Data!I912="","",IF(ISNUMBER(MATCH(Data!J912,Data_Val!$A$2:$A$3,0)),0,1))</f>
        <v/>
      </c>
      <c r="K922" s="38" t="str">
        <f ca="1">IF(Data!I912="","",IF(ISNUMBER(Data!K912),IF(AND(Data!K912&gt;(TODAY()-(Data_Val!$K$3*365.25)),Data!K912&lt;=(TODAY()-(Data_Val!$K$2*365.25))),0,1),1))</f>
        <v/>
      </c>
      <c r="L922" s="16" t="str">
        <f>IF(Data!G912="","",IF(Data!G912=Data_Val!$C$2,IF(Data!L912="",0,1),0))</f>
        <v/>
      </c>
      <c r="M922" s="16" t="str">
        <f>IF(Data!L912="","",IF(ISNUMBER(MATCH(Data!M912,Data_Val!$A$2:$A$3,0)),0,1))</f>
        <v/>
      </c>
      <c r="N922" s="43" t="str">
        <f ca="1">IF(Data!L912="","",IF(ISNUMBER(Data!N912),IF(AND(Data!N912&gt;(TODAY()-(Data_Val!$L$3*365.25)),Data!N912&lt;=(TODAY()-(Data_Val!$L$2*365.25))),0,1),1))</f>
        <v/>
      </c>
      <c r="O922" s="18" t="str">
        <f>IF(Data!$G912="","",IF(Data!$G912=Data_Val!$C$2,IF(Data!O912="",0,1),0))</f>
        <v/>
      </c>
      <c r="P922" s="18" t="str">
        <f>IF(Data!O912="","",IF(ISNUMBER(MATCH(Data!P912,Data_Val!$A$2:$A$3,0)),0,1))</f>
        <v/>
      </c>
      <c r="Q922" s="44" t="str">
        <f ca="1">IF(Data!O912="","",IF(ISNUMBER(Data!Q912),IF(AND(Data!Q912&gt;(TODAY()-(Data_Val!$L$3*365.25)),Data!Q912&lt;=(TODAY()-(Data_Val!$L$2*365.25))),0,1),1))</f>
        <v/>
      </c>
    </row>
    <row r="923" spans="1:17" ht="12" customHeight="1" x14ac:dyDescent="0.25">
      <c r="A923" s="36" t="str">
        <f>IF(Data!B913="","",IF(COUNTIFS(Data!A$1:'Data'!A913,Data!A913)&lt;=1,0,1))</f>
        <v/>
      </c>
      <c r="B923" s="36"/>
      <c r="C923" s="36" t="str">
        <f>IF(Data!C913="","",(IF(ISNUMBER(MATCH("*@*.?*",Data!C913,0)),0,1)+IF(COUNTIFS(Data!C$1:'Data'!C913,Data!C913)&gt;1,1,0)))</f>
        <v/>
      </c>
      <c r="D923" s="36" t="str">
        <f>IF(Data!B913="","",IF(ISNUMBER(Data!D913),IF(AND(Data!D913&gt;999999999,Data!D913&lt;=9999999999),IF(COUNTIFS(Data!D$1:'Data'!D913,Data!D913)&lt;=1,0,1),1),1))</f>
        <v/>
      </c>
      <c r="E923" s="36" t="str">
        <f>IF(Data!B913="","",IF(ISNUMBER(MATCH(Data!E913,Data_Val!$A$2:$A$3,0)),0,1))</f>
        <v/>
      </c>
      <c r="F923" s="36" t="str">
        <f ca="1">IF(Data!B913="","",IF(ISNUMBER(Data!F913),IF(AND(Data!F913&gt;(TODAY()-(Data_Val!$H$3*365.25)),Data!F913&lt;=(TODAY()-(Data_Val!$H$2*365.25))),0,1),1))</f>
        <v/>
      </c>
      <c r="G923" s="12" t="str">
        <f>IF(Data!B913="","",IF(AND(Data!G913="",Data!H913&lt;&gt;""),1,IF(ISNUMBER(MATCH(Data!G913,Data_Val!$C$2:$C$5,0)),0,1)))</f>
        <v/>
      </c>
      <c r="H923" s="12" t="str">
        <f>IF(Data!B913="","",IF(AND(Data!G913&lt;&gt;"",Data!H913=""),1,IF(Data!G913="",1,IF(ISNUMBER(MATCH(Data!H913,Data_Val!$D$2:$D$35,0)),0,1))))</f>
        <v/>
      </c>
      <c r="I923" s="38" t="str">
        <f>IF(Data!G913="","",IF(Data!G913=Data_Val!$C$2,IF(Data!I913="",0,1),0))</f>
        <v/>
      </c>
      <c r="J923" s="38" t="str">
        <f>IF(Data!I913="","",IF(ISNUMBER(MATCH(Data!J913,Data_Val!$A$2:$A$3,0)),0,1))</f>
        <v/>
      </c>
      <c r="K923" s="38" t="str">
        <f ca="1">IF(Data!I913="","",IF(ISNUMBER(Data!K913),IF(AND(Data!K913&gt;(TODAY()-(Data_Val!$K$3*365.25)),Data!K913&lt;=(TODAY()-(Data_Val!$K$2*365.25))),0,1),1))</f>
        <v/>
      </c>
      <c r="L923" s="16" t="str">
        <f>IF(Data!G913="","",IF(Data!G913=Data_Val!$C$2,IF(Data!L913="",0,1),0))</f>
        <v/>
      </c>
      <c r="M923" s="16" t="str">
        <f>IF(Data!L913="","",IF(ISNUMBER(MATCH(Data!M913,Data_Val!$A$2:$A$3,0)),0,1))</f>
        <v/>
      </c>
      <c r="N923" s="43" t="str">
        <f ca="1">IF(Data!L913="","",IF(ISNUMBER(Data!N913),IF(AND(Data!N913&gt;(TODAY()-(Data_Val!$L$3*365.25)),Data!N913&lt;=(TODAY()-(Data_Val!$L$2*365.25))),0,1),1))</f>
        <v/>
      </c>
      <c r="O923" s="18" t="str">
        <f>IF(Data!$G913="","",IF(Data!$G913=Data_Val!$C$2,IF(Data!O913="",0,1),0))</f>
        <v/>
      </c>
      <c r="P923" s="18" t="str">
        <f>IF(Data!O913="","",IF(ISNUMBER(MATCH(Data!P913,Data_Val!$A$2:$A$3,0)),0,1))</f>
        <v/>
      </c>
      <c r="Q923" s="44" t="str">
        <f ca="1">IF(Data!O913="","",IF(ISNUMBER(Data!Q913),IF(AND(Data!Q913&gt;(TODAY()-(Data_Val!$L$3*365.25)),Data!Q913&lt;=(TODAY()-(Data_Val!$L$2*365.25))),0,1),1))</f>
        <v/>
      </c>
    </row>
    <row r="924" spans="1:17" ht="12" customHeight="1" x14ac:dyDescent="0.25">
      <c r="A924" s="36" t="str">
        <f>IF(Data!B914="","",IF(COUNTIFS(Data!A$1:'Data'!A914,Data!A914)&lt;=1,0,1))</f>
        <v/>
      </c>
      <c r="B924" s="36"/>
      <c r="C924" s="36" t="str">
        <f>IF(Data!C914="","",(IF(ISNUMBER(MATCH("*@*.?*",Data!C914,0)),0,1)+IF(COUNTIFS(Data!C$1:'Data'!C914,Data!C914)&gt;1,1,0)))</f>
        <v/>
      </c>
      <c r="D924" s="36" t="str">
        <f>IF(Data!B914="","",IF(ISNUMBER(Data!D914),IF(AND(Data!D914&gt;999999999,Data!D914&lt;=9999999999),IF(COUNTIFS(Data!D$1:'Data'!D914,Data!D914)&lt;=1,0,1),1),1))</f>
        <v/>
      </c>
      <c r="E924" s="36" t="str">
        <f>IF(Data!B914="","",IF(ISNUMBER(MATCH(Data!E914,Data_Val!$A$2:$A$3,0)),0,1))</f>
        <v/>
      </c>
      <c r="F924" s="36" t="str">
        <f ca="1">IF(Data!B914="","",IF(ISNUMBER(Data!F914),IF(AND(Data!F914&gt;(TODAY()-(Data_Val!$H$3*365.25)),Data!F914&lt;=(TODAY()-(Data_Val!$H$2*365.25))),0,1),1))</f>
        <v/>
      </c>
      <c r="G924" s="12" t="str">
        <f>IF(Data!B914="","",IF(AND(Data!G914="",Data!H914&lt;&gt;""),1,IF(ISNUMBER(MATCH(Data!G914,Data_Val!$C$2:$C$5,0)),0,1)))</f>
        <v/>
      </c>
      <c r="H924" s="12" t="str">
        <f>IF(Data!B914="","",IF(AND(Data!G914&lt;&gt;"",Data!H914=""),1,IF(Data!G914="",1,IF(ISNUMBER(MATCH(Data!H914,Data_Val!$D$2:$D$35,0)),0,1))))</f>
        <v/>
      </c>
      <c r="I924" s="38" t="str">
        <f>IF(Data!G914="","",IF(Data!G914=Data_Val!$C$2,IF(Data!I914="",0,1),0))</f>
        <v/>
      </c>
      <c r="J924" s="38" t="str">
        <f>IF(Data!I914="","",IF(ISNUMBER(MATCH(Data!J914,Data_Val!$A$2:$A$3,0)),0,1))</f>
        <v/>
      </c>
      <c r="K924" s="38" t="str">
        <f ca="1">IF(Data!I914="","",IF(ISNUMBER(Data!K914),IF(AND(Data!K914&gt;(TODAY()-(Data_Val!$K$3*365.25)),Data!K914&lt;=(TODAY()-(Data_Val!$K$2*365.25))),0,1),1))</f>
        <v/>
      </c>
      <c r="L924" s="16" t="str">
        <f>IF(Data!G914="","",IF(Data!G914=Data_Val!$C$2,IF(Data!L914="",0,1),0))</f>
        <v/>
      </c>
      <c r="M924" s="16" t="str">
        <f>IF(Data!L914="","",IF(ISNUMBER(MATCH(Data!M914,Data_Val!$A$2:$A$3,0)),0,1))</f>
        <v/>
      </c>
      <c r="N924" s="43" t="str">
        <f ca="1">IF(Data!L914="","",IF(ISNUMBER(Data!N914),IF(AND(Data!N914&gt;(TODAY()-(Data_Val!$L$3*365.25)),Data!N914&lt;=(TODAY()-(Data_Val!$L$2*365.25))),0,1),1))</f>
        <v/>
      </c>
      <c r="O924" s="18" t="str">
        <f>IF(Data!$G914="","",IF(Data!$G914=Data_Val!$C$2,IF(Data!O914="",0,1),0))</f>
        <v/>
      </c>
      <c r="P924" s="18" t="str">
        <f>IF(Data!O914="","",IF(ISNUMBER(MATCH(Data!P914,Data_Val!$A$2:$A$3,0)),0,1))</f>
        <v/>
      </c>
      <c r="Q924" s="44" t="str">
        <f ca="1">IF(Data!O914="","",IF(ISNUMBER(Data!Q914),IF(AND(Data!Q914&gt;(TODAY()-(Data_Val!$L$3*365.25)),Data!Q914&lt;=(TODAY()-(Data_Val!$L$2*365.25))),0,1),1))</f>
        <v/>
      </c>
    </row>
    <row r="925" spans="1:17" ht="12" customHeight="1" x14ac:dyDescent="0.25">
      <c r="A925" s="36" t="str">
        <f>IF(Data!B915="","",IF(COUNTIFS(Data!A$1:'Data'!A915,Data!A915)&lt;=1,0,1))</f>
        <v/>
      </c>
      <c r="B925" s="36"/>
      <c r="C925" s="36" t="str">
        <f>IF(Data!C915="","",(IF(ISNUMBER(MATCH("*@*.?*",Data!C915,0)),0,1)+IF(COUNTIFS(Data!C$1:'Data'!C915,Data!C915)&gt;1,1,0)))</f>
        <v/>
      </c>
      <c r="D925" s="36" t="str">
        <f>IF(Data!B915="","",IF(ISNUMBER(Data!D915),IF(AND(Data!D915&gt;999999999,Data!D915&lt;=9999999999),IF(COUNTIFS(Data!D$1:'Data'!D915,Data!D915)&lt;=1,0,1),1),1))</f>
        <v/>
      </c>
      <c r="E925" s="36" t="str">
        <f>IF(Data!B915="","",IF(ISNUMBER(MATCH(Data!E915,Data_Val!$A$2:$A$3,0)),0,1))</f>
        <v/>
      </c>
      <c r="F925" s="36" t="str">
        <f ca="1">IF(Data!B915="","",IF(ISNUMBER(Data!F915),IF(AND(Data!F915&gt;(TODAY()-(Data_Val!$H$3*365.25)),Data!F915&lt;=(TODAY()-(Data_Val!$H$2*365.25))),0,1),1))</f>
        <v/>
      </c>
      <c r="G925" s="12" t="str">
        <f>IF(Data!B915="","",IF(AND(Data!G915="",Data!H915&lt;&gt;""),1,IF(ISNUMBER(MATCH(Data!G915,Data_Val!$C$2:$C$5,0)),0,1)))</f>
        <v/>
      </c>
      <c r="H925" s="12" t="str">
        <f>IF(Data!B915="","",IF(AND(Data!G915&lt;&gt;"",Data!H915=""),1,IF(Data!G915="",1,IF(ISNUMBER(MATCH(Data!H915,Data_Val!$D$2:$D$35,0)),0,1))))</f>
        <v/>
      </c>
      <c r="I925" s="38" t="str">
        <f>IF(Data!G915="","",IF(Data!G915=Data_Val!$C$2,IF(Data!I915="",0,1),0))</f>
        <v/>
      </c>
      <c r="J925" s="38" t="str">
        <f>IF(Data!I915="","",IF(ISNUMBER(MATCH(Data!J915,Data_Val!$A$2:$A$3,0)),0,1))</f>
        <v/>
      </c>
      <c r="K925" s="38" t="str">
        <f ca="1">IF(Data!I915="","",IF(ISNUMBER(Data!K915),IF(AND(Data!K915&gt;(TODAY()-(Data_Val!$K$3*365.25)),Data!K915&lt;=(TODAY()-(Data_Val!$K$2*365.25))),0,1),1))</f>
        <v/>
      </c>
      <c r="L925" s="16" t="str">
        <f>IF(Data!G915="","",IF(Data!G915=Data_Val!$C$2,IF(Data!L915="",0,1),0))</f>
        <v/>
      </c>
      <c r="M925" s="16" t="str">
        <f>IF(Data!L915="","",IF(ISNUMBER(MATCH(Data!M915,Data_Val!$A$2:$A$3,0)),0,1))</f>
        <v/>
      </c>
      <c r="N925" s="43" t="str">
        <f ca="1">IF(Data!L915="","",IF(ISNUMBER(Data!N915),IF(AND(Data!N915&gt;(TODAY()-(Data_Val!$L$3*365.25)),Data!N915&lt;=(TODAY()-(Data_Val!$L$2*365.25))),0,1),1))</f>
        <v/>
      </c>
      <c r="O925" s="18" t="str">
        <f>IF(Data!$G915="","",IF(Data!$G915=Data_Val!$C$2,IF(Data!O915="",0,1),0))</f>
        <v/>
      </c>
      <c r="P925" s="18" t="str">
        <f>IF(Data!O915="","",IF(ISNUMBER(MATCH(Data!P915,Data_Val!$A$2:$A$3,0)),0,1))</f>
        <v/>
      </c>
      <c r="Q925" s="44" t="str">
        <f ca="1">IF(Data!O915="","",IF(ISNUMBER(Data!Q915),IF(AND(Data!Q915&gt;(TODAY()-(Data_Val!$L$3*365.25)),Data!Q915&lt;=(TODAY()-(Data_Val!$L$2*365.25))),0,1),1))</f>
        <v/>
      </c>
    </row>
    <row r="926" spans="1:17" ht="12" customHeight="1" x14ac:dyDescent="0.25">
      <c r="A926" s="36" t="str">
        <f>IF(Data!B916="","",IF(COUNTIFS(Data!A$1:'Data'!A916,Data!A916)&lt;=1,0,1))</f>
        <v/>
      </c>
      <c r="B926" s="36"/>
      <c r="C926" s="36" t="str">
        <f>IF(Data!C916="","",(IF(ISNUMBER(MATCH("*@*.?*",Data!C916,0)),0,1)+IF(COUNTIFS(Data!C$1:'Data'!C916,Data!C916)&gt;1,1,0)))</f>
        <v/>
      </c>
      <c r="D926" s="36" t="str">
        <f>IF(Data!B916="","",IF(ISNUMBER(Data!D916),IF(AND(Data!D916&gt;999999999,Data!D916&lt;=9999999999),IF(COUNTIFS(Data!D$1:'Data'!D916,Data!D916)&lt;=1,0,1),1),1))</f>
        <v/>
      </c>
      <c r="E926" s="36" t="str">
        <f>IF(Data!B916="","",IF(ISNUMBER(MATCH(Data!E916,Data_Val!$A$2:$A$3,0)),0,1))</f>
        <v/>
      </c>
      <c r="F926" s="36" t="str">
        <f ca="1">IF(Data!B916="","",IF(ISNUMBER(Data!F916),IF(AND(Data!F916&gt;(TODAY()-(Data_Val!$H$3*365.25)),Data!F916&lt;=(TODAY()-(Data_Val!$H$2*365.25))),0,1),1))</f>
        <v/>
      </c>
      <c r="G926" s="12" t="str">
        <f>IF(Data!B916="","",IF(AND(Data!G916="",Data!H916&lt;&gt;""),1,IF(ISNUMBER(MATCH(Data!G916,Data_Val!$C$2:$C$5,0)),0,1)))</f>
        <v/>
      </c>
      <c r="H926" s="12" t="str">
        <f>IF(Data!B916="","",IF(AND(Data!G916&lt;&gt;"",Data!H916=""),1,IF(Data!G916="",1,IF(ISNUMBER(MATCH(Data!H916,Data_Val!$D$2:$D$35,0)),0,1))))</f>
        <v/>
      </c>
      <c r="I926" s="38" t="str">
        <f>IF(Data!G916="","",IF(Data!G916=Data_Val!$C$2,IF(Data!I916="",0,1),0))</f>
        <v/>
      </c>
      <c r="J926" s="38" t="str">
        <f>IF(Data!I916="","",IF(ISNUMBER(MATCH(Data!J916,Data_Val!$A$2:$A$3,0)),0,1))</f>
        <v/>
      </c>
      <c r="K926" s="38" t="str">
        <f ca="1">IF(Data!I916="","",IF(ISNUMBER(Data!K916),IF(AND(Data!K916&gt;(TODAY()-(Data_Val!$K$3*365.25)),Data!K916&lt;=(TODAY()-(Data_Val!$K$2*365.25))),0,1),1))</f>
        <v/>
      </c>
      <c r="L926" s="16" t="str">
        <f>IF(Data!G916="","",IF(Data!G916=Data_Val!$C$2,IF(Data!L916="",0,1),0))</f>
        <v/>
      </c>
      <c r="M926" s="16" t="str">
        <f>IF(Data!L916="","",IF(ISNUMBER(MATCH(Data!M916,Data_Val!$A$2:$A$3,0)),0,1))</f>
        <v/>
      </c>
      <c r="N926" s="43" t="str">
        <f ca="1">IF(Data!L916="","",IF(ISNUMBER(Data!N916),IF(AND(Data!N916&gt;(TODAY()-(Data_Val!$L$3*365.25)),Data!N916&lt;=(TODAY()-(Data_Val!$L$2*365.25))),0,1),1))</f>
        <v/>
      </c>
      <c r="O926" s="18" t="str">
        <f>IF(Data!$G916="","",IF(Data!$G916=Data_Val!$C$2,IF(Data!O916="",0,1),0))</f>
        <v/>
      </c>
      <c r="P926" s="18" t="str">
        <f>IF(Data!O916="","",IF(ISNUMBER(MATCH(Data!P916,Data_Val!$A$2:$A$3,0)),0,1))</f>
        <v/>
      </c>
      <c r="Q926" s="44" t="str">
        <f ca="1">IF(Data!O916="","",IF(ISNUMBER(Data!Q916),IF(AND(Data!Q916&gt;(TODAY()-(Data_Val!$L$3*365.25)),Data!Q916&lt;=(TODAY()-(Data_Val!$L$2*365.25))),0,1),1))</f>
        <v/>
      </c>
    </row>
    <row r="927" spans="1:17" ht="12" customHeight="1" x14ac:dyDescent="0.25">
      <c r="A927" s="36" t="str">
        <f>IF(Data!B917="","",IF(COUNTIFS(Data!A$1:'Data'!A917,Data!A917)&lt;=1,0,1))</f>
        <v/>
      </c>
      <c r="B927" s="36"/>
      <c r="C927" s="36" t="str">
        <f>IF(Data!C917="","",(IF(ISNUMBER(MATCH("*@*.?*",Data!C917,0)),0,1)+IF(COUNTIFS(Data!C$1:'Data'!C917,Data!C917)&gt;1,1,0)))</f>
        <v/>
      </c>
      <c r="D927" s="36" t="str">
        <f>IF(Data!B917="","",IF(ISNUMBER(Data!D917),IF(AND(Data!D917&gt;999999999,Data!D917&lt;=9999999999),IF(COUNTIFS(Data!D$1:'Data'!D917,Data!D917)&lt;=1,0,1),1),1))</f>
        <v/>
      </c>
      <c r="E927" s="36" t="str">
        <f>IF(Data!B917="","",IF(ISNUMBER(MATCH(Data!E917,Data_Val!$A$2:$A$3,0)),0,1))</f>
        <v/>
      </c>
      <c r="F927" s="36" t="str">
        <f ca="1">IF(Data!B917="","",IF(ISNUMBER(Data!F917),IF(AND(Data!F917&gt;(TODAY()-(Data_Val!$H$3*365.25)),Data!F917&lt;=(TODAY()-(Data_Val!$H$2*365.25))),0,1),1))</f>
        <v/>
      </c>
      <c r="G927" s="12" t="str">
        <f>IF(Data!B917="","",IF(AND(Data!G917="",Data!H917&lt;&gt;""),1,IF(ISNUMBER(MATCH(Data!G917,Data_Val!$C$2:$C$5,0)),0,1)))</f>
        <v/>
      </c>
      <c r="H927" s="12" t="str">
        <f>IF(Data!B917="","",IF(AND(Data!G917&lt;&gt;"",Data!H917=""),1,IF(Data!G917="",1,IF(ISNUMBER(MATCH(Data!H917,Data_Val!$D$2:$D$35,0)),0,1))))</f>
        <v/>
      </c>
      <c r="I927" s="38" t="str">
        <f>IF(Data!G917="","",IF(Data!G917=Data_Val!$C$2,IF(Data!I917="",0,1),0))</f>
        <v/>
      </c>
      <c r="J927" s="38" t="str">
        <f>IF(Data!I917="","",IF(ISNUMBER(MATCH(Data!J917,Data_Val!$A$2:$A$3,0)),0,1))</f>
        <v/>
      </c>
      <c r="K927" s="38" t="str">
        <f ca="1">IF(Data!I917="","",IF(ISNUMBER(Data!K917),IF(AND(Data!K917&gt;(TODAY()-(Data_Val!$K$3*365.25)),Data!K917&lt;=(TODAY()-(Data_Val!$K$2*365.25))),0,1),1))</f>
        <v/>
      </c>
      <c r="L927" s="16" t="str">
        <f>IF(Data!G917="","",IF(Data!G917=Data_Val!$C$2,IF(Data!L917="",0,1),0))</f>
        <v/>
      </c>
      <c r="M927" s="16" t="str">
        <f>IF(Data!L917="","",IF(ISNUMBER(MATCH(Data!M917,Data_Val!$A$2:$A$3,0)),0,1))</f>
        <v/>
      </c>
      <c r="N927" s="43" t="str">
        <f ca="1">IF(Data!L917="","",IF(ISNUMBER(Data!N917),IF(AND(Data!N917&gt;(TODAY()-(Data_Val!$L$3*365.25)),Data!N917&lt;=(TODAY()-(Data_Val!$L$2*365.25))),0,1),1))</f>
        <v/>
      </c>
      <c r="O927" s="18" t="str">
        <f>IF(Data!$G917="","",IF(Data!$G917=Data_Val!$C$2,IF(Data!O917="",0,1),0))</f>
        <v/>
      </c>
      <c r="P927" s="18" t="str">
        <f>IF(Data!O917="","",IF(ISNUMBER(MATCH(Data!P917,Data_Val!$A$2:$A$3,0)),0,1))</f>
        <v/>
      </c>
      <c r="Q927" s="44" t="str">
        <f ca="1">IF(Data!O917="","",IF(ISNUMBER(Data!Q917),IF(AND(Data!Q917&gt;(TODAY()-(Data_Val!$L$3*365.25)),Data!Q917&lt;=(TODAY()-(Data_Val!$L$2*365.25))),0,1),1))</f>
        <v/>
      </c>
    </row>
    <row r="928" spans="1:17" ht="12" customHeight="1" x14ac:dyDescent="0.25">
      <c r="A928" s="36" t="str">
        <f>IF(Data!B918="","",IF(COUNTIFS(Data!A$1:'Data'!A918,Data!A918)&lt;=1,0,1))</f>
        <v/>
      </c>
      <c r="B928" s="36"/>
      <c r="C928" s="36" t="str">
        <f>IF(Data!C918="","",(IF(ISNUMBER(MATCH("*@*.?*",Data!C918,0)),0,1)+IF(COUNTIFS(Data!C$1:'Data'!C918,Data!C918)&gt;1,1,0)))</f>
        <v/>
      </c>
      <c r="D928" s="36" t="str">
        <f>IF(Data!B918="","",IF(ISNUMBER(Data!D918),IF(AND(Data!D918&gt;999999999,Data!D918&lt;=9999999999),IF(COUNTIFS(Data!D$1:'Data'!D918,Data!D918)&lt;=1,0,1),1),1))</f>
        <v/>
      </c>
      <c r="E928" s="36" t="str">
        <f>IF(Data!B918="","",IF(ISNUMBER(MATCH(Data!E918,Data_Val!$A$2:$A$3,0)),0,1))</f>
        <v/>
      </c>
      <c r="F928" s="36" t="str">
        <f ca="1">IF(Data!B918="","",IF(ISNUMBER(Data!F918),IF(AND(Data!F918&gt;(TODAY()-(Data_Val!$H$3*365.25)),Data!F918&lt;=(TODAY()-(Data_Val!$H$2*365.25))),0,1),1))</f>
        <v/>
      </c>
      <c r="G928" s="12" t="str">
        <f>IF(Data!B918="","",IF(AND(Data!G918="",Data!H918&lt;&gt;""),1,IF(ISNUMBER(MATCH(Data!G918,Data_Val!$C$2:$C$5,0)),0,1)))</f>
        <v/>
      </c>
      <c r="H928" s="12" t="str">
        <f>IF(Data!B918="","",IF(AND(Data!G918&lt;&gt;"",Data!H918=""),1,IF(Data!G918="",1,IF(ISNUMBER(MATCH(Data!H918,Data_Val!$D$2:$D$35,0)),0,1))))</f>
        <v/>
      </c>
      <c r="I928" s="38" t="str">
        <f>IF(Data!G918="","",IF(Data!G918=Data_Val!$C$2,IF(Data!I918="",0,1),0))</f>
        <v/>
      </c>
      <c r="J928" s="38" t="str">
        <f>IF(Data!I918="","",IF(ISNUMBER(MATCH(Data!J918,Data_Val!$A$2:$A$3,0)),0,1))</f>
        <v/>
      </c>
      <c r="K928" s="38" t="str">
        <f ca="1">IF(Data!I918="","",IF(ISNUMBER(Data!K918),IF(AND(Data!K918&gt;(TODAY()-(Data_Val!$K$3*365.25)),Data!K918&lt;=(TODAY()-(Data_Val!$K$2*365.25))),0,1),1))</f>
        <v/>
      </c>
      <c r="L928" s="16" t="str">
        <f>IF(Data!G918="","",IF(Data!G918=Data_Val!$C$2,IF(Data!L918="",0,1),0))</f>
        <v/>
      </c>
      <c r="M928" s="16" t="str">
        <f>IF(Data!L918="","",IF(ISNUMBER(MATCH(Data!M918,Data_Val!$A$2:$A$3,0)),0,1))</f>
        <v/>
      </c>
      <c r="N928" s="43" t="str">
        <f ca="1">IF(Data!L918="","",IF(ISNUMBER(Data!N918),IF(AND(Data!N918&gt;(TODAY()-(Data_Val!$L$3*365.25)),Data!N918&lt;=(TODAY()-(Data_Val!$L$2*365.25))),0,1),1))</f>
        <v/>
      </c>
      <c r="O928" s="18" t="str">
        <f>IF(Data!$G918="","",IF(Data!$G918=Data_Val!$C$2,IF(Data!O918="",0,1),0))</f>
        <v/>
      </c>
      <c r="P928" s="18" t="str">
        <f>IF(Data!O918="","",IF(ISNUMBER(MATCH(Data!P918,Data_Val!$A$2:$A$3,0)),0,1))</f>
        <v/>
      </c>
      <c r="Q928" s="44" t="str">
        <f ca="1">IF(Data!O918="","",IF(ISNUMBER(Data!Q918),IF(AND(Data!Q918&gt;(TODAY()-(Data_Val!$L$3*365.25)),Data!Q918&lt;=(TODAY()-(Data_Val!$L$2*365.25))),0,1),1))</f>
        <v/>
      </c>
    </row>
    <row r="929" spans="1:17" ht="12" customHeight="1" x14ac:dyDescent="0.25">
      <c r="A929" s="36" t="str">
        <f>IF(Data!B919="","",IF(COUNTIFS(Data!A$1:'Data'!A919,Data!A919)&lt;=1,0,1))</f>
        <v/>
      </c>
      <c r="B929" s="36"/>
      <c r="C929" s="36" t="str">
        <f>IF(Data!C919="","",(IF(ISNUMBER(MATCH("*@*.?*",Data!C919,0)),0,1)+IF(COUNTIFS(Data!C$1:'Data'!C919,Data!C919)&gt;1,1,0)))</f>
        <v/>
      </c>
      <c r="D929" s="36" t="str">
        <f>IF(Data!B919="","",IF(ISNUMBER(Data!D919),IF(AND(Data!D919&gt;999999999,Data!D919&lt;=9999999999),IF(COUNTIFS(Data!D$1:'Data'!D919,Data!D919)&lt;=1,0,1),1),1))</f>
        <v/>
      </c>
      <c r="E929" s="36" t="str">
        <f>IF(Data!B919="","",IF(ISNUMBER(MATCH(Data!E919,Data_Val!$A$2:$A$3,0)),0,1))</f>
        <v/>
      </c>
      <c r="F929" s="36" t="str">
        <f ca="1">IF(Data!B919="","",IF(ISNUMBER(Data!F919),IF(AND(Data!F919&gt;(TODAY()-(Data_Val!$H$3*365.25)),Data!F919&lt;=(TODAY()-(Data_Val!$H$2*365.25))),0,1),1))</f>
        <v/>
      </c>
      <c r="G929" s="12" t="str">
        <f>IF(Data!B919="","",IF(AND(Data!G919="",Data!H919&lt;&gt;""),1,IF(ISNUMBER(MATCH(Data!G919,Data_Val!$C$2:$C$5,0)),0,1)))</f>
        <v/>
      </c>
      <c r="H929" s="12" t="str">
        <f>IF(Data!B919="","",IF(AND(Data!G919&lt;&gt;"",Data!H919=""),1,IF(Data!G919="",1,IF(ISNUMBER(MATCH(Data!H919,Data_Val!$D$2:$D$35,0)),0,1))))</f>
        <v/>
      </c>
      <c r="I929" s="38" t="str">
        <f>IF(Data!G919="","",IF(Data!G919=Data_Val!$C$2,IF(Data!I919="",0,1),0))</f>
        <v/>
      </c>
      <c r="J929" s="38" t="str">
        <f>IF(Data!I919="","",IF(ISNUMBER(MATCH(Data!J919,Data_Val!$A$2:$A$3,0)),0,1))</f>
        <v/>
      </c>
      <c r="K929" s="38" t="str">
        <f ca="1">IF(Data!I919="","",IF(ISNUMBER(Data!K919),IF(AND(Data!K919&gt;(TODAY()-(Data_Val!$K$3*365.25)),Data!K919&lt;=(TODAY()-(Data_Val!$K$2*365.25))),0,1),1))</f>
        <v/>
      </c>
      <c r="L929" s="16" t="str">
        <f>IF(Data!G919="","",IF(Data!G919=Data_Val!$C$2,IF(Data!L919="",0,1),0))</f>
        <v/>
      </c>
      <c r="M929" s="16" t="str">
        <f>IF(Data!L919="","",IF(ISNUMBER(MATCH(Data!M919,Data_Val!$A$2:$A$3,0)),0,1))</f>
        <v/>
      </c>
      <c r="N929" s="43" t="str">
        <f ca="1">IF(Data!L919="","",IF(ISNUMBER(Data!N919),IF(AND(Data!N919&gt;(TODAY()-(Data_Val!$L$3*365.25)),Data!N919&lt;=(TODAY()-(Data_Val!$L$2*365.25))),0,1),1))</f>
        <v/>
      </c>
      <c r="O929" s="18" t="str">
        <f>IF(Data!$G919="","",IF(Data!$G919=Data_Val!$C$2,IF(Data!O919="",0,1),0))</f>
        <v/>
      </c>
      <c r="P929" s="18" t="str">
        <f>IF(Data!O919="","",IF(ISNUMBER(MATCH(Data!P919,Data_Val!$A$2:$A$3,0)),0,1))</f>
        <v/>
      </c>
      <c r="Q929" s="44" t="str">
        <f ca="1">IF(Data!O919="","",IF(ISNUMBER(Data!Q919),IF(AND(Data!Q919&gt;(TODAY()-(Data_Val!$L$3*365.25)),Data!Q919&lt;=(TODAY()-(Data_Val!$L$2*365.25))),0,1),1))</f>
        <v/>
      </c>
    </row>
    <row r="930" spans="1:17" ht="12" customHeight="1" x14ac:dyDescent="0.25">
      <c r="A930" s="36" t="str">
        <f>IF(Data!B920="","",IF(COUNTIFS(Data!A$1:'Data'!A920,Data!A920)&lt;=1,0,1))</f>
        <v/>
      </c>
      <c r="B930" s="36"/>
      <c r="C930" s="36" t="str">
        <f>IF(Data!C920="","",(IF(ISNUMBER(MATCH("*@*.?*",Data!C920,0)),0,1)+IF(COUNTIFS(Data!C$1:'Data'!C920,Data!C920)&gt;1,1,0)))</f>
        <v/>
      </c>
      <c r="D930" s="36" t="str">
        <f>IF(Data!B920="","",IF(ISNUMBER(Data!D920),IF(AND(Data!D920&gt;999999999,Data!D920&lt;=9999999999),IF(COUNTIFS(Data!D$1:'Data'!D920,Data!D920)&lt;=1,0,1),1),1))</f>
        <v/>
      </c>
      <c r="E930" s="36" t="str">
        <f>IF(Data!B920="","",IF(ISNUMBER(MATCH(Data!E920,Data_Val!$A$2:$A$3,0)),0,1))</f>
        <v/>
      </c>
      <c r="F930" s="36" t="str">
        <f ca="1">IF(Data!B920="","",IF(ISNUMBER(Data!F920),IF(AND(Data!F920&gt;(TODAY()-(Data_Val!$H$3*365.25)),Data!F920&lt;=(TODAY()-(Data_Val!$H$2*365.25))),0,1),1))</f>
        <v/>
      </c>
      <c r="G930" s="12" t="str">
        <f>IF(Data!B920="","",IF(AND(Data!G920="",Data!H920&lt;&gt;""),1,IF(ISNUMBER(MATCH(Data!G920,Data_Val!$C$2:$C$5,0)),0,1)))</f>
        <v/>
      </c>
      <c r="H930" s="12" t="str">
        <f>IF(Data!B920="","",IF(AND(Data!G920&lt;&gt;"",Data!H920=""),1,IF(Data!G920="",1,IF(ISNUMBER(MATCH(Data!H920,Data_Val!$D$2:$D$35,0)),0,1))))</f>
        <v/>
      </c>
      <c r="I930" s="38" t="str">
        <f>IF(Data!G920="","",IF(Data!G920=Data_Val!$C$2,IF(Data!I920="",0,1),0))</f>
        <v/>
      </c>
      <c r="J930" s="38" t="str">
        <f>IF(Data!I920="","",IF(ISNUMBER(MATCH(Data!J920,Data_Val!$A$2:$A$3,0)),0,1))</f>
        <v/>
      </c>
      <c r="K930" s="38" t="str">
        <f ca="1">IF(Data!I920="","",IF(ISNUMBER(Data!K920),IF(AND(Data!K920&gt;(TODAY()-(Data_Val!$K$3*365.25)),Data!K920&lt;=(TODAY()-(Data_Val!$K$2*365.25))),0,1),1))</f>
        <v/>
      </c>
      <c r="L930" s="16" t="str">
        <f>IF(Data!G920="","",IF(Data!G920=Data_Val!$C$2,IF(Data!L920="",0,1),0))</f>
        <v/>
      </c>
      <c r="M930" s="16" t="str">
        <f>IF(Data!L920="","",IF(ISNUMBER(MATCH(Data!M920,Data_Val!$A$2:$A$3,0)),0,1))</f>
        <v/>
      </c>
      <c r="N930" s="43" t="str">
        <f ca="1">IF(Data!L920="","",IF(ISNUMBER(Data!N920),IF(AND(Data!N920&gt;(TODAY()-(Data_Val!$L$3*365.25)),Data!N920&lt;=(TODAY()-(Data_Val!$L$2*365.25))),0,1),1))</f>
        <v/>
      </c>
      <c r="O930" s="18" t="str">
        <f>IF(Data!$G920="","",IF(Data!$G920=Data_Val!$C$2,IF(Data!O920="",0,1),0))</f>
        <v/>
      </c>
      <c r="P930" s="18" t="str">
        <f>IF(Data!O920="","",IF(ISNUMBER(MATCH(Data!P920,Data_Val!$A$2:$A$3,0)),0,1))</f>
        <v/>
      </c>
      <c r="Q930" s="44" t="str">
        <f ca="1">IF(Data!O920="","",IF(ISNUMBER(Data!Q920),IF(AND(Data!Q920&gt;(TODAY()-(Data_Val!$L$3*365.25)),Data!Q920&lt;=(TODAY()-(Data_Val!$L$2*365.25))),0,1),1))</f>
        <v/>
      </c>
    </row>
    <row r="931" spans="1:17" ht="12" customHeight="1" x14ac:dyDescent="0.25">
      <c r="A931" s="36" t="str">
        <f>IF(Data!B921="","",IF(COUNTIFS(Data!A$1:'Data'!A921,Data!A921)&lt;=1,0,1))</f>
        <v/>
      </c>
      <c r="B931" s="36"/>
      <c r="C931" s="36" t="str">
        <f>IF(Data!C921="","",(IF(ISNUMBER(MATCH("*@*.?*",Data!C921,0)),0,1)+IF(COUNTIFS(Data!C$1:'Data'!C921,Data!C921)&gt;1,1,0)))</f>
        <v/>
      </c>
      <c r="D931" s="36" t="str">
        <f>IF(Data!B921="","",IF(ISNUMBER(Data!D921),IF(AND(Data!D921&gt;999999999,Data!D921&lt;=9999999999),IF(COUNTIFS(Data!D$1:'Data'!D921,Data!D921)&lt;=1,0,1),1),1))</f>
        <v/>
      </c>
      <c r="E931" s="36" t="str">
        <f>IF(Data!B921="","",IF(ISNUMBER(MATCH(Data!E921,Data_Val!$A$2:$A$3,0)),0,1))</f>
        <v/>
      </c>
      <c r="F931" s="36" t="str">
        <f ca="1">IF(Data!B921="","",IF(ISNUMBER(Data!F921),IF(AND(Data!F921&gt;(TODAY()-(Data_Val!$H$3*365.25)),Data!F921&lt;=(TODAY()-(Data_Val!$H$2*365.25))),0,1),1))</f>
        <v/>
      </c>
      <c r="G931" s="12" t="str">
        <f>IF(Data!B921="","",IF(AND(Data!G921="",Data!H921&lt;&gt;""),1,IF(ISNUMBER(MATCH(Data!G921,Data_Val!$C$2:$C$5,0)),0,1)))</f>
        <v/>
      </c>
      <c r="H931" s="12" t="str">
        <f>IF(Data!B921="","",IF(AND(Data!G921&lt;&gt;"",Data!H921=""),1,IF(Data!G921="",1,IF(ISNUMBER(MATCH(Data!H921,Data_Val!$D$2:$D$35,0)),0,1))))</f>
        <v/>
      </c>
      <c r="I931" s="38" t="str">
        <f>IF(Data!G921="","",IF(Data!G921=Data_Val!$C$2,IF(Data!I921="",0,1),0))</f>
        <v/>
      </c>
      <c r="J931" s="38" t="str">
        <f>IF(Data!I921="","",IF(ISNUMBER(MATCH(Data!J921,Data_Val!$A$2:$A$3,0)),0,1))</f>
        <v/>
      </c>
      <c r="K931" s="38" t="str">
        <f ca="1">IF(Data!I921="","",IF(ISNUMBER(Data!K921),IF(AND(Data!K921&gt;(TODAY()-(Data_Val!$K$3*365.25)),Data!K921&lt;=(TODAY()-(Data_Val!$K$2*365.25))),0,1),1))</f>
        <v/>
      </c>
      <c r="L931" s="16" t="str">
        <f>IF(Data!G921="","",IF(Data!G921=Data_Val!$C$2,IF(Data!L921="",0,1),0))</f>
        <v/>
      </c>
      <c r="M931" s="16" t="str">
        <f>IF(Data!L921="","",IF(ISNUMBER(MATCH(Data!M921,Data_Val!$A$2:$A$3,0)),0,1))</f>
        <v/>
      </c>
      <c r="N931" s="43" t="str">
        <f ca="1">IF(Data!L921="","",IF(ISNUMBER(Data!N921),IF(AND(Data!N921&gt;(TODAY()-(Data_Val!$L$3*365.25)),Data!N921&lt;=(TODAY()-(Data_Val!$L$2*365.25))),0,1),1))</f>
        <v/>
      </c>
      <c r="O931" s="18" t="str">
        <f>IF(Data!$G921="","",IF(Data!$G921=Data_Val!$C$2,IF(Data!O921="",0,1),0))</f>
        <v/>
      </c>
      <c r="P931" s="18" t="str">
        <f>IF(Data!O921="","",IF(ISNUMBER(MATCH(Data!P921,Data_Val!$A$2:$A$3,0)),0,1))</f>
        <v/>
      </c>
      <c r="Q931" s="44" t="str">
        <f ca="1">IF(Data!O921="","",IF(ISNUMBER(Data!Q921),IF(AND(Data!Q921&gt;(TODAY()-(Data_Val!$L$3*365.25)),Data!Q921&lt;=(TODAY()-(Data_Val!$L$2*365.25))),0,1),1))</f>
        <v/>
      </c>
    </row>
    <row r="932" spans="1:17" ht="12" customHeight="1" x14ac:dyDescent="0.25">
      <c r="A932" s="36" t="str">
        <f>IF(Data!B922="","",IF(COUNTIFS(Data!A$1:'Data'!A922,Data!A922)&lt;=1,0,1))</f>
        <v/>
      </c>
      <c r="B932" s="36"/>
      <c r="C932" s="36" t="str">
        <f>IF(Data!C922="","",(IF(ISNUMBER(MATCH("*@*.?*",Data!C922,0)),0,1)+IF(COUNTIFS(Data!C$1:'Data'!C922,Data!C922)&gt;1,1,0)))</f>
        <v/>
      </c>
      <c r="D932" s="36" t="str">
        <f>IF(Data!B922="","",IF(ISNUMBER(Data!D922),IF(AND(Data!D922&gt;999999999,Data!D922&lt;=9999999999),IF(COUNTIFS(Data!D$1:'Data'!D922,Data!D922)&lt;=1,0,1),1),1))</f>
        <v/>
      </c>
      <c r="E932" s="36" t="str">
        <f>IF(Data!B922="","",IF(ISNUMBER(MATCH(Data!E922,Data_Val!$A$2:$A$3,0)),0,1))</f>
        <v/>
      </c>
      <c r="F932" s="36" t="str">
        <f ca="1">IF(Data!B922="","",IF(ISNUMBER(Data!F922),IF(AND(Data!F922&gt;(TODAY()-(Data_Val!$H$3*365.25)),Data!F922&lt;=(TODAY()-(Data_Val!$H$2*365.25))),0,1),1))</f>
        <v/>
      </c>
      <c r="G932" s="12" t="str">
        <f>IF(Data!B922="","",IF(AND(Data!G922="",Data!H922&lt;&gt;""),1,IF(ISNUMBER(MATCH(Data!G922,Data_Val!$C$2:$C$5,0)),0,1)))</f>
        <v/>
      </c>
      <c r="H932" s="12" t="str">
        <f>IF(Data!B922="","",IF(AND(Data!G922&lt;&gt;"",Data!H922=""),1,IF(Data!G922="",1,IF(ISNUMBER(MATCH(Data!H922,Data_Val!$D$2:$D$35,0)),0,1))))</f>
        <v/>
      </c>
      <c r="I932" s="38" t="str">
        <f>IF(Data!G922="","",IF(Data!G922=Data_Val!$C$2,IF(Data!I922="",0,1),0))</f>
        <v/>
      </c>
      <c r="J932" s="38" t="str">
        <f>IF(Data!I922="","",IF(ISNUMBER(MATCH(Data!J922,Data_Val!$A$2:$A$3,0)),0,1))</f>
        <v/>
      </c>
      <c r="K932" s="38" t="str">
        <f ca="1">IF(Data!I922="","",IF(ISNUMBER(Data!K922),IF(AND(Data!K922&gt;(TODAY()-(Data_Val!$K$3*365.25)),Data!K922&lt;=(TODAY()-(Data_Val!$K$2*365.25))),0,1),1))</f>
        <v/>
      </c>
      <c r="L932" s="16" t="str">
        <f>IF(Data!G922="","",IF(Data!G922=Data_Val!$C$2,IF(Data!L922="",0,1),0))</f>
        <v/>
      </c>
      <c r="M932" s="16" t="str">
        <f>IF(Data!L922="","",IF(ISNUMBER(MATCH(Data!M922,Data_Val!$A$2:$A$3,0)),0,1))</f>
        <v/>
      </c>
      <c r="N932" s="43" t="str">
        <f ca="1">IF(Data!L922="","",IF(ISNUMBER(Data!N922),IF(AND(Data!N922&gt;(TODAY()-(Data_Val!$L$3*365.25)),Data!N922&lt;=(TODAY()-(Data_Val!$L$2*365.25))),0,1),1))</f>
        <v/>
      </c>
      <c r="O932" s="18" t="str">
        <f>IF(Data!$G922="","",IF(Data!$G922=Data_Val!$C$2,IF(Data!O922="",0,1),0))</f>
        <v/>
      </c>
      <c r="P932" s="18" t="str">
        <f>IF(Data!O922="","",IF(ISNUMBER(MATCH(Data!P922,Data_Val!$A$2:$A$3,0)),0,1))</f>
        <v/>
      </c>
      <c r="Q932" s="44" t="str">
        <f ca="1">IF(Data!O922="","",IF(ISNUMBER(Data!Q922),IF(AND(Data!Q922&gt;(TODAY()-(Data_Val!$L$3*365.25)),Data!Q922&lt;=(TODAY()-(Data_Val!$L$2*365.25))),0,1),1))</f>
        <v/>
      </c>
    </row>
    <row r="933" spans="1:17" ht="12" customHeight="1" x14ac:dyDescent="0.25">
      <c r="A933" s="36" t="str">
        <f>IF(Data!B923="","",IF(COUNTIFS(Data!A$1:'Data'!A923,Data!A923)&lt;=1,0,1))</f>
        <v/>
      </c>
      <c r="B933" s="36"/>
      <c r="C933" s="36" t="str">
        <f>IF(Data!C923="","",(IF(ISNUMBER(MATCH("*@*.?*",Data!C923,0)),0,1)+IF(COUNTIFS(Data!C$1:'Data'!C923,Data!C923)&gt;1,1,0)))</f>
        <v/>
      </c>
      <c r="D933" s="36" t="str">
        <f>IF(Data!B923="","",IF(ISNUMBER(Data!D923),IF(AND(Data!D923&gt;999999999,Data!D923&lt;=9999999999),IF(COUNTIFS(Data!D$1:'Data'!D923,Data!D923)&lt;=1,0,1),1),1))</f>
        <v/>
      </c>
      <c r="E933" s="36" t="str">
        <f>IF(Data!B923="","",IF(ISNUMBER(MATCH(Data!E923,Data_Val!$A$2:$A$3,0)),0,1))</f>
        <v/>
      </c>
      <c r="F933" s="36" t="str">
        <f ca="1">IF(Data!B923="","",IF(ISNUMBER(Data!F923),IF(AND(Data!F923&gt;(TODAY()-(Data_Val!$H$3*365.25)),Data!F923&lt;=(TODAY()-(Data_Val!$H$2*365.25))),0,1),1))</f>
        <v/>
      </c>
      <c r="G933" s="12" t="str">
        <f>IF(Data!B923="","",IF(AND(Data!G923="",Data!H923&lt;&gt;""),1,IF(ISNUMBER(MATCH(Data!G923,Data_Val!$C$2:$C$5,0)),0,1)))</f>
        <v/>
      </c>
      <c r="H933" s="12" t="str">
        <f>IF(Data!B923="","",IF(AND(Data!G923&lt;&gt;"",Data!H923=""),1,IF(Data!G923="",1,IF(ISNUMBER(MATCH(Data!H923,Data_Val!$D$2:$D$35,0)),0,1))))</f>
        <v/>
      </c>
      <c r="I933" s="38" t="str">
        <f>IF(Data!G923="","",IF(Data!G923=Data_Val!$C$2,IF(Data!I923="",0,1),0))</f>
        <v/>
      </c>
      <c r="J933" s="38" t="str">
        <f>IF(Data!I923="","",IF(ISNUMBER(MATCH(Data!J923,Data_Val!$A$2:$A$3,0)),0,1))</f>
        <v/>
      </c>
      <c r="K933" s="38" t="str">
        <f ca="1">IF(Data!I923="","",IF(ISNUMBER(Data!K923),IF(AND(Data!K923&gt;(TODAY()-(Data_Val!$K$3*365.25)),Data!K923&lt;=(TODAY()-(Data_Val!$K$2*365.25))),0,1),1))</f>
        <v/>
      </c>
      <c r="L933" s="16" t="str">
        <f>IF(Data!G923="","",IF(Data!G923=Data_Val!$C$2,IF(Data!L923="",0,1),0))</f>
        <v/>
      </c>
      <c r="M933" s="16" t="str">
        <f>IF(Data!L923="","",IF(ISNUMBER(MATCH(Data!M923,Data_Val!$A$2:$A$3,0)),0,1))</f>
        <v/>
      </c>
      <c r="N933" s="43" t="str">
        <f ca="1">IF(Data!L923="","",IF(ISNUMBER(Data!N923),IF(AND(Data!N923&gt;(TODAY()-(Data_Val!$L$3*365.25)),Data!N923&lt;=(TODAY()-(Data_Val!$L$2*365.25))),0,1),1))</f>
        <v/>
      </c>
      <c r="O933" s="18" t="str">
        <f>IF(Data!$G923="","",IF(Data!$G923=Data_Val!$C$2,IF(Data!O923="",0,1),0))</f>
        <v/>
      </c>
      <c r="P933" s="18" t="str">
        <f>IF(Data!O923="","",IF(ISNUMBER(MATCH(Data!P923,Data_Val!$A$2:$A$3,0)),0,1))</f>
        <v/>
      </c>
      <c r="Q933" s="44" t="str">
        <f ca="1">IF(Data!O923="","",IF(ISNUMBER(Data!Q923),IF(AND(Data!Q923&gt;(TODAY()-(Data_Val!$L$3*365.25)),Data!Q923&lt;=(TODAY()-(Data_Val!$L$2*365.25))),0,1),1))</f>
        <v/>
      </c>
    </row>
    <row r="934" spans="1:17" ht="12" customHeight="1" x14ac:dyDescent="0.25">
      <c r="A934" s="36" t="str">
        <f>IF(Data!B924="","",IF(COUNTIFS(Data!A$1:'Data'!A924,Data!A924)&lt;=1,0,1))</f>
        <v/>
      </c>
      <c r="B934" s="36"/>
      <c r="C934" s="36" t="str">
        <f>IF(Data!C924="","",(IF(ISNUMBER(MATCH("*@*.?*",Data!C924,0)),0,1)+IF(COUNTIFS(Data!C$1:'Data'!C924,Data!C924)&gt;1,1,0)))</f>
        <v/>
      </c>
      <c r="D934" s="36" t="str">
        <f>IF(Data!B924="","",IF(ISNUMBER(Data!D924),IF(AND(Data!D924&gt;999999999,Data!D924&lt;=9999999999),IF(COUNTIFS(Data!D$1:'Data'!D924,Data!D924)&lt;=1,0,1),1),1))</f>
        <v/>
      </c>
      <c r="E934" s="36" t="str">
        <f>IF(Data!B924="","",IF(ISNUMBER(MATCH(Data!E924,Data_Val!$A$2:$A$3,0)),0,1))</f>
        <v/>
      </c>
      <c r="F934" s="36" t="str">
        <f ca="1">IF(Data!B924="","",IF(ISNUMBER(Data!F924),IF(AND(Data!F924&gt;(TODAY()-(Data_Val!$H$3*365.25)),Data!F924&lt;=(TODAY()-(Data_Val!$H$2*365.25))),0,1),1))</f>
        <v/>
      </c>
      <c r="G934" s="12" t="str">
        <f>IF(Data!B924="","",IF(AND(Data!G924="",Data!H924&lt;&gt;""),1,IF(ISNUMBER(MATCH(Data!G924,Data_Val!$C$2:$C$5,0)),0,1)))</f>
        <v/>
      </c>
      <c r="H934" s="12" t="str">
        <f>IF(Data!B924="","",IF(AND(Data!G924&lt;&gt;"",Data!H924=""),1,IF(Data!G924="",1,IF(ISNUMBER(MATCH(Data!H924,Data_Val!$D$2:$D$35,0)),0,1))))</f>
        <v/>
      </c>
      <c r="I934" s="38" t="str">
        <f>IF(Data!G924="","",IF(Data!G924=Data_Val!$C$2,IF(Data!I924="",0,1),0))</f>
        <v/>
      </c>
      <c r="J934" s="38" t="str">
        <f>IF(Data!I924="","",IF(ISNUMBER(MATCH(Data!J924,Data_Val!$A$2:$A$3,0)),0,1))</f>
        <v/>
      </c>
      <c r="K934" s="38" t="str">
        <f ca="1">IF(Data!I924="","",IF(ISNUMBER(Data!K924),IF(AND(Data!K924&gt;(TODAY()-(Data_Val!$K$3*365.25)),Data!K924&lt;=(TODAY()-(Data_Val!$K$2*365.25))),0,1),1))</f>
        <v/>
      </c>
      <c r="L934" s="16" t="str">
        <f>IF(Data!G924="","",IF(Data!G924=Data_Val!$C$2,IF(Data!L924="",0,1),0))</f>
        <v/>
      </c>
      <c r="M934" s="16" t="str">
        <f>IF(Data!L924="","",IF(ISNUMBER(MATCH(Data!M924,Data_Val!$A$2:$A$3,0)),0,1))</f>
        <v/>
      </c>
      <c r="N934" s="43" t="str">
        <f ca="1">IF(Data!L924="","",IF(ISNUMBER(Data!N924),IF(AND(Data!N924&gt;(TODAY()-(Data_Val!$L$3*365.25)),Data!N924&lt;=(TODAY()-(Data_Val!$L$2*365.25))),0,1),1))</f>
        <v/>
      </c>
      <c r="O934" s="18" t="str">
        <f>IF(Data!$G924="","",IF(Data!$G924=Data_Val!$C$2,IF(Data!O924="",0,1),0))</f>
        <v/>
      </c>
      <c r="P934" s="18" t="str">
        <f>IF(Data!O924="","",IF(ISNUMBER(MATCH(Data!P924,Data_Val!$A$2:$A$3,0)),0,1))</f>
        <v/>
      </c>
      <c r="Q934" s="44" t="str">
        <f ca="1">IF(Data!O924="","",IF(ISNUMBER(Data!Q924),IF(AND(Data!Q924&gt;(TODAY()-(Data_Val!$L$3*365.25)),Data!Q924&lt;=(TODAY()-(Data_Val!$L$2*365.25))),0,1),1))</f>
        <v/>
      </c>
    </row>
    <row r="935" spans="1:17" ht="12" customHeight="1" x14ac:dyDescent="0.25">
      <c r="A935" s="36" t="str">
        <f>IF(Data!B925="","",IF(COUNTIFS(Data!A$1:'Data'!A925,Data!A925)&lt;=1,0,1))</f>
        <v/>
      </c>
      <c r="B935" s="36"/>
      <c r="C935" s="36" t="str">
        <f>IF(Data!C925="","",(IF(ISNUMBER(MATCH("*@*.?*",Data!C925,0)),0,1)+IF(COUNTIFS(Data!C$1:'Data'!C925,Data!C925)&gt;1,1,0)))</f>
        <v/>
      </c>
      <c r="D935" s="36" t="str">
        <f>IF(Data!B925="","",IF(ISNUMBER(Data!D925),IF(AND(Data!D925&gt;999999999,Data!D925&lt;=9999999999),IF(COUNTIFS(Data!D$1:'Data'!D925,Data!D925)&lt;=1,0,1),1),1))</f>
        <v/>
      </c>
      <c r="E935" s="36" t="str">
        <f>IF(Data!B925="","",IF(ISNUMBER(MATCH(Data!E925,Data_Val!$A$2:$A$3,0)),0,1))</f>
        <v/>
      </c>
      <c r="F935" s="36" t="str">
        <f ca="1">IF(Data!B925="","",IF(ISNUMBER(Data!F925),IF(AND(Data!F925&gt;(TODAY()-(Data_Val!$H$3*365.25)),Data!F925&lt;=(TODAY()-(Data_Val!$H$2*365.25))),0,1),1))</f>
        <v/>
      </c>
      <c r="G935" s="12" t="str">
        <f>IF(Data!B925="","",IF(AND(Data!G925="",Data!H925&lt;&gt;""),1,IF(ISNUMBER(MATCH(Data!G925,Data_Val!$C$2:$C$5,0)),0,1)))</f>
        <v/>
      </c>
      <c r="H935" s="12" t="str">
        <f>IF(Data!B925="","",IF(AND(Data!G925&lt;&gt;"",Data!H925=""),1,IF(Data!G925="",1,IF(ISNUMBER(MATCH(Data!H925,Data_Val!$D$2:$D$35,0)),0,1))))</f>
        <v/>
      </c>
      <c r="I935" s="38" t="str">
        <f>IF(Data!G925="","",IF(Data!G925=Data_Val!$C$2,IF(Data!I925="",0,1),0))</f>
        <v/>
      </c>
      <c r="J935" s="38" t="str">
        <f>IF(Data!I925="","",IF(ISNUMBER(MATCH(Data!J925,Data_Val!$A$2:$A$3,0)),0,1))</f>
        <v/>
      </c>
      <c r="K935" s="38" t="str">
        <f ca="1">IF(Data!I925="","",IF(ISNUMBER(Data!K925),IF(AND(Data!K925&gt;(TODAY()-(Data_Val!$K$3*365.25)),Data!K925&lt;=(TODAY()-(Data_Val!$K$2*365.25))),0,1),1))</f>
        <v/>
      </c>
      <c r="L935" s="16" t="str">
        <f>IF(Data!G925="","",IF(Data!G925=Data_Val!$C$2,IF(Data!L925="",0,1),0))</f>
        <v/>
      </c>
      <c r="M935" s="16" t="str">
        <f>IF(Data!L925="","",IF(ISNUMBER(MATCH(Data!M925,Data_Val!$A$2:$A$3,0)),0,1))</f>
        <v/>
      </c>
      <c r="N935" s="43" t="str">
        <f ca="1">IF(Data!L925="","",IF(ISNUMBER(Data!N925),IF(AND(Data!N925&gt;(TODAY()-(Data_Val!$L$3*365.25)),Data!N925&lt;=(TODAY()-(Data_Val!$L$2*365.25))),0,1),1))</f>
        <v/>
      </c>
      <c r="O935" s="18" t="str">
        <f>IF(Data!$G925="","",IF(Data!$G925=Data_Val!$C$2,IF(Data!O925="",0,1),0))</f>
        <v/>
      </c>
      <c r="P935" s="18" t="str">
        <f>IF(Data!O925="","",IF(ISNUMBER(MATCH(Data!P925,Data_Val!$A$2:$A$3,0)),0,1))</f>
        <v/>
      </c>
      <c r="Q935" s="44" t="str">
        <f ca="1">IF(Data!O925="","",IF(ISNUMBER(Data!Q925),IF(AND(Data!Q925&gt;(TODAY()-(Data_Val!$L$3*365.25)),Data!Q925&lt;=(TODAY()-(Data_Val!$L$2*365.25))),0,1),1))</f>
        <v/>
      </c>
    </row>
    <row r="936" spans="1:17" ht="12" customHeight="1" x14ac:dyDescent="0.25">
      <c r="A936" s="36" t="str">
        <f>IF(Data!B926="","",IF(COUNTIFS(Data!A$1:'Data'!A926,Data!A926)&lt;=1,0,1))</f>
        <v/>
      </c>
      <c r="B936" s="36"/>
      <c r="C936" s="36" t="str">
        <f>IF(Data!C926="","",(IF(ISNUMBER(MATCH("*@*.?*",Data!C926,0)),0,1)+IF(COUNTIFS(Data!C$1:'Data'!C926,Data!C926)&gt;1,1,0)))</f>
        <v/>
      </c>
      <c r="D936" s="36" t="str">
        <f>IF(Data!B926="","",IF(ISNUMBER(Data!D926),IF(AND(Data!D926&gt;999999999,Data!D926&lt;=9999999999),IF(COUNTIFS(Data!D$1:'Data'!D926,Data!D926)&lt;=1,0,1),1),1))</f>
        <v/>
      </c>
      <c r="E936" s="36" t="str">
        <f>IF(Data!B926="","",IF(ISNUMBER(MATCH(Data!E926,Data_Val!$A$2:$A$3,0)),0,1))</f>
        <v/>
      </c>
      <c r="F936" s="36" t="str">
        <f ca="1">IF(Data!B926="","",IF(ISNUMBER(Data!F926),IF(AND(Data!F926&gt;(TODAY()-(Data_Val!$H$3*365.25)),Data!F926&lt;=(TODAY()-(Data_Val!$H$2*365.25))),0,1),1))</f>
        <v/>
      </c>
      <c r="G936" s="12" t="str">
        <f>IF(Data!B926="","",IF(AND(Data!G926="",Data!H926&lt;&gt;""),1,IF(ISNUMBER(MATCH(Data!G926,Data_Val!$C$2:$C$5,0)),0,1)))</f>
        <v/>
      </c>
      <c r="H936" s="12" t="str">
        <f>IF(Data!B926="","",IF(AND(Data!G926&lt;&gt;"",Data!H926=""),1,IF(Data!G926="",1,IF(ISNUMBER(MATCH(Data!H926,Data_Val!$D$2:$D$35,0)),0,1))))</f>
        <v/>
      </c>
      <c r="I936" s="38" t="str">
        <f>IF(Data!G926="","",IF(Data!G926=Data_Val!$C$2,IF(Data!I926="",0,1),0))</f>
        <v/>
      </c>
      <c r="J936" s="38" t="str">
        <f>IF(Data!I926="","",IF(ISNUMBER(MATCH(Data!J926,Data_Val!$A$2:$A$3,0)),0,1))</f>
        <v/>
      </c>
      <c r="K936" s="38" t="str">
        <f ca="1">IF(Data!I926="","",IF(ISNUMBER(Data!K926),IF(AND(Data!K926&gt;(TODAY()-(Data_Val!$K$3*365.25)),Data!K926&lt;=(TODAY()-(Data_Val!$K$2*365.25))),0,1),1))</f>
        <v/>
      </c>
      <c r="L936" s="16" t="str">
        <f>IF(Data!G926="","",IF(Data!G926=Data_Val!$C$2,IF(Data!L926="",0,1),0))</f>
        <v/>
      </c>
      <c r="M936" s="16" t="str">
        <f>IF(Data!L926="","",IF(ISNUMBER(MATCH(Data!M926,Data_Val!$A$2:$A$3,0)),0,1))</f>
        <v/>
      </c>
      <c r="N936" s="43" t="str">
        <f ca="1">IF(Data!L926="","",IF(ISNUMBER(Data!N926),IF(AND(Data!N926&gt;(TODAY()-(Data_Val!$L$3*365.25)),Data!N926&lt;=(TODAY()-(Data_Val!$L$2*365.25))),0,1),1))</f>
        <v/>
      </c>
      <c r="O936" s="18" t="str">
        <f>IF(Data!$G926="","",IF(Data!$G926=Data_Val!$C$2,IF(Data!O926="",0,1),0))</f>
        <v/>
      </c>
      <c r="P936" s="18" t="str">
        <f>IF(Data!O926="","",IF(ISNUMBER(MATCH(Data!P926,Data_Val!$A$2:$A$3,0)),0,1))</f>
        <v/>
      </c>
      <c r="Q936" s="44" t="str">
        <f ca="1">IF(Data!O926="","",IF(ISNUMBER(Data!Q926),IF(AND(Data!Q926&gt;(TODAY()-(Data_Val!$L$3*365.25)),Data!Q926&lt;=(TODAY()-(Data_Val!$L$2*365.25))),0,1),1))</f>
        <v/>
      </c>
    </row>
    <row r="937" spans="1:17" ht="12" customHeight="1" x14ac:dyDescent="0.25">
      <c r="A937" s="36" t="str">
        <f>IF(Data!B927="","",IF(COUNTIFS(Data!A$1:'Data'!A927,Data!A927)&lt;=1,0,1))</f>
        <v/>
      </c>
      <c r="B937" s="36"/>
      <c r="C937" s="36" t="str">
        <f>IF(Data!C927="","",(IF(ISNUMBER(MATCH("*@*.?*",Data!C927,0)),0,1)+IF(COUNTIFS(Data!C$1:'Data'!C927,Data!C927)&gt;1,1,0)))</f>
        <v/>
      </c>
      <c r="D937" s="36" t="str">
        <f>IF(Data!B927="","",IF(ISNUMBER(Data!D927),IF(AND(Data!D927&gt;999999999,Data!D927&lt;=9999999999),IF(COUNTIFS(Data!D$1:'Data'!D927,Data!D927)&lt;=1,0,1),1),1))</f>
        <v/>
      </c>
      <c r="E937" s="36" t="str">
        <f>IF(Data!B927="","",IF(ISNUMBER(MATCH(Data!E927,Data_Val!$A$2:$A$3,0)),0,1))</f>
        <v/>
      </c>
      <c r="F937" s="36" t="str">
        <f ca="1">IF(Data!B927="","",IF(ISNUMBER(Data!F927),IF(AND(Data!F927&gt;(TODAY()-(Data_Val!$H$3*365.25)),Data!F927&lt;=(TODAY()-(Data_Val!$H$2*365.25))),0,1),1))</f>
        <v/>
      </c>
      <c r="G937" s="12" t="str">
        <f>IF(Data!B927="","",IF(AND(Data!G927="",Data!H927&lt;&gt;""),1,IF(ISNUMBER(MATCH(Data!G927,Data_Val!$C$2:$C$5,0)),0,1)))</f>
        <v/>
      </c>
      <c r="H937" s="12" t="str">
        <f>IF(Data!B927="","",IF(AND(Data!G927&lt;&gt;"",Data!H927=""),1,IF(Data!G927="",1,IF(ISNUMBER(MATCH(Data!H927,Data_Val!$D$2:$D$35,0)),0,1))))</f>
        <v/>
      </c>
      <c r="I937" s="38" t="str">
        <f>IF(Data!G927="","",IF(Data!G927=Data_Val!$C$2,IF(Data!I927="",0,1),0))</f>
        <v/>
      </c>
      <c r="J937" s="38" t="str">
        <f>IF(Data!I927="","",IF(ISNUMBER(MATCH(Data!J927,Data_Val!$A$2:$A$3,0)),0,1))</f>
        <v/>
      </c>
      <c r="K937" s="38" t="str">
        <f ca="1">IF(Data!I927="","",IF(ISNUMBER(Data!K927),IF(AND(Data!K927&gt;(TODAY()-(Data_Val!$K$3*365.25)),Data!K927&lt;=(TODAY()-(Data_Val!$K$2*365.25))),0,1),1))</f>
        <v/>
      </c>
      <c r="L937" s="16" t="str">
        <f>IF(Data!G927="","",IF(Data!G927=Data_Val!$C$2,IF(Data!L927="",0,1),0))</f>
        <v/>
      </c>
      <c r="M937" s="16" t="str">
        <f>IF(Data!L927="","",IF(ISNUMBER(MATCH(Data!M927,Data_Val!$A$2:$A$3,0)),0,1))</f>
        <v/>
      </c>
      <c r="N937" s="43" t="str">
        <f ca="1">IF(Data!L927="","",IF(ISNUMBER(Data!N927),IF(AND(Data!N927&gt;(TODAY()-(Data_Val!$L$3*365.25)),Data!N927&lt;=(TODAY()-(Data_Val!$L$2*365.25))),0,1),1))</f>
        <v/>
      </c>
      <c r="O937" s="18" t="str">
        <f>IF(Data!$G927="","",IF(Data!$G927=Data_Val!$C$2,IF(Data!O927="",0,1),0))</f>
        <v/>
      </c>
      <c r="P937" s="18" t="str">
        <f>IF(Data!O927="","",IF(ISNUMBER(MATCH(Data!P927,Data_Val!$A$2:$A$3,0)),0,1))</f>
        <v/>
      </c>
      <c r="Q937" s="44" t="str">
        <f ca="1">IF(Data!O927="","",IF(ISNUMBER(Data!Q927),IF(AND(Data!Q927&gt;(TODAY()-(Data_Val!$L$3*365.25)),Data!Q927&lt;=(TODAY()-(Data_Val!$L$2*365.25))),0,1),1))</f>
        <v/>
      </c>
    </row>
    <row r="938" spans="1:17" ht="12" customHeight="1" x14ac:dyDescent="0.25">
      <c r="A938" s="36" t="str">
        <f>IF(Data!B928="","",IF(COUNTIFS(Data!A$1:'Data'!A928,Data!A928)&lt;=1,0,1))</f>
        <v/>
      </c>
      <c r="B938" s="36"/>
      <c r="C938" s="36" t="str">
        <f>IF(Data!C928="","",(IF(ISNUMBER(MATCH("*@*.?*",Data!C928,0)),0,1)+IF(COUNTIFS(Data!C$1:'Data'!C928,Data!C928)&gt;1,1,0)))</f>
        <v/>
      </c>
      <c r="D938" s="36" t="str">
        <f>IF(Data!B928="","",IF(ISNUMBER(Data!D928),IF(AND(Data!D928&gt;999999999,Data!D928&lt;=9999999999),IF(COUNTIFS(Data!D$1:'Data'!D928,Data!D928)&lt;=1,0,1),1),1))</f>
        <v/>
      </c>
      <c r="E938" s="36" t="str">
        <f>IF(Data!B928="","",IF(ISNUMBER(MATCH(Data!E928,Data_Val!$A$2:$A$3,0)),0,1))</f>
        <v/>
      </c>
      <c r="F938" s="36" t="str">
        <f ca="1">IF(Data!B928="","",IF(ISNUMBER(Data!F928),IF(AND(Data!F928&gt;(TODAY()-(Data_Val!$H$3*365.25)),Data!F928&lt;=(TODAY()-(Data_Val!$H$2*365.25))),0,1),1))</f>
        <v/>
      </c>
      <c r="G938" s="12" t="str">
        <f>IF(Data!B928="","",IF(AND(Data!G928="",Data!H928&lt;&gt;""),1,IF(ISNUMBER(MATCH(Data!G928,Data_Val!$C$2:$C$5,0)),0,1)))</f>
        <v/>
      </c>
      <c r="H938" s="12" t="str">
        <f>IF(Data!B928="","",IF(AND(Data!G928&lt;&gt;"",Data!H928=""),1,IF(Data!G928="",1,IF(ISNUMBER(MATCH(Data!H928,Data_Val!$D$2:$D$35,0)),0,1))))</f>
        <v/>
      </c>
      <c r="I938" s="38" t="str">
        <f>IF(Data!G928="","",IF(Data!G928=Data_Val!$C$2,IF(Data!I928="",0,1),0))</f>
        <v/>
      </c>
      <c r="J938" s="38" t="str">
        <f>IF(Data!I928="","",IF(ISNUMBER(MATCH(Data!J928,Data_Val!$A$2:$A$3,0)),0,1))</f>
        <v/>
      </c>
      <c r="K938" s="38" t="str">
        <f ca="1">IF(Data!I928="","",IF(ISNUMBER(Data!K928),IF(AND(Data!K928&gt;(TODAY()-(Data_Val!$K$3*365.25)),Data!K928&lt;=(TODAY()-(Data_Val!$K$2*365.25))),0,1),1))</f>
        <v/>
      </c>
      <c r="L938" s="16" t="str">
        <f>IF(Data!G928="","",IF(Data!G928=Data_Val!$C$2,IF(Data!L928="",0,1),0))</f>
        <v/>
      </c>
      <c r="M938" s="16" t="str">
        <f>IF(Data!L928="","",IF(ISNUMBER(MATCH(Data!M928,Data_Val!$A$2:$A$3,0)),0,1))</f>
        <v/>
      </c>
      <c r="N938" s="43" t="str">
        <f ca="1">IF(Data!L928="","",IF(ISNUMBER(Data!N928),IF(AND(Data!N928&gt;(TODAY()-(Data_Val!$L$3*365.25)),Data!N928&lt;=(TODAY()-(Data_Val!$L$2*365.25))),0,1),1))</f>
        <v/>
      </c>
      <c r="O938" s="18" t="str">
        <f>IF(Data!$G928="","",IF(Data!$G928=Data_Val!$C$2,IF(Data!O928="",0,1),0))</f>
        <v/>
      </c>
      <c r="P938" s="18" t="str">
        <f>IF(Data!O928="","",IF(ISNUMBER(MATCH(Data!P928,Data_Val!$A$2:$A$3,0)),0,1))</f>
        <v/>
      </c>
      <c r="Q938" s="44" t="str">
        <f ca="1">IF(Data!O928="","",IF(ISNUMBER(Data!Q928),IF(AND(Data!Q928&gt;(TODAY()-(Data_Val!$L$3*365.25)),Data!Q928&lt;=(TODAY()-(Data_Val!$L$2*365.25))),0,1),1))</f>
        <v/>
      </c>
    </row>
    <row r="939" spans="1:17" ht="12" customHeight="1" x14ac:dyDescent="0.25">
      <c r="A939" s="36" t="str">
        <f>IF(Data!B929="","",IF(COUNTIFS(Data!A$1:'Data'!A929,Data!A929)&lt;=1,0,1))</f>
        <v/>
      </c>
      <c r="B939" s="36"/>
      <c r="C939" s="36" t="str">
        <f>IF(Data!C929="","",(IF(ISNUMBER(MATCH("*@*.?*",Data!C929,0)),0,1)+IF(COUNTIFS(Data!C$1:'Data'!C929,Data!C929)&gt;1,1,0)))</f>
        <v/>
      </c>
      <c r="D939" s="36" t="str">
        <f>IF(Data!B929="","",IF(ISNUMBER(Data!D929),IF(AND(Data!D929&gt;999999999,Data!D929&lt;=9999999999),IF(COUNTIFS(Data!D$1:'Data'!D929,Data!D929)&lt;=1,0,1),1),1))</f>
        <v/>
      </c>
      <c r="E939" s="36" t="str">
        <f>IF(Data!B929="","",IF(ISNUMBER(MATCH(Data!E929,Data_Val!$A$2:$A$3,0)),0,1))</f>
        <v/>
      </c>
      <c r="F939" s="36" t="str">
        <f ca="1">IF(Data!B929="","",IF(ISNUMBER(Data!F929),IF(AND(Data!F929&gt;(TODAY()-(Data_Val!$H$3*365.25)),Data!F929&lt;=(TODAY()-(Data_Val!$H$2*365.25))),0,1),1))</f>
        <v/>
      </c>
      <c r="G939" s="12" t="str">
        <f>IF(Data!B929="","",IF(AND(Data!G929="",Data!H929&lt;&gt;""),1,IF(ISNUMBER(MATCH(Data!G929,Data_Val!$C$2:$C$5,0)),0,1)))</f>
        <v/>
      </c>
      <c r="H939" s="12" t="str">
        <f>IF(Data!B929="","",IF(AND(Data!G929&lt;&gt;"",Data!H929=""),1,IF(Data!G929="",1,IF(ISNUMBER(MATCH(Data!H929,Data_Val!$D$2:$D$35,0)),0,1))))</f>
        <v/>
      </c>
      <c r="I939" s="38" t="str">
        <f>IF(Data!G929="","",IF(Data!G929=Data_Val!$C$2,IF(Data!I929="",0,1),0))</f>
        <v/>
      </c>
      <c r="J939" s="38" t="str">
        <f>IF(Data!I929="","",IF(ISNUMBER(MATCH(Data!J929,Data_Val!$A$2:$A$3,0)),0,1))</f>
        <v/>
      </c>
      <c r="K939" s="38" t="str">
        <f ca="1">IF(Data!I929="","",IF(ISNUMBER(Data!K929),IF(AND(Data!K929&gt;(TODAY()-(Data_Val!$K$3*365.25)),Data!K929&lt;=(TODAY()-(Data_Val!$K$2*365.25))),0,1),1))</f>
        <v/>
      </c>
      <c r="L939" s="16" t="str">
        <f>IF(Data!G929="","",IF(Data!G929=Data_Val!$C$2,IF(Data!L929="",0,1),0))</f>
        <v/>
      </c>
      <c r="M939" s="16" t="str">
        <f>IF(Data!L929="","",IF(ISNUMBER(MATCH(Data!M929,Data_Val!$A$2:$A$3,0)),0,1))</f>
        <v/>
      </c>
      <c r="N939" s="43" t="str">
        <f ca="1">IF(Data!L929="","",IF(ISNUMBER(Data!N929),IF(AND(Data!N929&gt;(TODAY()-(Data_Val!$L$3*365.25)),Data!N929&lt;=(TODAY()-(Data_Val!$L$2*365.25))),0,1),1))</f>
        <v/>
      </c>
      <c r="O939" s="18" t="str">
        <f>IF(Data!$G929="","",IF(Data!$G929=Data_Val!$C$2,IF(Data!O929="",0,1),0))</f>
        <v/>
      </c>
      <c r="P939" s="18" t="str">
        <f>IF(Data!O929="","",IF(ISNUMBER(MATCH(Data!P929,Data_Val!$A$2:$A$3,0)),0,1))</f>
        <v/>
      </c>
      <c r="Q939" s="44" t="str">
        <f ca="1">IF(Data!O929="","",IF(ISNUMBER(Data!Q929),IF(AND(Data!Q929&gt;(TODAY()-(Data_Val!$L$3*365.25)),Data!Q929&lt;=(TODAY()-(Data_Val!$L$2*365.25))),0,1),1))</f>
        <v/>
      </c>
    </row>
    <row r="940" spans="1:17" ht="12" customHeight="1" x14ac:dyDescent="0.25">
      <c r="A940" s="36" t="str">
        <f>IF(Data!B930="","",IF(COUNTIFS(Data!A$1:'Data'!A930,Data!A930)&lt;=1,0,1))</f>
        <v/>
      </c>
      <c r="B940" s="36"/>
      <c r="C940" s="36" t="str">
        <f>IF(Data!C930="","",(IF(ISNUMBER(MATCH("*@*.?*",Data!C930,0)),0,1)+IF(COUNTIFS(Data!C$1:'Data'!C930,Data!C930)&gt;1,1,0)))</f>
        <v/>
      </c>
      <c r="D940" s="36" t="str">
        <f>IF(Data!B930="","",IF(ISNUMBER(Data!D930),IF(AND(Data!D930&gt;999999999,Data!D930&lt;=9999999999),IF(COUNTIFS(Data!D$1:'Data'!D930,Data!D930)&lt;=1,0,1),1),1))</f>
        <v/>
      </c>
      <c r="E940" s="36" t="str">
        <f>IF(Data!B930="","",IF(ISNUMBER(MATCH(Data!E930,Data_Val!$A$2:$A$3,0)),0,1))</f>
        <v/>
      </c>
      <c r="F940" s="36" t="str">
        <f ca="1">IF(Data!B930="","",IF(ISNUMBER(Data!F930),IF(AND(Data!F930&gt;(TODAY()-(Data_Val!$H$3*365.25)),Data!F930&lt;=(TODAY()-(Data_Val!$H$2*365.25))),0,1),1))</f>
        <v/>
      </c>
      <c r="G940" s="12" t="str">
        <f>IF(Data!B930="","",IF(AND(Data!G930="",Data!H930&lt;&gt;""),1,IF(ISNUMBER(MATCH(Data!G930,Data_Val!$C$2:$C$5,0)),0,1)))</f>
        <v/>
      </c>
      <c r="H940" s="12" t="str">
        <f>IF(Data!B930="","",IF(AND(Data!G930&lt;&gt;"",Data!H930=""),1,IF(Data!G930="",1,IF(ISNUMBER(MATCH(Data!H930,Data_Val!$D$2:$D$35,0)),0,1))))</f>
        <v/>
      </c>
      <c r="I940" s="38" t="str">
        <f>IF(Data!G930="","",IF(Data!G930=Data_Val!$C$2,IF(Data!I930="",0,1),0))</f>
        <v/>
      </c>
      <c r="J940" s="38" t="str">
        <f>IF(Data!I930="","",IF(ISNUMBER(MATCH(Data!J930,Data_Val!$A$2:$A$3,0)),0,1))</f>
        <v/>
      </c>
      <c r="K940" s="38" t="str">
        <f ca="1">IF(Data!I930="","",IF(ISNUMBER(Data!K930),IF(AND(Data!K930&gt;(TODAY()-(Data_Val!$K$3*365.25)),Data!K930&lt;=(TODAY()-(Data_Val!$K$2*365.25))),0,1),1))</f>
        <v/>
      </c>
      <c r="L940" s="16" t="str">
        <f>IF(Data!G930="","",IF(Data!G930=Data_Val!$C$2,IF(Data!L930="",0,1),0))</f>
        <v/>
      </c>
      <c r="M940" s="16" t="str">
        <f>IF(Data!L930="","",IF(ISNUMBER(MATCH(Data!M930,Data_Val!$A$2:$A$3,0)),0,1))</f>
        <v/>
      </c>
      <c r="N940" s="43" t="str">
        <f ca="1">IF(Data!L930="","",IF(ISNUMBER(Data!N930),IF(AND(Data!N930&gt;(TODAY()-(Data_Val!$L$3*365.25)),Data!N930&lt;=(TODAY()-(Data_Val!$L$2*365.25))),0,1),1))</f>
        <v/>
      </c>
      <c r="O940" s="18" t="str">
        <f>IF(Data!$G930="","",IF(Data!$G930=Data_Val!$C$2,IF(Data!O930="",0,1),0))</f>
        <v/>
      </c>
      <c r="P940" s="18" t="str">
        <f>IF(Data!O930="","",IF(ISNUMBER(MATCH(Data!P930,Data_Val!$A$2:$A$3,0)),0,1))</f>
        <v/>
      </c>
      <c r="Q940" s="44" t="str">
        <f ca="1">IF(Data!O930="","",IF(ISNUMBER(Data!Q930),IF(AND(Data!Q930&gt;(TODAY()-(Data_Val!$L$3*365.25)),Data!Q930&lt;=(TODAY()-(Data_Val!$L$2*365.25))),0,1),1))</f>
        <v/>
      </c>
    </row>
    <row r="941" spans="1:17" ht="12" customHeight="1" x14ac:dyDescent="0.25">
      <c r="A941" s="36" t="str">
        <f>IF(Data!B931="","",IF(COUNTIFS(Data!A$1:'Data'!A931,Data!A931)&lt;=1,0,1))</f>
        <v/>
      </c>
      <c r="B941" s="36"/>
      <c r="C941" s="36" t="str">
        <f>IF(Data!C931="","",(IF(ISNUMBER(MATCH("*@*.?*",Data!C931,0)),0,1)+IF(COUNTIFS(Data!C$1:'Data'!C931,Data!C931)&gt;1,1,0)))</f>
        <v/>
      </c>
      <c r="D941" s="36" t="str">
        <f>IF(Data!B931="","",IF(ISNUMBER(Data!D931),IF(AND(Data!D931&gt;999999999,Data!D931&lt;=9999999999),IF(COUNTIFS(Data!D$1:'Data'!D931,Data!D931)&lt;=1,0,1),1),1))</f>
        <v/>
      </c>
      <c r="E941" s="36" t="str">
        <f>IF(Data!B931="","",IF(ISNUMBER(MATCH(Data!E931,Data_Val!$A$2:$A$3,0)),0,1))</f>
        <v/>
      </c>
      <c r="F941" s="36" t="str">
        <f ca="1">IF(Data!B931="","",IF(ISNUMBER(Data!F931),IF(AND(Data!F931&gt;(TODAY()-(Data_Val!$H$3*365.25)),Data!F931&lt;=(TODAY()-(Data_Val!$H$2*365.25))),0,1),1))</f>
        <v/>
      </c>
      <c r="G941" s="12" t="str">
        <f>IF(Data!B931="","",IF(AND(Data!G931="",Data!H931&lt;&gt;""),1,IF(ISNUMBER(MATCH(Data!G931,Data_Val!$C$2:$C$5,0)),0,1)))</f>
        <v/>
      </c>
      <c r="H941" s="12" t="str">
        <f>IF(Data!B931="","",IF(AND(Data!G931&lt;&gt;"",Data!H931=""),1,IF(Data!G931="",1,IF(ISNUMBER(MATCH(Data!H931,Data_Val!$D$2:$D$35,0)),0,1))))</f>
        <v/>
      </c>
      <c r="I941" s="38" t="str">
        <f>IF(Data!G931="","",IF(Data!G931=Data_Val!$C$2,IF(Data!I931="",0,1),0))</f>
        <v/>
      </c>
      <c r="J941" s="38" t="str">
        <f>IF(Data!I931="","",IF(ISNUMBER(MATCH(Data!J931,Data_Val!$A$2:$A$3,0)),0,1))</f>
        <v/>
      </c>
      <c r="K941" s="38" t="str">
        <f ca="1">IF(Data!I931="","",IF(ISNUMBER(Data!K931),IF(AND(Data!K931&gt;(TODAY()-(Data_Val!$K$3*365.25)),Data!K931&lt;=(TODAY()-(Data_Val!$K$2*365.25))),0,1),1))</f>
        <v/>
      </c>
      <c r="L941" s="16" t="str">
        <f>IF(Data!G931="","",IF(Data!G931=Data_Val!$C$2,IF(Data!L931="",0,1),0))</f>
        <v/>
      </c>
      <c r="M941" s="16" t="str">
        <f>IF(Data!L931="","",IF(ISNUMBER(MATCH(Data!M931,Data_Val!$A$2:$A$3,0)),0,1))</f>
        <v/>
      </c>
      <c r="N941" s="43" t="str">
        <f ca="1">IF(Data!L931="","",IF(ISNUMBER(Data!N931),IF(AND(Data!N931&gt;(TODAY()-(Data_Val!$L$3*365.25)),Data!N931&lt;=(TODAY()-(Data_Val!$L$2*365.25))),0,1),1))</f>
        <v/>
      </c>
      <c r="O941" s="18" t="str">
        <f>IF(Data!$G931="","",IF(Data!$G931=Data_Val!$C$2,IF(Data!O931="",0,1),0))</f>
        <v/>
      </c>
      <c r="P941" s="18" t="str">
        <f>IF(Data!O931="","",IF(ISNUMBER(MATCH(Data!P931,Data_Val!$A$2:$A$3,0)),0,1))</f>
        <v/>
      </c>
      <c r="Q941" s="44" t="str">
        <f ca="1">IF(Data!O931="","",IF(ISNUMBER(Data!Q931),IF(AND(Data!Q931&gt;(TODAY()-(Data_Val!$L$3*365.25)),Data!Q931&lt;=(TODAY()-(Data_Val!$L$2*365.25))),0,1),1))</f>
        <v/>
      </c>
    </row>
    <row r="942" spans="1:17" ht="12" customHeight="1" x14ac:dyDescent="0.25">
      <c r="A942" s="36" t="str">
        <f>IF(Data!B932="","",IF(COUNTIFS(Data!A$1:'Data'!A932,Data!A932)&lt;=1,0,1))</f>
        <v/>
      </c>
      <c r="B942" s="36"/>
      <c r="C942" s="36" t="str">
        <f>IF(Data!C932="","",(IF(ISNUMBER(MATCH("*@*.?*",Data!C932,0)),0,1)+IF(COUNTIFS(Data!C$1:'Data'!C932,Data!C932)&gt;1,1,0)))</f>
        <v/>
      </c>
      <c r="D942" s="36" t="str">
        <f>IF(Data!B932="","",IF(ISNUMBER(Data!D932),IF(AND(Data!D932&gt;999999999,Data!D932&lt;=9999999999),IF(COUNTIFS(Data!D$1:'Data'!D932,Data!D932)&lt;=1,0,1),1),1))</f>
        <v/>
      </c>
      <c r="E942" s="36" t="str">
        <f>IF(Data!B932="","",IF(ISNUMBER(MATCH(Data!E932,Data_Val!$A$2:$A$3,0)),0,1))</f>
        <v/>
      </c>
      <c r="F942" s="36" t="str">
        <f ca="1">IF(Data!B932="","",IF(ISNUMBER(Data!F932),IF(AND(Data!F932&gt;(TODAY()-(Data_Val!$H$3*365.25)),Data!F932&lt;=(TODAY()-(Data_Val!$H$2*365.25))),0,1),1))</f>
        <v/>
      </c>
      <c r="G942" s="12" t="str">
        <f>IF(Data!B932="","",IF(AND(Data!G932="",Data!H932&lt;&gt;""),1,IF(ISNUMBER(MATCH(Data!G932,Data_Val!$C$2:$C$5,0)),0,1)))</f>
        <v/>
      </c>
      <c r="H942" s="12" t="str">
        <f>IF(Data!B932="","",IF(AND(Data!G932&lt;&gt;"",Data!H932=""),1,IF(Data!G932="",1,IF(ISNUMBER(MATCH(Data!H932,Data_Val!$D$2:$D$35,0)),0,1))))</f>
        <v/>
      </c>
      <c r="I942" s="38" t="str">
        <f>IF(Data!G932="","",IF(Data!G932=Data_Val!$C$2,IF(Data!I932="",0,1),0))</f>
        <v/>
      </c>
      <c r="J942" s="38" t="str">
        <f>IF(Data!I932="","",IF(ISNUMBER(MATCH(Data!J932,Data_Val!$A$2:$A$3,0)),0,1))</f>
        <v/>
      </c>
      <c r="K942" s="38" t="str">
        <f ca="1">IF(Data!I932="","",IF(ISNUMBER(Data!K932),IF(AND(Data!K932&gt;(TODAY()-(Data_Val!$K$3*365.25)),Data!K932&lt;=(TODAY()-(Data_Val!$K$2*365.25))),0,1),1))</f>
        <v/>
      </c>
      <c r="L942" s="16" t="str">
        <f>IF(Data!G932="","",IF(Data!G932=Data_Val!$C$2,IF(Data!L932="",0,1),0))</f>
        <v/>
      </c>
      <c r="M942" s="16" t="str">
        <f>IF(Data!L932="","",IF(ISNUMBER(MATCH(Data!M932,Data_Val!$A$2:$A$3,0)),0,1))</f>
        <v/>
      </c>
      <c r="N942" s="43" t="str">
        <f ca="1">IF(Data!L932="","",IF(ISNUMBER(Data!N932),IF(AND(Data!N932&gt;(TODAY()-(Data_Val!$L$3*365.25)),Data!N932&lt;=(TODAY()-(Data_Val!$L$2*365.25))),0,1),1))</f>
        <v/>
      </c>
      <c r="O942" s="18" t="str">
        <f>IF(Data!$G932="","",IF(Data!$G932=Data_Val!$C$2,IF(Data!O932="",0,1),0))</f>
        <v/>
      </c>
      <c r="P942" s="18" t="str">
        <f>IF(Data!O932="","",IF(ISNUMBER(MATCH(Data!P932,Data_Val!$A$2:$A$3,0)),0,1))</f>
        <v/>
      </c>
      <c r="Q942" s="44" t="str">
        <f ca="1">IF(Data!O932="","",IF(ISNUMBER(Data!Q932),IF(AND(Data!Q932&gt;(TODAY()-(Data_Val!$L$3*365.25)),Data!Q932&lt;=(TODAY()-(Data_Val!$L$2*365.25))),0,1),1))</f>
        <v/>
      </c>
    </row>
    <row r="943" spans="1:17" ht="12" customHeight="1" x14ac:dyDescent="0.25">
      <c r="A943" s="36" t="str">
        <f>IF(Data!B933="","",IF(COUNTIFS(Data!A$1:'Data'!A933,Data!A933)&lt;=1,0,1))</f>
        <v/>
      </c>
      <c r="B943" s="36"/>
      <c r="C943" s="36" t="str">
        <f>IF(Data!C933="","",(IF(ISNUMBER(MATCH("*@*.?*",Data!C933,0)),0,1)+IF(COUNTIFS(Data!C$1:'Data'!C933,Data!C933)&gt;1,1,0)))</f>
        <v/>
      </c>
      <c r="D943" s="36" t="str">
        <f>IF(Data!B933="","",IF(ISNUMBER(Data!D933),IF(AND(Data!D933&gt;999999999,Data!D933&lt;=9999999999),IF(COUNTIFS(Data!D$1:'Data'!D933,Data!D933)&lt;=1,0,1),1),1))</f>
        <v/>
      </c>
      <c r="E943" s="36" t="str">
        <f>IF(Data!B933="","",IF(ISNUMBER(MATCH(Data!E933,Data_Val!$A$2:$A$3,0)),0,1))</f>
        <v/>
      </c>
      <c r="F943" s="36" t="str">
        <f ca="1">IF(Data!B933="","",IF(ISNUMBER(Data!F933),IF(AND(Data!F933&gt;(TODAY()-(Data_Val!$H$3*365.25)),Data!F933&lt;=(TODAY()-(Data_Val!$H$2*365.25))),0,1),1))</f>
        <v/>
      </c>
      <c r="G943" s="12" t="str">
        <f>IF(Data!B933="","",IF(AND(Data!G933="",Data!H933&lt;&gt;""),1,IF(ISNUMBER(MATCH(Data!G933,Data_Val!$C$2:$C$5,0)),0,1)))</f>
        <v/>
      </c>
      <c r="H943" s="12" t="str">
        <f>IF(Data!B933="","",IF(AND(Data!G933&lt;&gt;"",Data!H933=""),1,IF(Data!G933="",1,IF(ISNUMBER(MATCH(Data!H933,Data_Val!$D$2:$D$35,0)),0,1))))</f>
        <v/>
      </c>
      <c r="I943" s="38" t="str">
        <f>IF(Data!G933="","",IF(Data!G933=Data_Val!$C$2,IF(Data!I933="",0,1),0))</f>
        <v/>
      </c>
      <c r="J943" s="38" t="str">
        <f>IF(Data!I933="","",IF(ISNUMBER(MATCH(Data!J933,Data_Val!$A$2:$A$3,0)),0,1))</f>
        <v/>
      </c>
      <c r="K943" s="38" t="str">
        <f ca="1">IF(Data!I933="","",IF(ISNUMBER(Data!K933),IF(AND(Data!K933&gt;(TODAY()-(Data_Val!$K$3*365.25)),Data!K933&lt;=(TODAY()-(Data_Val!$K$2*365.25))),0,1),1))</f>
        <v/>
      </c>
      <c r="L943" s="16" t="str">
        <f>IF(Data!G933="","",IF(Data!G933=Data_Val!$C$2,IF(Data!L933="",0,1),0))</f>
        <v/>
      </c>
      <c r="M943" s="16" t="str">
        <f>IF(Data!L933="","",IF(ISNUMBER(MATCH(Data!M933,Data_Val!$A$2:$A$3,0)),0,1))</f>
        <v/>
      </c>
      <c r="N943" s="43" t="str">
        <f ca="1">IF(Data!L933="","",IF(ISNUMBER(Data!N933),IF(AND(Data!N933&gt;(TODAY()-(Data_Val!$L$3*365.25)),Data!N933&lt;=(TODAY()-(Data_Val!$L$2*365.25))),0,1),1))</f>
        <v/>
      </c>
      <c r="O943" s="18" t="str">
        <f>IF(Data!$G933="","",IF(Data!$G933=Data_Val!$C$2,IF(Data!O933="",0,1),0))</f>
        <v/>
      </c>
      <c r="P943" s="18" t="str">
        <f>IF(Data!O933="","",IF(ISNUMBER(MATCH(Data!P933,Data_Val!$A$2:$A$3,0)),0,1))</f>
        <v/>
      </c>
      <c r="Q943" s="44" t="str">
        <f ca="1">IF(Data!O933="","",IF(ISNUMBER(Data!Q933),IF(AND(Data!Q933&gt;(TODAY()-(Data_Val!$L$3*365.25)),Data!Q933&lt;=(TODAY()-(Data_Val!$L$2*365.25))),0,1),1))</f>
        <v/>
      </c>
    </row>
    <row r="944" spans="1:17" ht="12" customHeight="1" x14ac:dyDescent="0.25">
      <c r="A944" s="36" t="str">
        <f>IF(Data!B934="","",IF(COUNTIFS(Data!A$1:'Data'!A934,Data!A934)&lt;=1,0,1))</f>
        <v/>
      </c>
      <c r="B944" s="36"/>
      <c r="C944" s="36" t="str">
        <f>IF(Data!C934="","",(IF(ISNUMBER(MATCH("*@*.?*",Data!C934,0)),0,1)+IF(COUNTIFS(Data!C$1:'Data'!C934,Data!C934)&gt;1,1,0)))</f>
        <v/>
      </c>
      <c r="D944" s="36" t="str">
        <f>IF(Data!B934="","",IF(ISNUMBER(Data!D934),IF(AND(Data!D934&gt;999999999,Data!D934&lt;=9999999999),IF(COUNTIFS(Data!D$1:'Data'!D934,Data!D934)&lt;=1,0,1),1),1))</f>
        <v/>
      </c>
      <c r="E944" s="36" t="str">
        <f>IF(Data!B934="","",IF(ISNUMBER(MATCH(Data!E934,Data_Val!$A$2:$A$3,0)),0,1))</f>
        <v/>
      </c>
      <c r="F944" s="36" t="str">
        <f ca="1">IF(Data!B934="","",IF(ISNUMBER(Data!F934),IF(AND(Data!F934&gt;(TODAY()-(Data_Val!$H$3*365.25)),Data!F934&lt;=(TODAY()-(Data_Val!$H$2*365.25))),0,1),1))</f>
        <v/>
      </c>
      <c r="G944" s="12" t="str">
        <f>IF(Data!B934="","",IF(AND(Data!G934="",Data!H934&lt;&gt;""),1,IF(ISNUMBER(MATCH(Data!G934,Data_Val!$C$2:$C$5,0)),0,1)))</f>
        <v/>
      </c>
      <c r="H944" s="12" t="str">
        <f>IF(Data!B934="","",IF(AND(Data!G934&lt;&gt;"",Data!H934=""),1,IF(Data!G934="",1,IF(ISNUMBER(MATCH(Data!H934,Data_Val!$D$2:$D$35,0)),0,1))))</f>
        <v/>
      </c>
      <c r="I944" s="38" t="str">
        <f>IF(Data!G934="","",IF(Data!G934=Data_Val!$C$2,IF(Data!I934="",0,1),0))</f>
        <v/>
      </c>
      <c r="J944" s="38" t="str">
        <f>IF(Data!I934="","",IF(ISNUMBER(MATCH(Data!J934,Data_Val!$A$2:$A$3,0)),0,1))</f>
        <v/>
      </c>
      <c r="K944" s="38" t="str">
        <f ca="1">IF(Data!I934="","",IF(ISNUMBER(Data!K934),IF(AND(Data!K934&gt;(TODAY()-(Data_Val!$K$3*365.25)),Data!K934&lt;=(TODAY()-(Data_Val!$K$2*365.25))),0,1),1))</f>
        <v/>
      </c>
      <c r="L944" s="16" t="str">
        <f>IF(Data!G934="","",IF(Data!G934=Data_Val!$C$2,IF(Data!L934="",0,1),0))</f>
        <v/>
      </c>
      <c r="M944" s="16" t="str">
        <f>IF(Data!L934="","",IF(ISNUMBER(MATCH(Data!M934,Data_Val!$A$2:$A$3,0)),0,1))</f>
        <v/>
      </c>
      <c r="N944" s="43" t="str">
        <f ca="1">IF(Data!L934="","",IF(ISNUMBER(Data!N934),IF(AND(Data!N934&gt;(TODAY()-(Data_Val!$L$3*365.25)),Data!N934&lt;=(TODAY()-(Data_Val!$L$2*365.25))),0,1),1))</f>
        <v/>
      </c>
      <c r="O944" s="18" t="str">
        <f>IF(Data!$G934="","",IF(Data!$G934=Data_Val!$C$2,IF(Data!O934="",0,1),0))</f>
        <v/>
      </c>
      <c r="P944" s="18" t="str">
        <f>IF(Data!O934="","",IF(ISNUMBER(MATCH(Data!P934,Data_Val!$A$2:$A$3,0)),0,1))</f>
        <v/>
      </c>
      <c r="Q944" s="44" t="str">
        <f ca="1">IF(Data!O934="","",IF(ISNUMBER(Data!Q934),IF(AND(Data!Q934&gt;(TODAY()-(Data_Val!$L$3*365.25)),Data!Q934&lt;=(TODAY()-(Data_Val!$L$2*365.25))),0,1),1))</f>
        <v/>
      </c>
    </row>
    <row r="945" spans="1:17" ht="12" customHeight="1" x14ac:dyDescent="0.25">
      <c r="A945" s="36" t="str">
        <f>IF(Data!B935="","",IF(COUNTIFS(Data!A$1:'Data'!A935,Data!A935)&lt;=1,0,1))</f>
        <v/>
      </c>
      <c r="B945" s="36"/>
      <c r="C945" s="36" t="str">
        <f>IF(Data!C935="","",(IF(ISNUMBER(MATCH("*@*.?*",Data!C935,0)),0,1)+IF(COUNTIFS(Data!C$1:'Data'!C935,Data!C935)&gt;1,1,0)))</f>
        <v/>
      </c>
      <c r="D945" s="36" t="str">
        <f>IF(Data!B935="","",IF(ISNUMBER(Data!D935),IF(AND(Data!D935&gt;999999999,Data!D935&lt;=9999999999),IF(COUNTIFS(Data!D$1:'Data'!D935,Data!D935)&lt;=1,0,1),1),1))</f>
        <v/>
      </c>
      <c r="E945" s="36" t="str">
        <f>IF(Data!B935="","",IF(ISNUMBER(MATCH(Data!E935,Data_Val!$A$2:$A$3,0)),0,1))</f>
        <v/>
      </c>
      <c r="F945" s="36" t="str">
        <f ca="1">IF(Data!B935="","",IF(ISNUMBER(Data!F935),IF(AND(Data!F935&gt;(TODAY()-(Data_Val!$H$3*365.25)),Data!F935&lt;=(TODAY()-(Data_Val!$H$2*365.25))),0,1),1))</f>
        <v/>
      </c>
      <c r="G945" s="12" t="str">
        <f>IF(Data!B935="","",IF(AND(Data!G935="",Data!H935&lt;&gt;""),1,IF(ISNUMBER(MATCH(Data!G935,Data_Val!$C$2:$C$5,0)),0,1)))</f>
        <v/>
      </c>
      <c r="H945" s="12" t="str">
        <f>IF(Data!B935="","",IF(AND(Data!G935&lt;&gt;"",Data!H935=""),1,IF(Data!G935="",1,IF(ISNUMBER(MATCH(Data!H935,Data_Val!$D$2:$D$35,0)),0,1))))</f>
        <v/>
      </c>
      <c r="I945" s="38" t="str">
        <f>IF(Data!G935="","",IF(Data!G935=Data_Val!$C$2,IF(Data!I935="",0,1),0))</f>
        <v/>
      </c>
      <c r="J945" s="38" t="str">
        <f>IF(Data!I935="","",IF(ISNUMBER(MATCH(Data!J935,Data_Val!$A$2:$A$3,0)),0,1))</f>
        <v/>
      </c>
      <c r="K945" s="38" t="str">
        <f ca="1">IF(Data!I935="","",IF(ISNUMBER(Data!K935),IF(AND(Data!K935&gt;(TODAY()-(Data_Val!$K$3*365.25)),Data!K935&lt;=(TODAY()-(Data_Val!$K$2*365.25))),0,1),1))</f>
        <v/>
      </c>
      <c r="L945" s="16" t="str">
        <f>IF(Data!G935="","",IF(Data!G935=Data_Val!$C$2,IF(Data!L935="",0,1),0))</f>
        <v/>
      </c>
      <c r="M945" s="16" t="str">
        <f>IF(Data!L935="","",IF(ISNUMBER(MATCH(Data!M935,Data_Val!$A$2:$A$3,0)),0,1))</f>
        <v/>
      </c>
      <c r="N945" s="43" t="str">
        <f ca="1">IF(Data!L935="","",IF(ISNUMBER(Data!N935),IF(AND(Data!N935&gt;(TODAY()-(Data_Val!$L$3*365.25)),Data!N935&lt;=(TODAY()-(Data_Val!$L$2*365.25))),0,1),1))</f>
        <v/>
      </c>
      <c r="O945" s="18" t="str">
        <f>IF(Data!$G935="","",IF(Data!$G935=Data_Val!$C$2,IF(Data!O935="",0,1),0))</f>
        <v/>
      </c>
      <c r="P945" s="18" t="str">
        <f>IF(Data!O935="","",IF(ISNUMBER(MATCH(Data!P935,Data_Val!$A$2:$A$3,0)),0,1))</f>
        <v/>
      </c>
      <c r="Q945" s="44" t="str">
        <f ca="1">IF(Data!O935="","",IF(ISNUMBER(Data!Q935),IF(AND(Data!Q935&gt;(TODAY()-(Data_Val!$L$3*365.25)),Data!Q935&lt;=(TODAY()-(Data_Val!$L$2*365.25))),0,1),1))</f>
        <v/>
      </c>
    </row>
    <row r="946" spans="1:17" ht="12" customHeight="1" x14ac:dyDescent="0.25">
      <c r="A946" s="36" t="str">
        <f>IF(Data!B936="","",IF(COUNTIFS(Data!A$1:'Data'!A936,Data!A936)&lt;=1,0,1))</f>
        <v/>
      </c>
      <c r="B946" s="36"/>
      <c r="C946" s="36" t="str">
        <f>IF(Data!C936="","",(IF(ISNUMBER(MATCH("*@*.?*",Data!C936,0)),0,1)+IF(COUNTIFS(Data!C$1:'Data'!C936,Data!C936)&gt;1,1,0)))</f>
        <v/>
      </c>
      <c r="D946" s="36" t="str">
        <f>IF(Data!B936="","",IF(ISNUMBER(Data!D936),IF(AND(Data!D936&gt;999999999,Data!D936&lt;=9999999999),IF(COUNTIFS(Data!D$1:'Data'!D936,Data!D936)&lt;=1,0,1),1),1))</f>
        <v/>
      </c>
      <c r="E946" s="36" t="str">
        <f>IF(Data!B936="","",IF(ISNUMBER(MATCH(Data!E936,Data_Val!$A$2:$A$3,0)),0,1))</f>
        <v/>
      </c>
      <c r="F946" s="36" t="str">
        <f ca="1">IF(Data!B936="","",IF(ISNUMBER(Data!F936),IF(AND(Data!F936&gt;(TODAY()-(Data_Val!$H$3*365.25)),Data!F936&lt;=(TODAY()-(Data_Val!$H$2*365.25))),0,1),1))</f>
        <v/>
      </c>
      <c r="G946" s="12" t="str">
        <f>IF(Data!B936="","",IF(AND(Data!G936="",Data!H936&lt;&gt;""),1,IF(ISNUMBER(MATCH(Data!G936,Data_Val!$C$2:$C$5,0)),0,1)))</f>
        <v/>
      </c>
      <c r="H946" s="12" t="str">
        <f>IF(Data!B936="","",IF(AND(Data!G936&lt;&gt;"",Data!H936=""),1,IF(Data!G936="",1,IF(ISNUMBER(MATCH(Data!H936,Data_Val!$D$2:$D$35,0)),0,1))))</f>
        <v/>
      </c>
      <c r="I946" s="38" t="str">
        <f>IF(Data!G936="","",IF(Data!G936=Data_Val!$C$2,IF(Data!I936="",0,1),0))</f>
        <v/>
      </c>
      <c r="J946" s="38" t="str">
        <f>IF(Data!I936="","",IF(ISNUMBER(MATCH(Data!J936,Data_Val!$A$2:$A$3,0)),0,1))</f>
        <v/>
      </c>
      <c r="K946" s="38" t="str">
        <f ca="1">IF(Data!I936="","",IF(ISNUMBER(Data!K936),IF(AND(Data!K936&gt;(TODAY()-(Data_Val!$K$3*365.25)),Data!K936&lt;=(TODAY()-(Data_Val!$K$2*365.25))),0,1),1))</f>
        <v/>
      </c>
      <c r="L946" s="16" t="str">
        <f>IF(Data!G936="","",IF(Data!G936=Data_Val!$C$2,IF(Data!L936="",0,1),0))</f>
        <v/>
      </c>
      <c r="M946" s="16" t="str">
        <f>IF(Data!L936="","",IF(ISNUMBER(MATCH(Data!M936,Data_Val!$A$2:$A$3,0)),0,1))</f>
        <v/>
      </c>
      <c r="N946" s="43" t="str">
        <f ca="1">IF(Data!L936="","",IF(ISNUMBER(Data!N936),IF(AND(Data!N936&gt;(TODAY()-(Data_Val!$L$3*365.25)),Data!N936&lt;=(TODAY()-(Data_Val!$L$2*365.25))),0,1),1))</f>
        <v/>
      </c>
      <c r="O946" s="18" t="str">
        <f>IF(Data!$G936="","",IF(Data!$G936=Data_Val!$C$2,IF(Data!O936="",0,1),0))</f>
        <v/>
      </c>
      <c r="P946" s="18" t="str">
        <f>IF(Data!O936="","",IF(ISNUMBER(MATCH(Data!P936,Data_Val!$A$2:$A$3,0)),0,1))</f>
        <v/>
      </c>
      <c r="Q946" s="44" t="str">
        <f ca="1">IF(Data!O936="","",IF(ISNUMBER(Data!Q936),IF(AND(Data!Q936&gt;(TODAY()-(Data_Val!$L$3*365.25)),Data!Q936&lt;=(TODAY()-(Data_Val!$L$2*365.25))),0,1),1))</f>
        <v/>
      </c>
    </row>
    <row r="947" spans="1:17" ht="12" customHeight="1" x14ac:dyDescent="0.25">
      <c r="A947" s="36" t="str">
        <f>IF(Data!B937="","",IF(COUNTIFS(Data!A$1:'Data'!A937,Data!A937)&lt;=1,0,1))</f>
        <v/>
      </c>
      <c r="B947" s="36"/>
      <c r="C947" s="36" t="str">
        <f>IF(Data!C937="","",(IF(ISNUMBER(MATCH("*@*.?*",Data!C937,0)),0,1)+IF(COUNTIFS(Data!C$1:'Data'!C937,Data!C937)&gt;1,1,0)))</f>
        <v/>
      </c>
      <c r="D947" s="36" t="str">
        <f>IF(Data!B937="","",IF(ISNUMBER(Data!D937),IF(AND(Data!D937&gt;999999999,Data!D937&lt;=9999999999),IF(COUNTIFS(Data!D$1:'Data'!D937,Data!D937)&lt;=1,0,1),1),1))</f>
        <v/>
      </c>
      <c r="E947" s="36" t="str">
        <f>IF(Data!B937="","",IF(ISNUMBER(MATCH(Data!E937,Data_Val!$A$2:$A$3,0)),0,1))</f>
        <v/>
      </c>
      <c r="F947" s="36" t="str">
        <f ca="1">IF(Data!B937="","",IF(ISNUMBER(Data!F937),IF(AND(Data!F937&gt;(TODAY()-(Data_Val!$H$3*365.25)),Data!F937&lt;=(TODAY()-(Data_Val!$H$2*365.25))),0,1),1))</f>
        <v/>
      </c>
      <c r="G947" s="12" t="str">
        <f>IF(Data!B937="","",IF(AND(Data!G937="",Data!H937&lt;&gt;""),1,IF(ISNUMBER(MATCH(Data!G937,Data_Val!$C$2:$C$5,0)),0,1)))</f>
        <v/>
      </c>
      <c r="H947" s="12" t="str">
        <f>IF(Data!B937="","",IF(AND(Data!G937&lt;&gt;"",Data!H937=""),1,IF(Data!G937="",1,IF(ISNUMBER(MATCH(Data!H937,Data_Val!$D$2:$D$35,0)),0,1))))</f>
        <v/>
      </c>
      <c r="I947" s="38" t="str">
        <f>IF(Data!G937="","",IF(Data!G937=Data_Val!$C$2,IF(Data!I937="",0,1),0))</f>
        <v/>
      </c>
      <c r="J947" s="38" t="str">
        <f>IF(Data!I937="","",IF(ISNUMBER(MATCH(Data!J937,Data_Val!$A$2:$A$3,0)),0,1))</f>
        <v/>
      </c>
      <c r="K947" s="38" t="str">
        <f ca="1">IF(Data!I937="","",IF(ISNUMBER(Data!K937),IF(AND(Data!K937&gt;(TODAY()-(Data_Val!$K$3*365.25)),Data!K937&lt;=(TODAY()-(Data_Val!$K$2*365.25))),0,1),1))</f>
        <v/>
      </c>
      <c r="L947" s="16" t="str">
        <f>IF(Data!G937="","",IF(Data!G937=Data_Val!$C$2,IF(Data!L937="",0,1),0))</f>
        <v/>
      </c>
      <c r="M947" s="16" t="str">
        <f>IF(Data!L937="","",IF(ISNUMBER(MATCH(Data!M937,Data_Val!$A$2:$A$3,0)),0,1))</f>
        <v/>
      </c>
      <c r="N947" s="43" t="str">
        <f ca="1">IF(Data!L937="","",IF(ISNUMBER(Data!N937),IF(AND(Data!N937&gt;(TODAY()-(Data_Val!$L$3*365.25)),Data!N937&lt;=(TODAY()-(Data_Val!$L$2*365.25))),0,1),1))</f>
        <v/>
      </c>
      <c r="O947" s="18" t="str">
        <f>IF(Data!$G937="","",IF(Data!$G937=Data_Val!$C$2,IF(Data!O937="",0,1),0))</f>
        <v/>
      </c>
      <c r="P947" s="18" t="str">
        <f>IF(Data!O937="","",IF(ISNUMBER(MATCH(Data!P937,Data_Val!$A$2:$A$3,0)),0,1))</f>
        <v/>
      </c>
      <c r="Q947" s="44" t="str">
        <f ca="1">IF(Data!O937="","",IF(ISNUMBER(Data!Q937),IF(AND(Data!Q937&gt;(TODAY()-(Data_Val!$L$3*365.25)),Data!Q937&lt;=(TODAY()-(Data_Val!$L$2*365.25))),0,1),1))</f>
        <v/>
      </c>
    </row>
    <row r="948" spans="1:17" ht="12" customHeight="1" x14ac:dyDescent="0.25">
      <c r="A948" s="36" t="str">
        <f>IF(Data!B938="","",IF(COUNTIFS(Data!A$1:'Data'!A938,Data!A938)&lt;=1,0,1))</f>
        <v/>
      </c>
      <c r="B948" s="36"/>
      <c r="C948" s="36" t="str">
        <f>IF(Data!C938="","",(IF(ISNUMBER(MATCH("*@*.?*",Data!C938,0)),0,1)+IF(COUNTIFS(Data!C$1:'Data'!C938,Data!C938)&gt;1,1,0)))</f>
        <v/>
      </c>
      <c r="D948" s="36" t="str">
        <f>IF(Data!B938="","",IF(ISNUMBER(Data!D938),IF(AND(Data!D938&gt;999999999,Data!D938&lt;=9999999999),IF(COUNTIFS(Data!D$1:'Data'!D938,Data!D938)&lt;=1,0,1),1),1))</f>
        <v/>
      </c>
      <c r="E948" s="36" t="str">
        <f>IF(Data!B938="","",IF(ISNUMBER(MATCH(Data!E938,Data_Val!$A$2:$A$3,0)),0,1))</f>
        <v/>
      </c>
      <c r="F948" s="36" t="str">
        <f ca="1">IF(Data!B938="","",IF(ISNUMBER(Data!F938),IF(AND(Data!F938&gt;(TODAY()-(Data_Val!$H$3*365.25)),Data!F938&lt;=(TODAY()-(Data_Val!$H$2*365.25))),0,1),1))</f>
        <v/>
      </c>
      <c r="G948" s="12" t="str">
        <f>IF(Data!B938="","",IF(AND(Data!G938="",Data!H938&lt;&gt;""),1,IF(ISNUMBER(MATCH(Data!G938,Data_Val!$C$2:$C$5,0)),0,1)))</f>
        <v/>
      </c>
      <c r="H948" s="12" t="str">
        <f>IF(Data!B938="","",IF(AND(Data!G938&lt;&gt;"",Data!H938=""),1,IF(Data!G938="",1,IF(ISNUMBER(MATCH(Data!H938,Data_Val!$D$2:$D$35,0)),0,1))))</f>
        <v/>
      </c>
      <c r="I948" s="38" t="str">
        <f>IF(Data!G938="","",IF(Data!G938=Data_Val!$C$2,IF(Data!I938="",0,1),0))</f>
        <v/>
      </c>
      <c r="J948" s="38" t="str">
        <f>IF(Data!I938="","",IF(ISNUMBER(MATCH(Data!J938,Data_Val!$A$2:$A$3,0)),0,1))</f>
        <v/>
      </c>
      <c r="K948" s="38" t="str">
        <f ca="1">IF(Data!I938="","",IF(ISNUMBER(Data!K938),IF(AND(Data!K938&gt;(TODAY()-(Data_Val!$K$3*365.25)),Data!K938&lt;=(TODAY()-(Data_Val!$K$2*365.25))),0,1),1))</f>
        <v/>
      </c>
      <c r="L948" s="16" t="str">
        <f>IF(Data!G938="","",IF(Data!G938=Data_Val!$C$2,IF(Data!L938="",0,1),0))</f>
        <v/>
      </c>
      <c r="M948" s="16" t="str">
        <f>IF(Data!L938="","",IF(ISNUMBER(MATCH(Data!M938,Data_Val!$A$2:$A$3,0)),0,1))</f>
        <v/>
      </c>
      <c r="N948" s="43" t="str">
        <f ca="1">IF(Data!L938="","",IF(ISNUMBER(Data!N938),IF(AND(Data!N938&gt;(TODAY()-(Data_Val!$L$3*365.25)),Data!N938&lt;=(TODAY()-(Data_Val!$L$2*365.25))),0,1),1))</f>
        <v/>
      </c>
      <c r="O948" s="18" t="str">
        <f>IF(Data!$G938="","",IF(Data!$G938=Data_Val!$C$2,IF(Data!O938="",0,1),0))</f>
        <v/>
      </c>
      <c r="P948" s="18" t="str">
        <f>IF(Data!O938="","",IF(ISNUMBER(MATCH(Data!P938,Data_Val!$A$2:$A$3,0)),0,1))</f>
        <v/>
      </c>
      <c r="Q948" s="44" t="str">
        <f ca="1">IF(Data!O938="","",IF(ISNUMBER(Data!Q938),IF(AND(Data!Q938&gt;(TODAY()-(Data_Val!$L$3*365.25)),Data!Q938&lt;=(TODAY()-(Data_Val!$L$2*365.25))),0,1),1))</f>
        <v/>
      </c>
    </row>
    <row r="949" spans="1:17" ht="12" customHeight="1" x14ac:dyDescent="0.25">
      <c r="A949" s="36" t="str">
        <f>IF(Data!B939="","",IF(COUNTIFS(Data!A$1:'Data'!A939,Data!A939)&lt;=1,0,1))</f>
        <v/>
      </c>
      <c r="B949" s="36"/>
      <c r="C949" s="36" t="str">
        <f>IF(Data!C939="","",(IF(ISNUMBER(MATCH("*@*.?*",Data!C939,0)),0,1)+IF(COUNTIFS(Data!C$1:'Data'!C939,Data!C939)&gt;1,1,0)))</f>
        <v/>
      </c>
      <c r="D949" s="36" t="str">
        <f>IF(Data!B939="","",IF(ISNUMBER(Data!D939),IF(AND(Data!D939&gt;999999999,Data!D939&lt;=9999999999),IF(COUNTIFS(Data!D$1:'Data'!D939,Data!D939)&lt;=1,0,1),1),1))</f>
        <v/>
      </c>
      <c r="E949" s="36" t="str">
        <f>IF(Data!B939="","",IF(ISNUMBER(MATCH(Data!E939,Data_Val!$A$2:$A$3,0)),0,1))</f>
        <v/>
      </c>
      <c r="F949" s="36" t="str">
        <f ca="1">IF(Data!B939="","",IF(ISNUMBER(Data!F939),IF(AND(Data!F939&gt;(TODAY()-(Data_Val!$H$3*365.25)),Data!F939&lt;=(TODAY()-(Data_Val!$H$2*365.25))),0,1),1))</f>
        <v/>
      </c>
      <c r="G949" s="12" t="str">
        <f>IF(Data!B939="","",IF(AND(Data!G939="",Data!H939&lt;&gt;""),1,IF(ISNUMBER(MATCH(Data!G939,Data_Val!$C$2:$C$5,0)),0,1)))</f>
        <v/>
      </c>
      <c r="H949" s="12" t="str">
        <f>IF(Data!B939="","",IF(AND(Data!G939&lt;&gt;"",Data!H939=""),1,IF(Data!G939="",1,IF(ISNUMBER(MATCH(Data!H939,Data_Val!$D$2:$D$35,0)),0,1))))</f>
        <v/>
      </c>
      <c r="I949" s="38" t="str">
        <f>IF(Data!G939="","",IF(Data!G939=Data_Val!$C$2,IF(Data!I939="",0,1),0))</f>
        <v/>
      </c>
      <c r="J949" s="38" t="str">
        <f>IF(Data!I939="","",IF(ISNUMBER(MATCH(Data!J939,Data_Val!$A$2:$A$3,0)),0,1))</f>
        <v/>
      </c>
      <c r="K949" s="38" t="str">
        <f ca="1">IF(Data!I939="","",IF(ISNUMBER(Data!K939),IF(AND(Data!K939&gt;(TODAY()-(Data_Val!$K$3*365.25)),Data!K939&lt;=(TODAY()-(Data_Val!$K$2*365.25))),0,1),1))</f>
        <v/>
      </c>
      <c r="L949" s="16" t="str">
        <f>IF(Data!G939="","",IF(Data!G939=Data_Val!$C$2,IF(Data!L939="",0,1),0))</f>
        <v/>
      </c>
      <c r="M949" s="16" t="str">
        <f>IF(Data!L939="","",IF(ISNUMBER(MATCH(Data!M939,Data_Val!$A$2:$A$3,0)),0,1))</f>
        <v/>
      </c>
      <c r="N949" s="43" t="str">
        <f ca="1">IF(Data!L939="","",IF(ISNUMBER(Data!N939),IF(AND(Data!N939&gt;(TODAY()-(Data_Val!$L$3*365.25)),Data!N939&lt;=(TODAY()-(Data_Val!$L$2*365.25))),0,1),1))</f>
        <v/>
      </c>
      <c r="O949" s="18" t="str">
        <f>IF(Data!$G939="","",IF(Data!$G939=Data_Val!$C$2,IF(Data!O939="",0,1),0))</f>
        <v/>
      </c>
      <c r="P949" s="18" t="str">
        <f>IF(Data!O939="","",IF(ISNUMBER(MATCH(Data!P939,Data_Val!$A$2:$A$3,0)),0,1))</f>
        <v/>
      </c>
      <c r="Q949" s="44" t="str">
        <f ca="1">IF(Data!O939="","",IF(ISNUMBER(Data!Q939),IF(AND(Data!Q939&gt;(TODAY()-(Data_Val!$L$3*365.25)),Data!Q939&lt;=(TODAY()-(Data_Val!$L$2*365.25))),0,1),1))</f>
        <v/>
      </c>
    </row>
    <row r="950" spans="1:17" ht="12" customHeight="1" x14ac:dyDescent="0.25">
      <c r="A950" s="36" t="str">
        <f>IF(Data!B940="","",IF(COUNTIFS(Data!A$1:'Data'!A940,Data!A940)&lt;=1,0,1))</f>
        <v/>
      </c>
      <c r="B950" s="36"/>
      <c r="C950" s="36" t="str">
        <f>IF(Data!C940="","",(IF(ISNUMBER(MATCH("*@*.?*",Data!C940,0)),0,1)+IF(COUNTIFS(Data!C$1:'Data'!C940,Data!C940)&gt;1,1,0)))</f>
        <v/>
      </c>
      <c r="D950" s="36" t="str">
        <f>IF(Data!B940="","",IF(ISNUMBER(Data!D940),IF(AND(Data!D940&gt;999999999,Data!D940&lt;=9999999999),IF(COUNTIFS(Data!D$1:'Data'!D940,Data!D940)&lt;=1,0,1),1),1))</f>
        <v/>
      </c>
      <c r="E950" s="36" t="str">
        <f>IF(Data!B940="","",IF(ISNUMBER(MATCH(Data!E940,Data_Val!$A$2:$A$3,0)),0,1))</f>
        <v/>
      </c>
      <c r="F950" s="36" t="str">
        <f ca="1">IF(Data!B940="","",IF(ISNUMBER(Data!F940),IF(AND(Data!F940&gt;(TODAY()-(Data_Val!$H$3*365.25)),Data!F940&lt;=(TODAY()-(Data_Val!$H$2*365.25))),0,1),1))</f>
        <v/>
      </c>
      <c r="G950" s="12" t="str">
        <f>IF(Data!B940="","",IF(AND(Data!G940="",Data!H940&lt;&gt;""),1,IF(ISNUMBER(MATCH(Data!G940,Data_Val!$C$2:$C$5,0)),0,1)))</f>
        <v/>
      </c>
      <c r="H950" s="12" t="str">
        <f>IF(Data!B940="","",IF(AND(Data!G940&lt;&gt;"",Data!H940=""),1,IF(Data!G940="",1,IF(ISNUMBER(MATCH(Data!H940,Data_Val!$D$2:$D$35,0)),0,1))))</f>
        <v/>
      </c>
      <c r="I950" s="38" t="str">
        <f>IF(Data!G940="","",IF(Data!G940=Data_Val!$C$2,IF(Data!I940="",0,1),0))</f>
        <v/>
      </c>
      <c r="J950" s="38" t="str">
        <f>IF(Data!I940="","",IF(ISNUMBER(MATCH(Data!J940,Data_Val!$A$2:$A$3,0)),0,1))</f>
        <v/>
      </c>
      <c r="K950" s="38" t="str">
        <f ca="1">IF(Data!I940="","",IF(ISNUMBER(Data!K940),IF(AND(Data!K940&gt;(TODAY()-(Data_Val!$K$3*365.25)),Data!K940&lt;=(TODAY()-(Data_Val!$K$2*365.25))),0,1),1))</f>
        <v/>
      </c>
      <c r="L950" s="16" t="str">
        <f>IF(Data!G940="","",IF(Data!G940=Data_Val!$C$2,IF(Data!L940="",0,1),0))</f>
        <v/>
      </c>
      <c r="M950" s="16" t="str">
        <f>IF(Data!L940="","",IF(ISNUMBER(MATCH(Data!M940,Data_Val!$A$2:$A$3,0)),0,1))</f>
        <v/>
      </c>
      <c r="N950" s="43" t="str">
        <f ca="1">IF(Data!L940="","",IF(ISNUMBER(Data!N940),IF(AND(Data!N940&gt;(TODAY()-(Data_Val!$L$3*365.25)),Data!N940&lt;=(TODAY()-(Data_Val!$L$2*365.25))),0,1),1))</f>
        <v/>
      </c>
      <c r="O950" s="18" t="str">
        <f>IF(Data!$G940="","",IF(Data!$G940=Data_Val!$C$2,IF(Data!O940="",0,1),0))</f>
        <v/>
      </c>
      <c r="P950" s="18" t="str">
        <f>IF(Data!O940="","",IF(ISNUMBER(MATCH(Data!P940,Data_Val!$A$2:$A$3,0)),0,1))</f>
        <v/>
      </c>
      <c r="Q950" s="44" t="str">
        <f ca="1">IF(Data!O940="","",IF(ISNUMBER(Data!Q940),IF(AND(Data!Q940&gt;(TODAY()-(Data_Val!$L$3*365.25)),Data!Q940&lt;=(TODAY()-(Data_Val!$L$2*365.25))),0,1),1))</f>
        <v/>
      </c>
    </row>
    <row r="951" spans="1:17" ht="12" customHeight="1" x14ac:dyDescent="0.25">
      <c r="A951" s="36" t="str">
        <f>IF(Data!B941="","",IF(COUNTIFS(Data!A$1:'Data'!A941,Data!A941)&lt;=1,0,1))</f>
        <v/>
      </c>
      <c r="B951" s="36"/>
      <c r="C951" s="36" t="str">
        <f>IF(Data!C941="","",(IF(ISNUMBER(MATCH("*@*.?*",Data!C941,0)),0,1)+IF(COUNTIFS(Data!C$1:'Data'!C941,Data!C941)&gt;1,1,0)))</f>
        <v/>
      </c>
      <c r="D951" s="36" t="str">
        <f>IF(Data!B941="","",IF(ISNUMBER(Data!D941),IF(AND(Data!D941&gt;999999999,Data!D941&lt;=9999999999),IF(COUNTIFS(Data!D$1:'Data'!D941,Data!D941)&lt;=1,0,1),1),1))</f>
        <v/>
      </c>
      <c r="E951" s="36" t="str">
        <f>IF(Data!B941="","",IF(ISNUMBER(MATCH(Data!E941,Data_Val!$A$2:$A$3,0)),0,1))</f>
        <v/>
      </c>
      <c r="F951" s="36" t="str">
        <f ca="1">IF(Data!B941="","",IF(ISNUMBER(Data!F941),IF(AND(Data!F941&gt;(TODAY()-(Data_Val!$H$3*365.25)),Data!F941&lt;=(TODAY()-(Data_Val!$H$2*365.25))),0,1),1))</f>
        <v/>
      </c>
      <c r="G951" s="12" t="str">
        <f>IF(Data!B941="","",IF(AND(Data!G941="",Data!H941&lt;&gt;""),1,IF(ISNUMBER(MATCH(Data!G941,Data_Val!$C$2:$C$5,0)),0,1)))</f>
        <v/>
      </c>
      <c r="H951" s="12" t="str">
        <f>IF(Data!B941="","",IF(AND(Data!G941&lt;&gt;"",Data!H941=""),1,IF(Data!G941="",1,IF(ISNUMBER(MATCH(Data!H941,Data_Val!$D$2:$D$35,0)),0,1))))</f>
        <v/>
      </c>
      <c r="I951" s="38" t="str">
        <f>IF(Data!G941="","",IF(Data!G941=Data_Val!$C$2,IF(Data!I941="",0,1),0))</f>
        <v/>
      </c>
      <c r="J951" s="38" t="str">
        <f>IF(Data!I941="","",IF(ISNUMBER(MATCH(Data!J941,Data_Val!$A$2:$A$3,0)),0,1))</f>
        <v/>
      </c>
      <c r="K951" s="38" t="str">
        <f ca="1">IF(Data!I941="","",IF(ISNUMBER(Data!K941),IF(AND(Data!K941&gt;(TODAY()-(Data_Val!$K$3*365.25)),Data!K941&lt;=(TODAY()-(Data_Val!$K$2*365.25))),0,1),1))</f>
        <v/>
      </c>
      <c r="L951" s="16" t="str">
        <f>IF(Data!G941="","",IF(Data!G941=Data_Val!$C$2,IF(Data!L941="",0,1),0))</f>
        <v/>
      </c>
      <c r="M951" s="16" t="str">
        <f>IF(Data!L941="","",IF(ISNUMBER(MATCH(Data!M941,Data_Val!$A$2:$A$3,0)),0,1))</f>
        <v/>
      </c>
      <c r="N951" s="43" t="str">
        <f ca="1">IF(Data!L941="","",IF(ISNUMBER(Data!N941),IF(AND(Data!N941&gt;(TODAY()-(Data_Val!$L$3*365.25)),Data!N941&lt;=(TODAY()-(Data_Val!$L$2*365.25))),0,1),1))</f>
        <v/>
      </c>
      <c r="O951" s="18" t="str">
        <f>IF(Data!$G941="","",IF(Data!$G941=Data_Val!$C$2,IF(Data!O941="",0,1),0))</f>
        <v/>
      </c>
      <c r="P951" s="18" t="str">
        <f>IF(Data!O941="","",IF(ISNUMBER(MATCH(Data!P941,Data_Val!$A$2:$A$3,0)),0,1))</f>
        <v/>
      </c>
      <c r="Q951" s="44" t="str">
        <f ca="1">IF(Data!O941="","",IF(ISNUMBER(Data!Q941),IF(AND(Data!Q941&gt;(TODAY()-(Data_Val!$L$3*365.25)),Data!Q941&lt;=(TODAY()-(Data_Val!$L$2*365.25))),0,1),1))</f>
        <v/>
      </c>
    </row>
    <row r="952" spans="1:17" ht="12" customHeight="1" x14ac:dyDescent="0.25">
      <c r="A952" s="36" t="str">
        <f>IF(Data!B942="","",IF(COUNTIFS(Data!A$1:'Data'!A942,Data!A942)&lt;=1,0,1))</f>
        <v/>
      </c>
      <c r="B952" s="36"/>
      <c r="C952" s="36" t="str">
        <f>IF(Data!C942="","",(IF(ISNUMBER(MATCH("*@*.?*",Data!C942,0)),0,1)+IF(COUNTIFS(Data!C$1:'Data'!C942,Data!C942)&gt;1,1,0)))</f>
        <v/>
      </c>
      <c r="D952" s="36" t="str">
        <f>IF(Data!B942="","",IF(ISNUMBER(Data!D942),IF(AND(Data!D942&gt;999999999,Data!D942&lt;=9999999999),IF(COUNTIFS(Data!D$1:'Data'!D942,Data!D942)&lt;=1,0,1),1),1))</f>
        <v/>
      </c>
      <c r="E952" s="36" t="str">
        <f>IF(Data!B942="","",IF(ISNUMBER(MATCH(Data!E942,Data_Val!$A$2:$A$3,0)),0,1))</f>
        <v/>
      </c>
      <c r="F952" s="36" t="str">
        <f ca="1">IF(Data!B942="","",IF(ISNUMBER(Data!F942),IF(AND(Data!F942&gt;(TODAY()-(Data_Val!$H$3*365.25)),Data!F942&lt;=(TODAY()-(Data_Val!$H$2*365.25))),0,1),1))</f>
        <v/>
      </c>
      <c r="G952" s="12" t="str">
        <f>IF(Data!B942="","",IF(AND(Data!G942="",Data!H942&lt;&gt;""),1,IF(ISNUMBER(MATCH(Data!G942,Data_Val!$C$2:$C$5,0)),0,1)))</f>
        <v/>
      </c>
      <c r="H952" s="12" t="str">
        <f>IF(Data!B942="","",IF(AND(Data!G942&lt;&gt;"",Data!H942=""),1,IF(Data!G942="",1,IF(ISNUMBER(MATCH(Data!H942,Data_Val!$D$2:$D$35,0)),0,1))))</f>
        <v/>
      </c>
      <c r="I952" s="38" t="str">
        <f>IF(Data!G942="","",IF(Data!G942=Data_Val!$C$2,IF(Data!I942="",0,1),0))</f>
        <v/>
      </c>
      <c r="J952" s="38" t="str">
        <f>IF(Data!I942="","",IF(ISNUMBER(MATCH(Data!J942,Data_Val!$A$2:$A$3,0)),0,1))</f>
        <v/>
      </c>
      <c r="K952" s="38" t="str">
        <f ca="1">IF(Data!I942="","",IF(ISNUMBER(Data!K942),IF(AND(Data!K942&gt;(TODAY()-(Data_Val!$K$3*365.25)),Data!K942&lt;=(TODAY()-(Data_Val!$K$2*365.25))),0,1),1))</f>
        <v/>
      </c>
      <c r="L952" s="16" t="str">
        <f>IF(Data!G942="","",IF(Data!G942=Data_Val!$C$2,IF(Data!L942="",0,1),0))</f>
        <v/>
      </c>
      <c r="M952" s="16" t="str">
        <f>IF(Data!L942="","",IF(ISNUMBER(MATCH(Data!M942,Data_Val!$A$2:$A$3,0)),0,1))</f>
        <v/>
      </c>
      <c r="N952" s="43" t="str">
        <f ca="1">IF(Data!L942="","",IF(ISNUMBER(Data!N942),IF(AND(Data!N942&gt;(TODAY()-(Data_Val!$L$3*365.25)),Data!N942&lt;=(TODAY()-(Data_Val!$L$2*365.25))),0,1),1))</f>
        <v/>
      </c>
      <c r="O952" s="18" t="str">
        <f>IF(Data!$G942="","",IF(Data!$G942=Data_Val!$C$2,IF(Data!O942="",0,1),0))</f>
        <v/>
      </c>
      <c r="P952" s="18" t="str">
        <f>IF(Data!O942="","",IF(ISNUMBER(MATCH(Data!P942,Data_Val!$A$2:$A$3,0)),0,1))</f>
        <v/>
      </c>
      <c r="Q952" s="44" t="str">
        <f ca="1">IF(Data!O942="","",IF(ISNUMBER(Data!Q942),IF(AND(Data!Q942&gt;(TODAY()-(Data_Val!$L$3*365.25)),Data!Q942&lt;=(TODAY()-(Data_Val!$L$2*365.25))),0,1),1))</f>
        <v/>
      </c>
    </row>
    <row r="953" spans="1:17" ht="12" customHeight="1" x14ac:dyDescent="0.25">
      <c r="A953" s="36" t="str">
        <f>IF(Data!B943="","",IF(COUNTIFS(Data!A$1:'Data'!A943,Data!A943)&lt;=1,0,1))</f>
        <v/>
      </c>
      <c r="B953" s="36"/>
      <c r="C953" s="36" t="str">
        <f>IF(Data!C943="","",(IF(ISNUMBER(MATCH("*@*.?*",Data!C943,0)),0,1)+IF(COUNTIFS(Data!C$1:'Data'!C943,Data!C943)&gt;1,1,0)))</f>
        <v/>
      </c>
      <c r="D953" s="36" t="str">
        <f>IF(Data!B943="","",IF(ISNUMBER(Data!D943),IF(AND(Data!D943&gt;999999999,Data!D943&lt;=9999999999),IF(COUNTIFS(Data!D$1:'Data'!D943,Data!D943)&lt;=1,0,1),1),1))</f>
        <v/>
      </c>
      <c r="E953" s="36" t="str">
        <f>IF(Data!B943="","",IF(ISNUMBER(MATCH(Data!E943,Data_Val!$A$2:$A$3,0)),0,1))</f>
        <v/>
      </c>
      <c r="F953" s="36" t="str">
        <f ca="1">IF(Data!B943="","",IF(ISNUMBER(Data!F943),IF(AND(Data!F943&gt;(TODAY()-(Data_Val!$H$3*365.25)),Data!F943&lt;=(TODAY()-(Data_Val!$H$2*365.25))),0,1),1))</f>
        <v/>
      </c>
      <c r="G953" s="12" t="str">
        <f>IF(Data!B943="","",IF(AND(Data!G943="",Data!H943&lt;&gt;""),1,IF(ISNUMBER(MATCH(Data!G943,Data_Val!$C$2:$C$5,0)),0,1)))</f>
        <v/>
      </c>
      <c r="H953" s="12" t="str">
        <f>IF(Data!B943="","",IF(AND(Data!G943&lt;&gt;"",Data!H943=""),1,IF(Data!G943="",1,IF(ISNUMBER(MATCH(Data!H943,Data_Val!$D$2:$D$35,0)),0,1))))</f>
        <v/>
      </c>
      <c r="I953" s="38" t="str">
        <f>IF(Data!G943="","",IF(Data!G943=Data_Val!$C$2,IF(Data!I943="",0,1),0))</f>
        <v/>
      </c>
      <c r="J953" s="38" t="str">
        <f>IF(Data!I943="","",IF(ISNUMBER(MATCH(Data!J943,Data_Val!$A$2:$A$3,0)),0,1))</f>
        <v/>
      </c>
      <c r="K953" s="38" t="str">
        <f ca="1">IF(Data!I943="","",IF(ISNUMBER(Data!K943),IF(AND(Data!K943&gt;(TODAY()-(Data_Val!$K$3*365.25)),Data!K943&lt;=(TODAY()-(Data_Val!$K$2*365.25))),0,1),1))</f>
        <v/>
      </c>
      <c r="L953" s="16" t="str">
        <f>IF(Data!G943="","",IF(Data!G943=Data_Val!$C$2,IF(Data!L943="",0,1),0))</f>
        <v/>
      </c>
      <c r="M953" s="16" t="str">
        <f>IF(Data!L943="","",IF(ISNUMBER(MATCH(Data!M943,Data_Val!$A$2:$A$3,0)),0,1))</f>
        <v/>
      </c>
      <c r="N953" s="43" t="str">
        <f ca="1">IF(Data!L943="","",IF(ISNUMBER(Data!N943),IF(AND(Data!N943&gt;(TODAY()-(Data_Val!$L$3*365.25)),Data!N943&lt;=(TODAY()-(Data_Val!$L$2*365.25))),0,1),1))</f>
        <v/>
      </c>
      <c r="O953" s="18" t="str">
        <f>IF(Data!$G943="","",IF(Data!$G943=Data_Val!$C$2,IF(Data!O943="",0,1),0))</f>
        <v/>
      </c>
      <c r="P953" s="18" t="str">
        <f>IF(Data!O943="","",IF(ISNUMBER(MATCH(Data!P943,Data_Val!$A$2:$A$3,0)),0,1))</f>
        <v/>
      </c>
      <c r="Q953" s="44" t="str">
        <f ca="1">IF(Data!O943="","",IF(ISNUMBER(Data!Q943),IF(AND(Data!Q943&gt;(TODAY()-(Data_Val!$L$3*365.25)),Data!Q943&lt;=(TODAY()-(Data_Val!$L$2*365.25))),0,1),1))</f>
        <v/>
      </c>
    </row>
    <row r="954" spans="1:17" ht="12" customHeight="1" x14ac:dyDescent="0.25">
      <c r="A954" s="36" t="str">
        <f>IF(Data!B944="","",IF(COUNTIFS(Data!A$1:'Data'!A944,Data!A944)&lt;=1,0,1))</f>
        <v/>
      </c>
      <c r="B954" s="36"/>
      <c r="C954" s="36" t="str">
        <f>IF(Data!C944="","",(IF(ISNUMBER(MATCH("*@*.?*",Data!C944,0)),0,1)+IF(COUNTIFS(Data!C$1:'Data'!C944,Data!C944)&gt;1,1,0)))</f>
        <v/>
      </c>
      <c r="D954" s="36" t="str">
        <f>IF(Data!B944="","",IF(ISNUMBER(Data!D944),IF(AND(Data!D944&gt;999999999,Data!D944&lt;=9999999999),IF(COUNTIFS(Data!D$1:'Data'!D944,Data!D944)&lt;=1,0,1),1),1))</f>
        <v/>
      </c>
      <c r="E954" s="36" t="str">
        <f>IF(Data!B944="","",IF(ISNUMBER(MATCH(Data!E944,Data_Val!$A$2:$A$3,0)),0,1))</f>
        <v/>
      </c>
      <c r="F954" s="36" t="str">
        <f ca="1">IF(Data!B944="","",IF(ISNUMBER(Data!F944),IF(AND(Data!F944&gt;(TODAY()-(Data_Val!$H$3*365.25)),Data!F944&lt;=(TODAY()-(Data_Val!$H$2*365.25))),0,1),1))</f>
        <v/>
      </c>
      <c r="G954" s="12" t="str">
        <f>IF(Data!B944="","",IF(AND(Data!G944="",Data!H944&lt;&gt;""),1,IF(ISNUMBER(MATCH(Data!G944,Data_Val!$C$2:$C$5,0)),0,1)))</f>
        <v/>
      </c>
      <c r="H954" s="12" t="str">
        <f>IF(Data!B944="","",IF(AND(Data!G944&lt;&gt;"",Data!H944=""),1,IF(Data!G944="",1,IF(ISNUMBER(MATCH(Data!H944,Data_Val!$D$2:$D$35,0)),0,1))))</f>
        <v/>
      </c>
      <c r="I954" s="38" t="str">
        <f>IF(Data!G944="","",IF(Data!G944=Data_Val!$C$2,IF(Data!I944="",0,1),0))</f>
        <v/>
      </c>
      <c r="J954" s="38" t="str">
        <f>IF(Data!I944="","",IF(ISNUMBER(MATCH(Data!J944,Data_Val!$A$2:$A$3,0)),0,1))</f>
        <v/>
      </c>
      <c r="K954" s="38" t="str">
        <f ca="1">IF(Data!I944="","",IF(ISNUMBER(Data!K944),IF(AND(Data!K944&gt;(TODAY()-(Data_Val!$K$3*365.25)),Data!K944&lt;=(TODAY()-(Data_Val!$K$2*365.25))),0,1),1))</f>
        <v/>
      </c>
      <c r="L954" s="16" t="str">
        <f>IF(Data!G944="","",IF(Data!G944=Data_Val!$C$2,IF(Data!L944="",0,1),0))</f>
        <v/>
      </c>
      <c r="M954" s="16" t="str">
        <f>IF(Data!L944="","",IF(ISNUMBER(MATCH(Data!M944,Data_Val!$A$2:$A$3,0)),0,1))</f>
        <v/>
      </c>
      <c r="N954" s="43" t="str">
        <f ca="1">IF(Data!L944="","",IF(ISNUMBER(Data!N944),IF(AND(Data!N944&gt;(TODAY()-(Data_Val!$L$3*365.25)),Data!N944&lt;=(TODAY()-(Data_Val!$L$2*365.25))),0,1),1))</f>
        <v/>
      </c>
      <c r="O954" s="18" t="str">
        <f>IF(Data!$G944="","",IF(Data!$G944=Data_Val!$C$2,IF(Data!O944="",0,1),0))</f>
        <v/>
      </c>
      <c r="P954" s="18" t="str">
        <f>IF(Data!O944="","",IF(ISNUMBER(MATCH(Data!P944,Data_Val!$A$2:$A$3,0)),0,1))</f>
        <v/>
      </c>
      <c r="Q954" s="44" t="str">
        <f ca="1">IF(Data!O944="","",IF(ISNUMBER(Data!Q944),IF(AND(Data!Q944&gt;(TODAY()-(Data_Val!$L$3*365.25)),Data!Q944&lt;=(TODAY()-(Data_Val!$L$2*365.25))),0,1),1))</f>
        <v/>
      </c>
    </row>
    <row r="955" spans="1:17" ht="12" customHeight="1" x14ac:dyDescent="0.25">
      <c r="A955" s="36" t="str">
        <f>IF(Data!B945="","",IF(COUNTIFS(Data!A$1:'Data'!A945,Data!A945)&lt;=1,0,1))</f>
        <v/>
      </c>
      <c r="B955" s="36"/>
      <c r="C955" s="36" t="str">
        <f>IF(Data!C945="","",(IF(ISNUMBER(MATCH("*@*.?*",Data!C945,0)),0,1)+IF(COUNTIFS(Data!C$1:'Data'!C945,Data!C945)&gt;1,1,0)))</f>
        <v/>
      </c>
      <c r="D955" s="36" t="str">
        <f>IF(Data!B945="","",IF(ISNUMBER(Data!D945),IF(AND(Data!D945&gt;999999999,Data!D945&lt;=9999999999),IF(COUNTIFS(Data!D$1:'Data'!D945,Data!D945)&lt;=1,0,1),1),1))</f>
        <v/>
      </c>
      <c r="E955" s="36" t="str">
        <f>IF(Data!B945="","",IF(ISNUMBER(MATCH(Data!E945,Data_Val!$A$2:$A$3,0)),0,1))</f>
        <v/>
      </c>
      <c r="F955" s="36" t="str">
        <f ca="1">IF(Data!B945="","",IF(ISNUMBER(Data!F945),IF(AND(Data!F945&gt;(TODAY()-(Data_Val!$H$3*365.25)),Data!F945&lt;=(TODAY()-(Data_Val!$H$2*365.25))),0,1),1))</f>
        <v/>
      </c>
      <c r="G955" s="12" t="str">
        <f>IF(Data!B945="","",IF(AND(Data!G945="",Data!H945&lt;&gt;""),1,IF(ISNUMBER(MATCH(Data!G945,Data_Val!$C$2:$C$5,0)),0,1)))</f>
        <v/>
      </c>
      <c r="H955" s="12" t="str">
        <f>IF(Data!B945="","",IF(AND(Data!G945&lt;&gt;"",Data!H945=""),1,IF(Data!G945="",1,IF(ISNUMBER(MATCH(Data!H945,Data_Val!$D$2:$D$35,0)),0,1))))</f>
        <v/>
      </c>
      <c r="I955" s="38" t="str">
        <f>IF(Data!G945="","",IF(Data!G945=Data_Val!$C$2,IF(Data!I945="",0,1),0))</f>
        <v/>
      </c>
      <c r="J955" s="38" t="str">
        <f>IF(Data!I945="","",IF(ISNUMBER(MATCH(Data!J945,Data_Val!$A$2:$A$3,0)),0,1))</f>
        <v/>
      </c>
      <c r="K955" s="38" t="str">
        <f ca="1">IF(Data!I945="","",IF(ISNUMBER(Data!K945),IF(AND(Data!K945&gt;(TODAY()-(Data_Val!$K$3*365.25)),Data!K945&lt;=(TODAY()-(Data_Val!$K$2*365.25))),0,1),1))</f>
        <v/>
      </c>
      <c r="L955" s="16" t="str">
        <f>IF(Data!G945="","",IF(Data!G945=Data_Val!$C$2,IF(Data!L945="",0,1),0))</f>
        <v/>
      </c>
      <c r="M955" s="16" t="str">
        <f>IF(Data!L945="","",IF(ISNUMBER(MATCH(Data!M945,Data_Val!$A$2:$A$3,0)),0,1))</f>
        <v/>
      </c>
      <c r="N955" s="43" t="str">
        <f ca="1">IF(Data!L945="","",IF(ISNUMBER(Data!N945),IF(AND(Data!N945&gt;(TODAY()-(Data_Val!$L$3*365.25)),Data!N945&lt;=(TODAY()-(Data_Val!$L$2*365.25))),0,1),1))</f>
        <v/>
      </c>
      <c r="O955" s="18" t="str">
        <f>IF(Data!$G945="","",IF(Data!$G945=Data_Val!$C$2,IF(Data!O945="",0,1),0))</f>
        <v/>
      </c>
      <c r="P955" s="18" t="str">
        <f>IF(Data!O945="","",IF(ISNUMBER(MATCH(Data!P945,Data_Val!$A$2:$A$3,0)),0,1))</f>
        <v/>
      </c>
      <c r="Q955" s="44" t="str">
        <f ca="1">IF(Data!O945="","",IF(ISNUMBER(Data!Q945),IF(AND(Data!Q945&gt;(TODAY()-(Data_Val!$L$3*365.25)),Data!Q945&lt;=(TODAY()-(Data_Val!$L$2*365.25))),0,1),1))</f>
        <v/>
      </c>
    </row>
    <row r="956" spans="1:17" ht="12" customHeight="1" x14ac:dyDescent="0.25">
      <c r="A956" s="36" t="str">
        <f>IF(Data!B946="","",IF(COUNTIFS(Data!A$1:'Data'!A946,Data!A946)&lt;=1,0,1))</f>
        <v/>
      </c>
      <c r="B956" s="36"/>
      <c r="C956" s="36" t="str">
        <f>IF(Data!C946="","",(IF(ISNUMBER(MATCH("*@*.?*",Data!C946,0)),0,1)+IF(COUNTIFS(Data!C$1:'Data'!C946,Data!C946)&gt;1,1,0)))</f>
        <v/>
      </c>
      <c r="D956" s="36" t="str">
        <f>IF(Data!B946="","",IF(ISNUMBER(Data!D946),IF(AND(Data!D946&gt;999999999,Data!D946&lt;=9999999999),IF(COUNTIFS(Data!D$1:'Data'!D946,Data!D946)&lt;=1,0,1),1),1))</f>
        <v/>
      </c>
      <c r="E956" s="36" t="str">
        <f>IF(Data!B946="","",IF(ISNUMBER(MATCH(Data!E946,Data_Val!$A$2:$A$3,0)),0,1))</f>
        <v/>
      </c>
      <c r="F956" s="36" t="str">
        <f ca="1">IF(Data!B946="","",IF(ISNUMBER(Data!F946),IF(AND(Data!F946&gt;(TODAY()-(Data_Val!$H$3*365.25)),Data!F946&lt;=(TODAY()-(Data_Val!$H$2*365.25))),0,1),1))</f>
        <v/>
      </c>
      <c r="G956" s="12" t="str">
        <f>IF(Data!B946="","",IF(AND(Data!G946="",Data!H946&lt;&gt;""),1,IF(ISNUMBER(MATCH(Data!G946,Data_Val!$C$2:$C$5,0)),0,1)))</f>
        <v/>
      </c>
      <c r="H956" s="12" t="str">
        <f>IF(Data!B946="","",IF(AND(Data!G946&lt;&gt;"",Data!H946=""),1,IF(Data!G946="",1,IF(ISNUMBER(MATCH(Data!H946,Data_Val!$D$2:$D$35,0)),0,1))))</f>
        <v/>
      </c>
      <c r="I956" s="38" t="str">
        <f>IF(Data!G946="","",IF(Data!G946=Data_Val!$C$2,IF(Data!I946="",0,1),0))</f>
        <v/>
      </c>
      <c r="J956" s="38" t="str">
        <f>IF(Data!I946="","",IF(ISNUMBER(MATCH(Data!J946,Data_Val!$A$2:$A$3,0)),0,1))</f>
        <v/>
      </c>
      <c r="K956" s="38" t="str">
        <f ca="1">IF(Data!I946="","",IF(ISNUMBER(Data!K946),IF(AND(Data!K946&gt;(TODAY()-(Data_Val!$K$3*365.25)),Data!K946&lt;=(TODAY()-(Data_Val!$K$2*365.25))),0,1),1))</f>
        <v/>
      </c>
      <c r="L956" s="16" t="str">
        <f>IF(Data!G946="","",IF(Data!G946=Data_Val!$C$2,IF(Data!L946="",0,1),0))</f>
        <v/>
      </c>
      <c r="M956" s="16" t="str">
        <f>IF(Data!L946="","",IF(ISNUMBER(MATCH(Data!M946,Data_Val!$A$2:$A$3,0)),0,1))</f>
        <v/>
      </c>
      <c r="N956" s="43" t="str">
        <f ca="1">IF(Data!L946="","",IF(ISNUMBER(Data!N946),IF(AND(Data!N946&gt;(TODAY()-(Data_Val!$L$3*365.25)),Data!N946&lt;=(TODAY()-(Data_Val!$L$2*365.25))),0,1),1))</f>
        <v/>
      </c>
      <c r="O956" s="18" t="str">
        <f>IF(Data!$G946="","",IF(Data!$G946=Data_Val!$C$2,IF(Data!O946="",0,1),0))</f>
        <v/>
      </c>
      <c r="P956" s="18" t="str">
        <f>IF(Data!O946="","",IF(ISNUMBER(MATCH(Data!P946,Data_Val!$A$2:$A$3,0)),0,1))</f>
        <v/>
      </c>
      <c r="Q956" s="44" t="str">
        <f ca="1">IF(Data!O946="","",IF(ISNUMBER(Data!Q946),IF(AND(Data!Q946&gt;(TODAY()-(Data_Val!$L$3*365.25)),Data!Q946&lt;=(TODAY()-(Data_Val!$L$2*365.25))),0,1),1))</f>
        <v/>
      </c>
    </row>
    <row r="957" spans="1:17" ht="12" customHeight="1" x14ac:dyDescent="0.25">
      <c r="A957" s="36" t="str">
        <f>IF(Data!B947="","",IF(COUNTIFS(Data!A$1:'Data'!A947,Data!A947)&lt;=1,0,1))</f>
        <v/>
      </c>
      <c r="B957" s="36"/>
      <c r="C957" s="36" t="str">
        <f>IF(Data!C947="","",(IF(ISNUMBER(MATCH("*@*.?*",Data!C947,0)),0,1)+IF(COUNTIFS(Data!C$1:'Data'!C947,Data!C947)&gt;1,1,0)))</f>
        <v/>
      </c>
      <c r="D957" s="36" t="str">
        <f>IF(Data!B947="","",IF(ISNUMBER(Data!D947),IF(AND(Data!D947&gt;999999999,Data!D947&lt;=9999999999),IF(COUNTIFS(Data!D$1:'Data'!D947,Data!D947)&lt;=1,0,1),1),1))</f>
        <v/>
      </c>
      <c r="E957" s="36" t="str">
        <f>IF(Data!B947="","",IF(ISNUMBER(MATCH(Data!E947,Data_Val!$A$2:$A$3,0)),0,1))</f>
        <v/>
      </c>
      <c r="F957" s="36" t="str">
        <f ca="1">IF(Data!B947="","",IF(ISNUMBER(Data!F947),IF(AND(Data!F947&gt;(TODAY()-(Data_Val!$H$3*365.25)),Data!F947&lt;=(TODAY()-(Data_Val!$H$2*365.25))),0,1),1))</f>
        <v/>
      </c>
      <c r="G957" s="12" t="str">
        <f>IF(Data!B947="","",IF(AND(Data!G947="",Data!H947&lt;&gt;""),1,IF(ISNUMBER(MATCH(Data!G947,Data_Val!$C$2:$C$5,0)),0,1)))</f>
        <v/>
      </c>
      <c r="H957" s="12" t="str">
        <f>IF(Data!B947="","",IF(AND(Data!G947&lt;&gt;"",Data!H947=""),1,IF(Data!G947="",1,IF(ISNUMBER(MATCH(Data!H947,Data_Val!$D$2:$D$35,0)),0,1))))</f>
        <v/>
      </c>
      <c r="I957" s="38" t="str">
        <f>IF(Data!G947="","",IF(Data!G947=Data_Val!$C$2,IF(Data!I947="",0,1),0))</f>
        <v/>
      </c>
      <c r="J957" s="38" t="str">
        <f>IF(Data!I947="","",IF(ISNUMBER(MATCH(Data!J947,Data_Val!$A$2:$A$3,0)),0,1))</f>
        <v/>
      </c>
      <c r="K957" s="38" t="str">
        <f ca="1">IF(Data!I947="","",IF(ISNUMBER(Data!K947),IF(AND(Data!K947&gt;(TODAY()-(Data_Val!$K$3*365.25)),Data!K947&lt;=(TODAY()-(Data_Val!$K$2*365.25))),0,1),1))</f>
        <v/>
      </c>
      <c r="L957" s="16" t="str">
        <f>IF(Data!G947="","",IF(Data!G947=Data_Val!$C$2,IF(Data!L947="",0,1),0))</f>
        <v/>
      </c>
      <c r="M957" s="16" t="str">
        <f>IF(Data!L947="","",IF(ISNUMBER(MATCH(Data!M947,Data_Val!$A$2:$A$3,0)),0,1))</f>
        <v/>
      </c>
      <c r="N957" s="43" t="str">
        <f ca="1">IF(Data!L947="","",IF(ISNUMBER(Data!N947),IF(AND(Data!N947&gt;(TODAY()-(Data_Val!$L$3*365.25)),Data!N947&lt;=(TODAY()-(Data_Val!$L$2*365.25))),0,1),1))</f>
        <v/>
      </c>
      <c r="O957" s="18" t="str">
        <f>IF(Data!$G947="","",IF(Data!$G947=Data_Val!$C$2,IF(Data!O947="",0,1),0))</f>
        <v/>
      </c>
      <c r="P957" s="18" t="str">
        <f>IF(Data!O947="","",IF(ISNUMBER(MATCH(Data!P947,Data_Val!$A$2:$A$3,0)),0,1))</f>
        <v/>
      </c>
      <c r="Q957" s="44" t="str">
        <f ca="1">IF(Data!O947="","",IF(ISNUMBER(Data!Q947),IF(AND(Data!Q947&gt;(TODAY()-(Data_Val!$L$3*365.25)),Data!Q947&lt;=(TODAY()-(Data_Val!$L$2*365.25))),0,1),1))</f>
        <v/>
      </c>
    </row>
    <row r="958" spans="1:17" ht="12" customHeight="1" x14ac:dyDescent="0.25">
      <c r="A958" s="36" t="str">
        <f>IF(Data!B948="","",IF(COUNTIFS(Data!A$1:'Data'!A948,Data!A948)&lt;=1,0,1))</f>
        <v/>
      </c>
      <c r="B958" s="36"/>
      <c r="C958" s="36" t="str">
        <f>IF(Data!C948="","",(IF(ISNUMBER(MATCH("*@*.?*",Data!C948,0)),0,1)+IF(COUNTIFS(Data!C$1:'Data'!C948,Data!C948)&gt;1,1,0)))</f>
        <v/>
      </c>
      <c r="D958" s="36" t="str">
        <f>IF(Data!B948="","",IF(ISNUMBER(Data!D948),IF(AND(Data!D948&gt;999999999,Data!D948&lt;=9999999999),IF(COUNTIFS(Data!D$1:'Data'!D948,Data!D948)&lt;=1,0,1),1),1))</f>
        <v/>
      </c>
      <c r="E958" s="36" t="str">
        <f>IF(Data!B948="","",IF(ISNUMBER(MATCH(Data!E948,Data_Val!$A$2:$A$3,0)),0,1))</f>
        <v/>
      </c>
      <c r="F958" s="36" t="str">
        <f ca="1">IF(Data!B948="","",IF(ISNUMBER(Data!F948),IF(AND(Data!F948&gt;(TODAY()-(Data_Val!$H$3*365.25)),Data!F948&lt;=(TODAY()-(Data_Val!$H$2*365.25))),0,1),1))</f>
        <v/>
      </c>
      <c r="G958" s="12" t="str">
        <f>IF(Data!B948="","",IF(AND(Data!G948="",Data!H948&lt;&gt;""),1,IF(ISNUMBER(MATCH(Data!G948,Data_Val!$C$2:$C$5,0)),0,1)))</f>
        <v/>
      </c>
      <c r="H958" s="12" t="str">
        <f>IF(Data!B948="","",IF(AND(Data!G948&lt;&gt;"",Data!H948=""),1,IF(Data!G948="",1,IF(ISNUMBER(MATCH(Data!H948,Data_Val!$D$2:$D$35,0)),0,1))))</f>
        <v/>
      </c>
      <c r="I958" s="38" t="str">
        <f>IF(Data!G948="","",IF(Data!G948=Data_Val!$C$2,IF(Data!I948="",0,1),0))</f>
        <v/>
      </c>
      <c r="J958" s="38" t="str">
        <f>IF(Data!I948="","",IF(ISNUMBER(MATCH(Data!J948,Data_Val!$A$2:$A$3,0)),0,1))</f>
        <v/>
      </c>
      <c r="K958" s="38" t="str">
        <f ca="1">IF(Data!I948="","",IF(ISNUMBER(Data!K948),IF(AND(Data!K948&gt;(TODAY()-(Data_Val!$K$3*365.25)),Data!K948&lt;=(TODAY()-(Data_Val!$K$2*365.25))),0,1),1))</f>
        <v/>
      </c>
      <c r="L958" s="16" t="str">
        <f>IF(Data!G948="","",IF(Data!G948=Data_Val!$C$2,IF(Data!L948="",0,1),0))</f>
        <v/>
      </c>
      <c r="M958" s="16" t="str">
        <f>IF(Data!L948="","",IF(ISNUMBER(MATCH(Data!M948,Data_Val!$A$2:$A$3,0)),0,1))</f>
        <v/>
      </c>
      <c r="N958" s="43" t="str">
        <f ca="1">IF(Data!L948="","",IF(ISNUMBER(Data!N948),IF(AND(Data!N948&gt;(TODAY()-(Data_Val!$L$3*365.25)),Data!N948&lt;=(TODAY()-(Data_Val!$L$2*365.25))),0,1),1))</f>
        <v/>
      </c>
      <c r="O958" s="18" t="str">
        <f>IF(Data!$G948="","",IF(Data!$G948=Data_Val!$C$2,IF(Data!O948="",0,1),0))</f>
        <v/>
      </c>
      <c r="P958" s="18" t="str">
        <f>IF(Data!O948="","",IF(ISNUMBER(MATCH(Data!P948,Data_Val!$A$2:$A$3,0)),0,1))</f>
        <v/>
      </c>
      <c r="Q958" s="44" t="str">
        <f ca="1">IF(Data!O948="","",IF(ISNUMBER(Data!Q948),IF(AND(Data!Q948&gt;(TODAY()-(Data_Val!$L$3*365.25)),Data!Q948&lt;=(TODAY()-(Data_Val!$L$2*365.25))),0,1),1))</f>
        <v/>
      </c>
    </row>
    <row r="959" spans="1:17" ht="12" customHeight="1" x14ac:dyDescent="0.25">
      <c r="A959" s="36" t="str">
        <f>IF(Data!B949="","",IF(COUNTIFS(Data!A$1:'Data'!A949,Data!A949)&lt;=1,0,1))</f>
        <v/>
      </c>
      <c r="B959" s="36"/>
      <c r="C959" s="36" t="str">
        <f>IF(Data!C949="","",(IF(ISNUMBER(MATCH("*@*.?*",Data!C949,0)),0,1)+IF(COUNTIFS(Data!C$1:'Data'!C949,Data!C949)&gt;1,1,0)))</f>
        <v/>
      </c>
      <c r="D959" s="36" t="str">
        <f>IF(Data!B949="","",IF(ISNUMBER(Data!D949),IF(AND(Data!D949&gt;999999999,Data!D949&lt;=9999999999),IF(COUNTIFS(Data!D$1:'Data'!D949,Data!D949)&lt;=1,0,1),1),1))</f>
        <v/>
      </c>
      <c r="E959" s="36" t="str">
        <f>IF(Data!B949="","",IF(ISNUMBER(MATCH(Data!E949,Data_Val!$A$2:$A$3,0)),0,1))</f>
        <v/>
      </c>
      <c r="F959" s="36" t="str">
        <f ca="1">IF(Data!B949="","",IF(ISNUMBER(Data!F949),IF(AND(Data!F949&gt;(TODAY()-(Data_Val!$H$3*365.25)),Data!F949&lt;=(TODAY()-(Data_Val!$H$2*365.25))),0,1),1))</f>
        <v/>
      </c>
      <c r="G959" s="12" t="str">
        <f>IF(Data!B949="","",IF(AND(Data!G949="",Data!H949&lt;&gt;""),1,IF(ISNUMBER(MATCH(Data!G949,Data_Val!$C$2:$C$5,0)),0,1)))</f>
        <v/>
      </c>
      <c r="H959" s="12" t="str">
        <f>IF(Data!B949="","",IF(AND(Data!G949&lt;&gt;"",Data!H949=""),1,IF(Data!G949="",1,IF(ISNUMBER(MATCH(Data!H949,Data_Val!$D$2:$D$35,0)),0,1))))</f>
        <v/>
      </c>
      <c r="I959" s="38" t="str">
        <f>IF(Data!G949="","",IF(Data!G949=Data_Val!$C$2,IF(Data!I949="",0,1),0))</f>
        <v/>
      </c>
      <c r="J959" s="38" t="str">
        <f>IF(Data!I949="","",IF(ISNUMBER(MATCH(Data!J949,Data_Val!$A$2:$A$3,0)),0,1))</f>
        <v/>
      </c>
      <c r="K959" s="38" t="str">
        <f ca="1">IF(Data!I949="","",IF(ISNUMBER(Data!K949),IF(AND(Data!K949&gt;(TODAY()-(Data_Val!$K$3*365.25)),Data!K949&lt;=(TODAY()-(Data_Val!$K$2*365.25))),0,1),1))</f>
        <v/>
      </c>
      <c r="L959" s="16" t="str">
        <f>IF(Data!G949="","",IF(Data!G949=Data_Val!$C$2,IF(Data!L949="",0,1),0))</f>
        <v/>
      </c>
      <c r="M959" s="16" t="str">
        <f>IF(Data!L949="","",IF(ISNUMBER(MATCH(Data!M949,Data_Val!$A$2:$A$3,0)),0,1))</f>
        <v/>
      </c>
      <c r="N959" s="43" t="str">
        <f ca="1">IF(Data!L949="","",IF(ISNUMBER(Data!N949),IF(AND(Data!N949&gt;(TODAY()-(Data_Val!$L$3*365.25)),Data!N949&lt;=(TODAY()-(Data_Val!$L$2*365.25))),0,1),1))</f>
        <v/>
      </c>
      <c r="O959" s="18" t="str">
        <f>IF(Data!$G949="","",IF(Data!$G949=Data_Val!$C$2,IF(Data!O949="",0,1),0))</f>
        <v/>
      </c>
      <c r="P959" s="18" t="str">
        <f>IF(Data!O949="","",IF(ISNUMBER(MATCH(Data!P949,Data_Val!$A$2:$A$3,0)),0,1))</f>
        <v/>
      </c>
      <c r="Q959" s="44" t="str">
        <f ca="1">IF(Data!O949="","",IF(ISNUMBER(Data!Q949),IF(AND(Data!Q949&gt;(TODAY()-(Data_Val!$L$3*365.25)),Data!Q949&lt;=(TODAY()-(Data_Val!$L$2*365.25))),0,1),1))</f>
        <v/>
      </c>
    </row>
    <row r="960" spans="1:17" ht="12" customHeight="1" x14ac:dyDescent="0.25">
      <c r="A960" s="36" t="str">
        <f>IF(Data!B950="","",IF(COUNTIFS(Data!A$1:'Data'!A950,Data!A950)&lt;=1,0,1))</f>
        <v/>
      </c>
      <c r="B960" s="36"/>
      <c r="C960" s="36" t="str">
        <f>IF(Data!C950="","",(IF(ISNUMBER(MATCH("*@*.?*",Data!C950,0)),0,1)+IF(COUNTIFS(Data!C$1:'Data'!C950,Data!C950)&gt;1,1,0)))</f>
        <v/>
      </c>
      <c r="D960" s="36" t="str">
        <f>IF(Data!B950="","",IF(ISNUMBER(Data!D950),IF(AND(Data!D950&gt;999999999,Data!D950&lt;=9999999999),IF(COUNTIFS(Data!D$1:'Data'!D950,Data!D950)&lt;=1,0,1),1),1))</f>
        <v/>
      </c>
      <c r="E960" s="36" t="str">
        <f>IF(Data!B950="","",IF(ISNUMBER(MATCH(Data!E950,Data_Val!$A$2:$A$3,0)),0,1))</f>
        <v/>
      </c>
      <c r="F960" s="36" t="str">
        <f ca="1">IF(Data!B950="","",IF(ISNUMBER(Data!F950),IF(AND(Data!F950&gt;(TODAY()-(Data_Val!$H$3*365.25)),Data!F950&lt;=(TODAY()-(Data_Val!$H$2*365.25))),0,1),1))</f>
        <v/>
      </c>
      <c r="G960" s="12" t="str">
        <f>IF(Data!B950="","",IF(AND(Data!G950="",Data!H950&lt;&gt;""),1,IF(ISNUMBER(MATCH(Data!G950,Data_Val!$C$2:$C$5,0)),0,1)))</f>
        <v/>
      </c>
      <c r="H960" s="12" t="str">
        <f>IF(Data!B950="","",IF(AND(Data!G950&lt;&gt;"",Data!H950=""),1,IF(Data!G950="",1,IF(ISNUMBER(MATCH(Data!H950,Data_Val!$D$2:$D$35,0)),0,1))))</f>
        <v/>
      </c>
      <c r="I960" s="38" t="str">
        <f>IF(Data!G950="","",IF(Data!G950=Data_Val!$C$2,IF(Data!I950="",0,1),0))</f>
        <v/>
      </c>
      <c r="J960" s="38" t="str">
        <f>IF(Data!I950="","",IF(ISNUMBER(MATCH(Data!J950,Data_Val!$A$2:$A$3,0)),0,1))</f>
        <v/>
      </c>
      <c r="K960" s="38" t="str">
        <f ca="1">IF(Data!I950="","",IF(ISNUMBER(Data!K950),IF(AND(Data!K950&gt;(TODAY()-(Data_Val!$K$3*365.25)),Data!K950&lt;=(TODAY()-(Data_Val!$K$2*365.25))),0,1),1))</f>
        <v/>
      </c>
      <c r="L960" s="16" t="str">
        <f>IF(Data!G950="","",IF(Data!G950=Data_Val!$C$2,IF(Data!L950="",0,1),0))</f>
        <v/>
      </c>
      <c r="M960" s="16" t="str">
        <f>IF(Data!L950="","",IF(ISNUMBER(MATCH(Data!M950,Data_Val!$A$2:$A$3,0)),0,1))</f>
        <v/>
      </c>
      <c r="N960" s="43" t="str">
        <f ca="1">IF(Data!L950="","",IF(ISNUMBER(Data!N950),IF(AND(Data!N950&gt;(TODAY()-(Data_Val!$L$3*365.25)),Data!N950&lt;=(TODAY()-(Data_Val!$L$2*365.25))),0,1),1))</f>
        <v/>
      </c>
      <c r="O960" s="18" t="str">
        <f>IF(Data!$G950="","",IF(Data!$G950=Data_Val!$C$2,IF(Data!O950="",0,1),0))</f>
        <v/>
      </c>
      <c r="P960" s="18" t="str">
        <f>IF(Data!O950="","",IF(ISNUMBER(MATCH(Data!P950,Data_Val!$A$2:$A$3,0)),0,1))</f>
        <v/>
      </c>
      <c r="Q960" s="44" t="str">
        <f ca="1">IF(Data!O950="","",IF(ISNUMBER(Data!Q950),IF(AND(Data!Q950&gt;(TODAY()-(Data_Val!$L$3*365.25)),Data!Q950&lt;=(TODAY()-(Data_Val!$L$2*365.25))),0,1),1))</f>
        <v/>
      </c>
    </row>
    <row r="961" spans="1:17" ht="12" customHeight="1" x14ac:dyDescent="0.25">
      <c r="A961" s="36" t="str">
        <f>IF(Data!B951="","",IF(COUNTIFS(Data!A$1:'Data'!A951,Data!A951)&lt;=1,0,1))</f>
        <v/>
      </c>
      <c r="B961" s="36"/>
      <c r="C961" s="36" t="str">
        <f>IF(Data!C951="","",(IF(ISNUMBER(MATCH("*@*.?*",Data!C951,0)),0,1)+IF(COUNTIFS(Data!C$1:'Data'!C951,Data!C951)&gt;1,1,0)))</f>
        <v/>
      </c>
      <c r="D961" s="36" t="str">
        <f>IF(Data!B951="","",IF(ISNUMBER(Data!D951),IF(AND(Data!D951&gt;999999999,Data!D951&lt;=9999999999),IF(COUNTIFS(Data!D$1:'Data'!D951,Data!D951)&lt;=1,0,1),1),1))</f>
        <v/>
      </c>
      <c r="E961" s="36" t="str">
        <f>IF(Data!B951="","",IF(ISNUMBER(MATCH(Data!E951,Data_Val!$A$2:$A$3,0)),0,1))</f>
        <v/>
      </c>
      <c r="F961" s="36" t="str">
        <f ca="1">IF(Data!B951="","",IF(ISNUMBER(Data!F951),IF(AND(Data!F951&gt;(TODAY()-(Data_Val!$H$3*365.25)),Data!F951&lt;=(TODAY()-(Data_Val!$H$2*365.25))),0,1),1))</f>
        <v/>
      </c>
      <c r="G961" s="12" t="str">
        <f>IF(Data!B951="","",IF(AND(Data!G951="",Data!H951&lt;&gt;""),1,IF(ISNUMBER(MATCH(Data!G951,Data_Val!$C$2:$C$5,0)),0,1)))</f>
        <v/>
      </c>
      <c r="H961" s="12" t="str">
        <f>IF(Data!B951="","",IF(AND(Data!G951&lt;&gt;"",Data!H951=""),1,IF(Data!G951="",1,IF(ISNUMBER(MATCH(Data!H951,Data_Val!$D$2:$D$35,0)),0,1))))</f>
        <v/>
      </c>
      <c r="I961" s="38" t="str">
        <f>IF(Data!G951="","",IF(Data!G951=Data_Val!$C$2,IF(Data!I951="",0,1),0))</f>
        <v/>
      </c>
      <c r="J961" s="38" t="str">
        <f>IF(Data!I951="","",IF(ISNUMBER(MATCH(Data!J951,Data_Val!$A$2:$A$3,0)),0,1))</f>
        <v/>
      </c>
      <c r="K961" s="38" t="str">
        <f ca="1">IF(Data!I951="","",IF(ISNUMBER(Data!K951),IF(AND(Data!K951&gt;(TODAY()-(Data_Val!$K$3*365.25)),Data!K951&lt;=(TODAY()-(Data_Val!$K$2*365.25))),0,1),1))</f>
        <v/>
      </c>
      <c r="L961" s="16" t="str">
        <f>IF(Data!G951="","",IF(Data!G951=Data_Val!$C$2,IF(Data!L951="",0,1),0))</f>
        <v/>
      </c>
      <c r="M961" s="16" t="str">
        <f>IF(Data!L951="","",IF(ISNUMBER(MATCH(Data!M951,Data_Val!$A$2:$A$3,0)),0,1))</f>
        <v/>
      </c>
      <c r="N961" s="43" t="str">
        <f ca="1">IF(Data!L951="","",IF(ISNUMBER(Data!N951),IF(AND(Data!N951&gt;(TODAY()-(Data_Val!$L$3*365.25)),Data!N951&lt;=(TODAY()-(Data_Val!$L$2*365.25))),0,1),1))</f>
        <v/>
      </c>
      <c r="O961" s="18" t="str">
        <f>IF(Data!$G951="","",IF(Data!$G951=Data_Val!$C$2,IF(Data!O951="",0,1),0))</f>
        <v/>
      </c>
      <c r="P961" s="18" t="str">
        <f>IF(Data!O951="","",IF(ISNUMBER(MATCH(Data!P951,Data_Val!$A$2:$A$3,0)),0,1))</f>
        <v/>
      </c>
      <c r="Q961" s="44" t="str">
        <f ca="1">IF(Data!O951="","",IF(ISNUMBER(Data!Q951),IF(AND(Data!Q951&gt;(TODAY()-(Data_Val!$L$3*365.25)),Data!Q951&lt;=(TODAY()-(Data_Val!$L$2*365.25))),0,1),1))</f>
        <v/>
      </c>
    </row>
    <row r="962" spans="1:17" ht="12" customHeight="1" x14ac:dyDescent="0.25">
      <c r="A962" s="36" t="str">
        <f>IF(Data!B952="","",IF(COUNTIFS(Data!A$1:'Data'!A952,Data!A952)&lt;=1,0,1))</f>
        <v/>
      </c>
      <c r="B962" s="36"/>
      <c r="C962" s="36" t="str">
        <f>IF(Data!C952="","",(IF(ISNUMBER(MATCH("*@*.?*",Data!C952,0)),0,1)+IF(COUNTIFS(Data!C$1:'Data'!C952,Data!C952)&gt;1,1,0)))</f>
        <v/>
      </c>
      <c r="D962" s="36" t="str">
        <f>IF(Data!B952="","",IF(ISNUMBER(Data!D952),IF(AND(Data!D952&gt;999999999,Data!D952&lt;=9999999999),IF(COUNTIFS(Data!D$1:'Data'!D952,Data!D952)&lt;=1,0,1),1),1))</f>
        <v/>
      </c>
      <c r="E962" s="36" t="str">
        <f>IF(Data!B952="","",IF(ISNUMBER(MATCH(Data!E952,Data_Val!$A$2:$A$3,0)),0,1))</f>
        <v/>
      </c>
      <c r="F962" s="36" t="str">
        <f ca="1">IF(Data!B952="","",IF(ISNUMBER(Data!F952),IF(AND(Data!F952&gt;(TODAY()-(Data_Val!$H$3*365.25)),Data!F952&lt;=(TODAY()-(Data_Val!$H$2*365.25))),0,1),1))</f>
        <v/>
      </c>
      <c r="G962" s="12" t="str">
        <f>IF(Data!B952="","",IF(AND(Data!G952="",Data!H952&lt;&gt;""),1,IF(ISNUMBER(MATCH(Data!G952,Data_Val!$C$2:$C$5,0)),0,1)))</f>
        <v/>
      </c>
      <c r="H962" s="12" t="str">
        <f>IF(Data!B952="","",IF(AND(Data!G952&lt;&gt;"",Data!H952=""),1,IF(Data!G952="",1,IF(ISNUMBER(MATCH(Data!H952,Data_Val!$D$2:$D$35,0)),0,1))))</f>
        <v/>
      </c>
      <c r="I962" s="38" t="str">
        <f>IF(Data!G952="","",IF(Data!G952=Data_Val!$C$2,IF(Data!I952="",0,1),0))</f>
        <v/>
      </c>
      <c r="J962" s="38" t="str">
        <f>IF(Data!I952="","",IF(ISNUMBER(MATCH(Data!J952,Data_Val!$A$2:$A$3,0)),0,1))</f>
        <v/>
      </c>
      <c r="K962" s="38" t="str">
        <f ca="1">IF(Data!I952="","",IF(ISNUMBER(Data!K952),IF(AND(Data!K952&gt;(TODAY()-(Data_Val!$K$3*365.25)),Data!K952&lt;=(TODAY()-(Data_Val!$K$2*365.25))),0,1),1))</f>
        <v/>
      </c>
      <c r="L962" s="16" t="str">
        <f>IF(Data!G952="","",IF(Data!G952=Data_Val!$C$2,IF(Data!L952="",0,1),0))</f>
        <v/>
      </c>
      <c r="M962" s="16" t="str">
        <f>IF(Data!L952="","",IF(ISNUMBER(MATCH(Data!M952,Data_Val!$A$2:$A$3,0)),0,1))</f>
        <v/>
      </c>
      <c r="N962" s="43" t="str">
        <f ca="1">IF(Data!L952="","",IF(ISNUMBER(Data!N952),IF(AND(Data!N952&gt;(TODAY()-(Data_Val!$L$3*365.25)),Data!N952&lt;=(TODAY()-(Data_Val!$L$2*365.25))),0,1),1))</f>
        <v/>
      </c>
      <c r="O962" s="18" t="str">
        <f>IF(Data!$G952="","",IF(Data!$G952=Data_Val!$C$2,IF(Data!O952="",0,1),0))</f>
        <v/>
      </c>
      <c r="P962" s="18" t="str">
        <f>IF(Data!O952="","",IF(ISNUMBER(MATCH(Data!P952,Data_Val!$A$2:$A$3,0)),0,1))</f>
        <v/>
      </c>
      <c r="Q962" s="44" t="str">
        <f ca="1">IF(Data!O952="","",IF(ISNUMBER(Data!Q952),IF(AND(Data!Q952&gt;(TODAY()-(Data_Val!$L$3*365.25)),Data!Q952&lt;=(TODAY()-(Data_Val!$L$2*365.25))),0,1),1))</f>
        <v/>
      </c>
    </row>
    <row r="963" spans="1:17" ht="12" customHeight="1" x14ac:dyDescent="0.25">
      <c r="A963" s="36" t="str">
        <f>IF(Data!B953="","",IF(COUNTIFS(Data!A$1:'Data'!A953,Data!A953)&lt;=1,0,1))</f>
        <v/>
      </c>
      <c r="B963" s="36"/>
      <c r="C963" s="36" t="str">
        <f>IF(Data!C953="","",(IF(ISNUMBER(MATCH("*@*.?*",Data!C953,0)),0,1)+IF(COUNTIFS(Data!C$1:'Data'!C953,Data!C953)&gt;1,1,0)))</f>
        <v/>
      </c>
      <c r="D963" s="36" t="str">
        <f>IF(Data!B953="","",IF(ISNUMBER(Data!D953),IF(AND(Data!D953&gt;999999999,Data!D953&lt;=9999999999),IF(COUNTIFS(Data!D$1:'Data'!D953,Data!D953)&lt;=1,0,1),1),1))</f>
        <v/>
      </c>
      <c r="E963" s="36" t="str">
        <f>IF(Data!B953="","",IF(ISNUMBER(MATCH(Data!E953,Data_Val!$A$2:$A$3,0)),0,1))</f>
        <v/>
      </c>
      <c r="F963" s="36" t="str">
        <f ca="1">IF(Data!B953="","",IF(ISNUMBER(Data!F953),IF(AND(Data!F953&gt;(TODAY()-(Data_Val!$H$3*365.25)),Data!F953&lt;=(TODAY()-(Data_Val!$H$2*365.25))),0,1),1))</f>
        <v/>
      </c>
      <c r="G963" s="12" t="str">
        <f>IF(Data!B953="","",IF(AND(Data!G953="",Data!H953&lt;&gt;""),1,IF(ISNUMBER(MATCH(Data!G953,Data_Val!$C$2:$C$5,0)),0,1)))</f>
        <v/>
      </c>
      <c r="H963" s="12" t="str">
        <f>IF(Data!B953="","",IF(AND(Data!G953&lt;&gt;"",Data!H953=""),1,IF(Data!G953="",1,IF(ISNUMBER(MATCH(Data!H953,Data_Val!$D$2:$D$35,0)),0,1))))</f>
        <v/>
      </c>
      <c r="I963" s="38" t="str">
        <f>IF(Data!G953="","",IF(Data!G953=Data_Val!$C$2,IF(Data!I953="",0,1),0))</f>
        <v/>
      </c>
      <c r="J963" s="38" t="str">
        <f>IF(Data!I953="","",IF(ISNUMBER(MATCH(Data!J953,Data_Val!$A$2:$A$3,0)),0,1))</f>
        <v/>
      </c>
      <c r="K963" s="38" t="str">
        <f ca="1">IF(Data!I953="","",IF(ISNUMBER(Data!K953),IF(AND(Data!K953&gt;(TODAY()-(Data_Val!$K$3*365.25)),Data!K953&lt;=(TODAY()-(Data_Val!$K$2*365.25))),0,1),1))</f>
        <v/>
      </c>
      <c r="L963" s="16" t="str">
        <f>IF(Data!G953="","",IF(Data!G953=Data_Val!$C$2,IF(Data!L953="",0,1),0))</f>
        <v/>
      </c>
      <c r="M963" s="16" t="str">
        <f>IF(Data!L953="","",IF(ISNUMBER(MATCH(Data!M953,Data_Val!$A$2:$A$3,0)),0,1))</f>
        <v/>
      </c>
      <c r="N963" s="43" t="str">
        <f ca="1">IF(Data!L953="","",IF(ISNUMBER(Data!N953),IF(AND(Data!N953&gt;(TODAY()-(Data_Val!$L$3*365.25)),Data!N953&lt;=(TODAY()-(Data_Val!$L$2*365.25))),0,1),1))</f>
        <v/>
      </c>
      <c r="O963" s="18" t="str">
        <f>IF(Data!$G953="","",IF(Data!$G953=Data_Val!$C$2,IF(Data!O953="",0,1),0))</f>
        <v/>
      </c>
      <c r="P963" s="18" t="str">
        <f>IF(Data!O953="","",IF(ISNUMBER(MATCH(Data!P953,Data_Val!$A$2:$A$3,0)),0,1))</f>
        <v/>
      </c>
      <c r="Q963" s="44" t="str">
        <f ca="1">IF(Data!O953="","",IF(ISNUMBER(Data!Q953),IF(AND(Data!Q953&gt;(TODAY()-(Data_Val!$L$3*365.25)),Data!Q953&lt;=(TODAY()-(Data_Val!$L$2*365.25))),0,1),1))</f>
        <v/>
      </c>
    </row>
    <row r="964" spans="1:17" ht="12" customHeight="1" x14ac:dyDescent="0.25">
      <c r="A964" s="36" t="str">
        <f>IF(Data!B954="","",IF(COUNTIFS(Data!A$1:'Data'!A954,Data!A954)&lt;=1,0,1))</f>
        <v/>
      </c>
      <c r="B964" s="36"/>
      <c r="C964" s="36" t="str">
        <f>IF(Data!C954="","",(IF(ISNUMBER(MATCH("*@*.?*",Data!C954,0)),0,1)+IF(COUNTIFS(Data!C$1:'Data'!C954,Data!C954)&gt;1,1,0)))</f>
        <v/>
      </c>
      <c r="D964" s="36" t="str">
        <f>IF(Data!B954="","",IF(ISNUMBER(Data!D954),IF(AND(Data!D954&gt;999999999,Data!D954&lt;=9999999999),IF(COUNTIFS(Data!D$1:'Data'!D954,Data!D954)&lt;=1,0,1),1),1))</f>
        <v/>
      </c>
      <c r="E964" s="36" t="str">
        <f>IF(Data!B954="","",IF(ISNUMBER(MATCH(Data!E954,Data_Val!$A$2:$A$3,0)),0,1))</f>
        <v/>
      </c>
      <c r="F964" s="36" t="str">
        <f ca="1">IF(Data!B954="","",IF(ISNUMBER(Data!F954),IF(AND(Data!F954&gt;(TODAY()-(Data_Val!$H$3*365.25)),Data!F954&lt;=(TODAY()-(Data_Val!$H$2*365.25))),0,1),1))</f>
        <v/>
      </c>
      <c r="G964" s="12" t="str">
        <f>IF(Data!B954="","",IF(AND(Data!G954="",Data!H954&lt;&gt;""),1,IF(ISNUMBER(MATCH(Data!G954,Data_Val!$C$2:$C$5,0)),0,1)))</f>
        <v/>
      </c>
      <c r="H964" s="12" t="str">
        <f>IF(Data!B954="","",IF(AND(Data!G954&lt;&gt;"",Data!H954=""),1,IF(Data!G954="",1,IF(ISNUMBER(MATCH(Data!H954,Data_Val!$D$2:$D$35,0)),0,1))))</f>
        <v/>
      </c>
      <c r="I964" s="38" t="str">
        <f>IF(Data!G954="","",IF(Data!G954=Data_Val!$C$2,IF(Data!I954="",0,1),0))</f>
        <v/>
      </c>
      <c r="J964" s="38" t="str">
        <f>IF(Data!I954="","",IF(ISNUMBER(MATCH(Data!J954,Data_Val!$A$2:$A$3,0)),0,1))</f>
        <v/>
      </c>
      <c r="K964" s="38" t="str">
        <f ca="1">IF(Data!I954="","",IF(ISNUMBER(Data!K954),IF(AND(Data!K954&gt;(TODAY()-(Data_Val!$K$3*365.25)),Data!K954&lt;=(TODAY()-(Data_Val!$K$2*365.25))),0,1),1))</f>
        <v/>
      </c>
      <c r="L964" s="16" t="str">
        <f>IF(Data!G954="","",IF(Data!G954=Data_Val!$C$2,IF(Data!L954="",0,1),0))</f>
        <v/>
      </c>
      <c r="M964" s="16" t="str">
        <f>IF(Data!L954="","",IF(ISNUMBER(MATCH(Data!M954,Data_Val!$A$2:$A$3,0)),0,1))</f>
        <v/>
      </c>
      <c r="N964" s="43" t="str">
        <f ca="1">IF(Data!L954="","",IF(ISNUMBER(Data!N954),IF(AND(Data!N954&gt;(TODAY()-(Data_Val!$L$3*365.25)),Data!N954&lt;=(TODAY()-(Data_Val!$L$2*365.25))),0,1),1))</f>
        <v/>
      </c>
      <c r="O964" s="18" t="str">
        <f>IF(Data!$G954="","",IF(Data!$G954=Data_Val!$C$2,IF(Data!O954="",0,1),0))</f>
        <v/>
      </c>
      <c r="P964" s="18" t="str">
        <f>IF(Data!O954="","",IF(ISNUMBER(MATCH(Data!P954,Data_Val!$A$2:$A$3,0)),0,1))</f>
        <v/>
      </c>
      <c r="Q964" s="44" t="str">
        <f ca="1">IF(Data!O954="","",IF(ISNUMBER(Data!Q954),IF(AND(Data!Q954&gt;(TODAY()-(Data_Val!$L$3*365.25)),Data!Q954&lt;=(TODAY()-(Data_Val!$L$2*365.25))),0,1),1))</f>
        <v/>
      </c>
    </row>
    <row r="965" spans="1:17" ht="12" customHeight="1" x14ac:dyDescent="0.25">
      <c r="A965" s="36" t="str">
        <f>IF(Data!B955="","",IF(COUNTIFS(Data!A$1:'Data'!A955,Data!A955)&lt;=1,0,1))</f>
        <v/>
      </c>
      <c r="B965" s="36"/>
      <c r="C965" s="36" t="str">
        <f>IF(Data!C955="","",(IF(ISNUMBER(MATCH("*@*.?*",Data!C955,0)),0,1)+IF(COUNTIFS(Data!C$1:'Data'!C955,Data!C955)&gt;1,1,0)))</f>
        <v/>
      </c>
      <c r="D965" s="36" t="str">
        <f>IF(Data!B955="","",IF(ISNUMBER(Data!D955),IF(AND(Data!D955&gt;999999999,Data!D955&lt;=9999999999),IF(COUNTIFS(Data!D$1:'Data'!D955,Data!D955)&lt;=1,0,1),1),1))</f>
        <v/>
      </c>
      <c r="E965" s="36" t="str">
        <f>IF(Data!B955="","",IF(ISNUMBER(MATCH(Data!E955,Data_Val!$A$2:$A$3,0)),0,1))</f>
        <v/>
      </c>
      <c r="F965" s="36" t="str">
        <f ca="1">IF(Data!B955="","",IF(ISNUMBER(Data!F955),IF(AND(Data!F955&gt;(TODAY()-(Data_Val!$H$3*365.25)),Data!F955&lt;=(TODAY()-(Data_Val!$H$2*365.25))),0,1),1))</f>
        <v/>
      </c>
      <c r="G965" s="12" t="str">
        <f>IF(Data!B955="","",IF(AND(Data!G955="",Data!H955&lt;&gt;""),1,IF(ISNUMBER(MATCH(Data!G955,Data_Val!$C$2:$C$5,0)),0,1)))</f>
        <v/>
      </c>
      <c r="H965" s="12" t="str">
        <f>IF(Data!B955="","",IF(AND(Data!G955&lt;&gt;"",Data!H955=""),1,IF(Data!G955="",1,IF(ISNUMBER(MATCH(Data!H955,Data_Val!$D$2:$D$35,0)),0,1))))</f>
        <v/>
      </c>
      <c r="I965" s="38" t="str">
        <f>IF(Data!G955="","",IF(Data!G955=Data_Val!$C$2,IF(Data!I955="",0,1),0))</f>
        <v/>
      </c>
      <c r="J965" s="38" t="str">
        <f>IF(Data!I955="","",IF(ISNUMBER(MATCH(Data!J955,Data_Val!$A$2:$A$3,0)),0,1))</f>
        <v/>
      </c>
      <c r="K965" s="38" t="str">
        <f ca="1">IF(Data!I955="","",IF(ISNUMBER(Data!K955),IF(AND(Data!K955&gt;(TODAY()-(Data_Val!$K$3*365.25)),Data!K955&lt;=(TODAY()-(Data_Val!$K$2*365.25))),0,1),1))</f>
        <v/>
      </c>
      <c r="L965" s="16" t="str">
        <f>IF(Data!G955="","",IF(Data!G955=Data_Val!$C$2,IF(Data!L955="",0,1),0))</f>
        <v/>
      </c>
      <c r="M965" s="16" t="str">
        <f>IF(Data!L955="","",IF(ISNUMBER(MATCH(Data!M955,Data_Val!$A$2:$A$3,0)),0,1))</f>
        <v/>
      </c>
      <c r="N965" s="43" t="str">
        <f ca="1">IF(Data!L955="","",IF(ISNUMBER(Data!N955),IF(AND(Data!N955&gt;(TODAY()-(Data_Val!$L$3*365.25)),Data!N955&lt;=(TODAY()-(Data_Val!$L$2*365.25))),0,1),1))</f>
        <v/>
      </c>
      <c r="O965" s="18" t="str">
        <f>IF(Data!$G955="","",IF(Data!$G955=Data_Val!$C$2,IF(Data!O955="",0,1),0))</f>
        <v/>
      </c>
      <c r="P965" s="18" t="str">
        <f>IF(Data!O955="","",IF(ISNUMBER(MATCH(Data!P955,Data_Val!$A$2:$A$3,0)),0,1))</f>
        <v/>
      </c>
      <c r="Q965" s="44" t="str">
        <f ca="1">IF(Data!O955="","",IF(ISNUMBER(Data!Q955),IF(AND(Data!Q955&gt;(TODAY()-(Data_Val!$L$3*365.25)),Data!Q955&lt;=(TODAY()-(Data_Val!$L$2*365.25))),0,1),1))</f>
        <v/>
      </c>
    </row>
    <row r="966" spans="1:17" ht="12" customHeight="1" x14ac:dyDescent="0.25">
      <c r="A966" s="36" t="str">
        <f>IF(Data!B956="","",IF(COUNTIFS(Data!A$1:'Data'!A956,Data!A956)&lt;=1,0,1))</f>
        <v/>
      </c>
      <c r="B966" s="36"/>
      <c r="C966" s="36" t="str">
        <f>IF(Data!C956="","",(IF(ISNUMBER(MATCH("*@*.?*",Data!C956,0)),0,1)+IF(COUNTIFS(Data!C$1:'Data'!C956,Data!C956)&gt;1,1,0)))</f>
        <v/>
      </c>
      <c r="D966" s="36" t="str">
        <f>IF(Data!B956="","",IF(ISNUMBER(Data!D956),IF(AND(Data!D956&gt;999999999,Data!D956&lt;=9999999999),IF(COUNTIFS(Data!D$1:'Data'!D956,Data!D956)&lt;=1,0,1),1),1))</f>
        <v/>
      </c>
      <c r="E966" s="36" t="str">
        <f>IF(Data!B956="","",IF(ISNUMBER(MATCH(Data!E956,Data_Val!$A$2:$A$3,0)),0,1))</f>
        <v/>
      </c>
      <c r="F966" s="36" t="str">
        <f ca="1">IF(Data!B956="","",IF(ISNUMBER(Data!F956),IF(AND(Data!F956&gt;(TODAY()-(Data_Val!$H$3*365.25)),Data!F956&lt;=(TODAY()-(Data_Val!$H$2*365.25))),0,1),1))</f>
        <v/>
      </c>
      <c r="G966" s="12" t="str">
        <f>IF(Data!B956="","",IF(AND(Data!G956="",Data!H956&lt;&gt;""),1,IF(ISNUMBER(MATCH(Data!G956,Data_Val!$C$2:$C$5,0)),0,1)))</f>
        <v/>
      </c>
      <c r="H966" s="12" t="str">
        <f>IF(Data!B956="","",IF(AND(Data!G956&lt;&gt;"",Data!H956=""),1,IF(Data!G956="",1,IF(ISNUMBER(MATCH(Data!H956,Data_Val!$D$2:$D$35,0)),0,1))))</f>
        <v/>
      </c>
      <c r="I966" s="38" t="str">
        <f>IF(Data!G956="","",IF(Data!G956=Data_Val!$C$2,IF(Data!I956="",0,1),0))</f>
        <v/>
      </c>
      <c r="J966" s="38" t="str">
        <f>IF(Data!I956="","",IF(ISNUMBER(MATCH(Data!J956,Data_Val!$A$2:$A$3,0)),0,1))</f>
        <v/>
      </c>
      <c r="K966" s="38" t="str">
        <f ca="1">IF(Data!I956="","",IF(ISNUMBER(Data!K956),IF(AND(Data!K956&gt;(TODAY()-(Data_Val!$K$3*365.25)),Data!K956&lt;=(TODAY()-(Data_Val!$K$2*365.25))),0,1),1))</f>
        <v/>
      </c>
      <c r="L966" s="16" t="str">
        <f>IF(Data!G956="","",IF(Data!G956=Data_Val!$C$2,IF(Data!L956="",0,1),0))</f>
        <v/>
      </c>
      <c r="M966" s="16" t="str">
        <f>IF(Data!L956="","",IF(ISNUMBER(MATCH(Data!M956,Data_Val!$A$2:$A$3,0)),0,1))</f>
        <v/>
      </c>
      <c r="N966" s="43" t="str">
        <f ca="1">IF(Data!L956="","",IF(ISNUMBER(Data!N956),IF(AND(Data!N956&gt;(TODAY()-(Data_Val!$L$3*365.25)),Data!N956&lt;=(TODAY()-(Data_Val!$L$2*365.25))),0,1),1))</f>
        <v/>
      </c>
      <c r="O966" s="18" t="str">
        <f>IF(Data!$G956="","",IF(Data!$G956=Data_Val!$C$2,IF(Data!O956="",0,1),0))</f>
        <v/>
      </c>
      <c r="P966" s="18" t="str">
        <f>IF(Data!O956="","",IF(ISNUMBER(MATCH(Data!P956,Data_Val!$A$2:$A$3,0)),0,1))</f>
        <v/>
      </c>
      <c r="Q966" s="44" t="str">
        <f ca="1">IF(Data!O956="","",IF(ISNUMBER(Data!Q956),IF(AND(Data!Q956&gt;(TODAY()-(Data_Val!$L$3*365.25)),Data!Q956&lt;=(TODAY()-(Data_Val!$L$2*365.25))),0,1),1))</f>
        <v/>
      </c>
    </row>
    <row r="967" spans="1:17" ht="12" customHeight="1" x14ac:dyDescent="0.25">
      <c r="A967" s="36" t="str">
        <f>IF(Data!B957="","",IF(COUNTIFS(Data!A$1:'Data'!A957,Data!A957)&lt;=1,0,1))</f>
        <v/>
      </c>
      <c r="B967" s="36"/>
      <c r="C967" s="36" t="str">
        <f>IF(Data!C957="","",(IF(ISNUMBER(MATCH("*@*.?*",Data!C957,0)),0,1)+IF(COUNTIFS(Data!C$1:'Data'!C957,Data!C957)&gt;1,1,0)))</f>
        <v/>
      </c>
      <c r="D967" s="36" t="str">
        <f>IF(Data!B957="","",IF(ISNUMBER(Data!D957),IF(AND(Data!D957&gt;999999999,Data!D957&lt;=9999999999),IF(COUNTIFS(Data!D$1:'Data'!D957,Data!D957)&lt;=1,0,1),1),1))</f>
        <v/>
      </c>
      <c r="E967" s="36" t="str">
        <f>IF(Data!B957="","",IF(ISNUMBER(MATCH(Data!E957,Data_Val!$A$2:$A$3,0)),0,1))</f>
        <v/>
      </c>
      <c r="F967" s="36" t="str">
        <f ca="1">IF(Data!B957="","",IF(ISNUMBER(Data!F957),IF(AND(Data!F957&gt;(TODAY()-(Data_Val!$H$3*365.25)),Data!F957&lt;=(TODAY()-(Data_Val!$H$2*365.25))),0,1),1))</f>
        <v/>
      </c>
      <c r="G967" s="12" t="str">
        <f>IF(Data!B957="","",IF(AND(Data!G957="",Data!H957&lt;&gt;""),1,IF(ISNUMBER(MATCH(Data!G957,Data_Val!$C$2:$C$5,0)),0,1)))</f>
        <v/>
      </c>
      <c r="H967" s="12" t="str">
        <f>IF(Data!B957="","",IF(AND(Data!G957&lt;&gt;"",Data!H957=""),1,IF(Data!G957="",1,IF(ISNUMBER(MATCH(Data!H957,Data_Val!$D$2:$D$35,0)),0,1))))</f>
        <v/>
      </c>
      <c r="I967" s="38" t="str">
        <f>IF(Data!G957="","",IF(Data!G957=Data_Val!$C$2,IF(Data!I957="",0,1),0))</f>
        <v/>
      </c>
      <c r="J967" s="38" t="str">
        <f>IF(Data!I957="","",IF(ISNUMBER(MATCH(Data!J957,Data_Val!$A$2:$A$3,0)),0,1))</f>
        <v/>
      </c>
      <c r="K967" s="38" t="str">
        <f ca="1">IF(Data!I957="","",IF(ISNUMBER(Data!K957),IF(AND(Data!K957&gt;(TODAY()-(Data_Val!$K$3*365.25)),Data!K957&lt;=(TODAY()-(Data_Val!$K$2*365.25))),0,1),1))</f>
        <v/>
      </c>
      <c r="L967" s="16" t="str">
        <f>IF(Data!G957="","",IF(Data!G957=Data_Val!$C$2,IF(Data!L957="",0,1),0))</f>
        <v/>
      </c>
      <c r="M967" s="16" t="str">
        <f>IF(Data!L957="","",IF(ISNUMBER(MATCH(Data!M957,Data_Val!$A$2:$A$3,0)),0,1))</f>
        <v/>
      </c>
      <c r="N967" s="43" t="str">
        <f ca="1">IF(Data!L957="","",IF(ISNUMBER(Data!N957),IF(AND(Data!N957&gt;(TODAY()-(Data_Val!$L$3*365.25)),Data!N957&lt;=(TODAY()-(Data_Val!$L$2*365.25))),0,1),1))</f>
        <v/>
      </c>
      <c r="O967" s="18" t="str">
        <f>IF(Data!$G957="","",IF(Data!$G957=Data_Val!$C$2,IF(Data!O957="",0,1),0))</f>
        <v/>
      </c>
      <c r="P967" s="18" t="str">
        <f>IF(Data!O957="","",IF(ISNUMBER(MATCH(Data!P957,Data_Val!$A$2:$A$3,0)),0,1))</f>
        <v/>
      </c>
      <c r="Q967" s="44" t="str">
        <f ca="1">IF(Data!O957="","",IF(ISNUMBER(Data!Q957),IF(AND(Data!Q957&gt;(TODAY()-(Data_Val!$L$3*365.25)),Data!Q957&lt;=(TODAY()-(Data_Val!$L$2*365.25))),0,1),1))</f>
        <v/>
      </c>
    </row>
    <row r="968" spans="1:17" ht="12" customHeight="1" x14ac:dyDescent="0.25">
      <c r="A968" s="36" t="str">
        <f>IF(Data!B958="","",IF(COUNTIFS(Data!A$1:'Data'!A958,Data!A958)&lt;=1,0,1))</f>
        <v/>
      </c>
      <c r="B968" s="36"/>
      <c r="C968" s="36" t="str">
        <f>IF(Data!C958="","",(IF(ISNUMBER(MATCH("*@*.?*",Data!C958,0)),0,1)+IF(COUNTIFS(Data!C$1:'Data'!C958,Data!C958)&gt;1,1,0)))</f>
        <v/>
      </c>
      <c r="D968" s="36" t="str">
        <f>IF(Data!B958="","",IF(ISNUMBER(Data!D958),IF(AND(Data!D958&gt;999999999,Data!D958&lt;=9999999999),IF(COUNTIFS(Data!D$1:'Data'!D958,Data!D958)&lt;=1,0,1),1),1))</f>
        <v/>
      </c>
      <c r="E968" s="36" t="str">
        <f>IF(Data!B958="","",IF(ISNUMBER(MATCH(Data!E958,Data_Val!$A$2:$A$3,0)),0,1))</f>
        <v/>
      </c>
      <c r="F968" s="36" t="str">
        <f ca="1">IF(Data!B958="","",IF(ISNUMBER(Data!F958),IF(AND(Data!F958&gt;(TODAY()-(Data_Val!$H$3*365.25)),Data!F958&lt;=(TODAY()-(Data_Val!$H$2*365.25))),0,1),1))</f>
        <v/>
      </c>
      <c r="G968" s="12" t="str">
        <f>IF(Data!B958="","",IF(AND(Data!G958="",Data!H958&lt;&gt;""),1,IF(ISNUMBER(MATCH(Data!G958,Data_Val!$C$2:$C$5,0)),0,1)))</f>
        <v/>
      </c>
      <c r="H968" s="12" t="str">
        <f>IF(Data!B958="","",IF(AND(Data!G958&lt;&gt;"",Data!H958=""),1,IF(Data!G958="",1,IF(ISNUMBER(MATCH(Data!H958,Data_Val!$D$2:$D$35,0)),0,1))))</f>
        <v/>
      </c>
      <c r="I968" s="38" t="str">
        <f>IF(Data!G958="","",IF(Data!G958=Data_Val!$C$2,IF(Data!I958="",0,1),0))</f>
        <v/>
      </c>
      <c r="J968" s="38" t="str">
        <f>IF(Data!I958="","",IF(ISNUMBER(MATCH(Data!J958,Data_Val!$A$2:$A$3,0)),0,1))</f>
        <v/>
      </c>
      <c r="K968" s="38" t="str">
        <f ca="1">IF(Data!I958="","",IF(ISNUMBER(Data!K958),IF(AND(Data!K958&gt;(TODAY()-(Data_Val!$K$3*365.25)),Data!K958&lt;=(TODAY()-(Data_Val!$K$2*365.25))),0,1),1))</f>
        <v/>
      </c>
      <c r="L968" s="16" t="str">
        <f>IF(Data!G958="","",IF(Data!G958=Data_Val!$C$2,IF(Data!L958="",0,1),0))</f>
        <v/>
      </c>
      <c r="M968" s="16" t="str">
        <f>IF(Data!L958="","",IF(ISNUMBER(MATCH(Data!M958,Data_Val!$A$2:$A$3,0)),0,1))</f>
        <v/>
      </c>
      <c r="N968" s="43" t="str">
        <f ca="1">IF(Data!L958="","",IF(ISNUMBER(Data!N958),IF(AND(Data!N958&gt;(TODAY()-(Data_Val!$L$3*365.25)),Data!N958&lt;=(TODAY()-(Data_Val!$L$2*365.25))),0,1),1))</f>
        <v/>
      </c>
      <c r="O968" s="18" t="str">
        <f>IF(Data!$G958="","",IF(Data!$G958=Data_Val!$C$2,IF(Data!O958="",0,1),0))</f>
        <v/>
      </c>
      <c r="P968" s="18" t="str">
        <f>IF(Data!O958="","",IF(ISNUMBER(MATCH(Data!P958,Data_Val!$A$2:$A$3,0)),0,1))</f>
        <v/>
      </c>
      <c r="Q968" s="44" t="str">
        <f ca="1">IF(Data!O958="","",IF(ISNUMBER(Data!Q958),IF(AND(Data!Q958&gt;(TODAY()-(Data_Val!$L$3*365.25)),Data!Q958&lt;=(TODAY()-(Data_Val!$L$2*365.25))),0,1),1))</f>
        <v/>
      </c>
    </row>
    <row r="969" spans="1:17" ht="12" customHeight="1" x14ac:dyDescent="0.25">
      <c r="A969" s="36" t="str">
        <f>IF(Data!B959="","",IF(COUNTIFS(Data!A$1:'Data'!A959,Data!A959)&lt;=1,0,1))</f>
        <v/>
      </c>
      <c r="B969" s="36"/>
      <c r="C969" s="36" t="str">
        <f>IF(Data!C959="","",(IF(ISNUMBER(MATCH("*@*.?*",Data!C959,0)),0,1)+IF(COUNTIFS(Data!C$1:'Data'!C959,Data!C959)&gt;1,1,0)))</f>
        <v/>
      </c>
      <c r="D969" s="36" t="str">
        <f>IF(Data!B959="","",IF(ISNUMBER(Data!D959),IF(AND(Data!D959&gt;999999999,Data!D959&lt;=9999999999),IF(COUNTIFS(Data!D$1:'Data'!D959,Data!D959)&lt;=1,0,1),1),1))</f>
        <v/>
      </c>
      <c r="E969" s="36" t="str">
        <f>IF(Data!B959="","",IF(ISNUMBER(MATCH(Data!E959,Data_Val!$A$2:$A$3,0)),0,1))</f>
        <v/>
      </c>
      <c r="F969" s="36" t="str">
        <f ca="1">IF(Data!B959="","",IF(ISNUMBER(Data!F959),IF(AND(Data!F959&gt;(TODAY()-(Data_Val!$H$3*365.25)),Data!F959&lt;=(TODAY()-(Data_Val!$H$2*365.25))),0,1),1))</f>
        <v/>
      </c>
      <c r="G969" s="12" t="str">
        <f>IF(Data!B959="","",IF(AND(Data!G959="",Data!H959&lt;&gt;""),1,IF(ISNUMBER(MATCH(Data!G959,Data_Val!$C$2:$C$5,0)),0,1)))</f>
        <v/>
      </c>
      <c r="H969" s="12" t="str">
        <f>IF(Data!B959="","",IF(AND(Data!G959&lt;&gt;"",Data!H959=""),1,IF(Data!G959="",1,IF(ISNUMBER(MATCH(Data!H959,Data_Val!$D$2:$D$35,0)),0,1))))</f>
        <v/>
      </c>
      <c r="I969" s="38" t="str">
        <f>IF(Data!G959="","",IF(Data!G959=Data_Val!$C$2,IF(Data!I959="",0,1),0))</f>
        <v/>
      </c>
      <c r="J969" s="38" t="str">
        <f>IF(Data!I959="","",IF(ISNUMBER(MATCH(Data!J959,Data_Val!$A$2:$A$3,0)),0,1))</f>
        <v/>
      </c>
      <c r="K969" s="38" t="str">
        <f ca="1">IF(Data!I959="","",IF(ISNUMBER(Data!K959),IF(AND(Data!K959&gt;(TODAY()-(Data_Val!$K$3*365.25)),Data!K959&lt;=(TODAY()-(Data_Val!$K$2*365.25))),0,1),1))</f>
        <v/>
      </c>
      <c r="L969" s="16" t="str">
        <f>IF(Data!G959="","",IF(Data!G959=Data_Val!$C$2,IF(Data!L959="",0,1),0))</f>
        <v/>
      </c>
      <c r="M969" s="16" t="str">
        <f>IF(Data!L959="","",IF(ISNUMBER(MATCH(Data!M959,Data_Val!$A$2:$A$3,0)),0,1))</f>
        <v/>
      </c>
      <c r="N969" s="43" t="str">
        <f ca="1">IF(Data!L959="","",IF(ISNUMBER(Data!N959),IF(AND(Data!N959&gt;(TODAY()-(Data_Val!$L$3*365.25)),Data!N959&lt;=(TODAY()-(Data_Val!$L$2*365.25))),0,1),1))</f>
        <v/>
      </c>
      <c r="O969" s="18" t="str">
        <f>IF(Data!$G959="","",IF(Data!$G959=Data_Val!$C$2,IF(Data!O959="",0,1),0))</f>
        <v/>
      </c>
      <c r="P969" s="18" t="str">
        <f>IF(Data!O959="","",IF(ISNUMBER(MATCH(Data!P959,Data_Val!$A$2:$A$3,0)),0,1))</f>
        <v/>
      </c>
      <c r="Q969" s="44" t="str">
        <f ca="1">IF(Data!O959="","",IF(ISNUMBER(Data!Q959),IF(AND(Data!Q959&gt;(TODAY()-(Data_Val!$L$3*365.25)),Data!Q959&lt;=(TODAY()-(Data_Val!$L$2*365.25))),0,1),1))</f>
        <v/>
      </c>
    </row>
    <row r="970" spans="1:17" ht="12" customHeight="1" x14ac:dyDescent="0.25">
      <c r="A970" s="36" t="str">
        <f>IF(Data!B960="","",IF(COUNTIFS(Data!A$1:'Data'!A960,Data!A960)&lt;=1,0,1))</f>
        <v/>
      </c>
      <c r="B970" s="36"/>
      <c r="C970" s="36" t="str">
        <f>IF(Data!C960="","",(IF(ISNUMBER(MATCH("*@*.?*",Data!C960,0)),0,1)+IF(COUNTIFS(Data!C$1:'Data'!C960,Data!C960)&gt;1,1,0)))</f>
        <v/>
      </c>
      <c r="D970" s="36" t="str">
        <f>IF(Data!B960="","",IF(ISNUMBER(Data!D960),IF(AND(Data!D960&gt;999999999,Data!D960&lt;=9999999999),IF(COUNTIFS(Data!D$1:'Data'!D960,Data!D960)&lt;=1,0,1),1),1))</f>
        <v/>
      </c>
      <c r="E970" s="36" t="str">
        <f>IF(Data!B960="","",IF(ISNUMBER(MATCH(Data!E960,Data_Val!$A$2:$A$3,0)),0,1))</f>
        <v/>
      </c>
      <c r="F970" s="36" t="str">
        <f ca="1">IF(Data!B960="","",IF(ISNUMBER(Data!F960),IF(AND(Data!F960&gt;(TODAY()-(Data_Val!$H$3*365.25)),Data!F960&lt;=(TODAY()-(Data_Val!$H$2*365.25))),0,1),1))</f>
        <v/>
      </c>
      <c r="G970" s="12" t="str">
        <f>IF(Data!B960="","",IF(AND(Data!G960="",Data!H960&lt;&gt;""),1,IF(ISNUMBER(MATCH(Data!G960,Data_Val!$C$2:$C$5,0)),0,1)))</f>
        <v/>
      </c>
      <c r="H970" s="12" t="str">
        <f>IF(Data!B960="","",IF(AND(Data!G960&lt;&gt;"",Data!H960=""),1,IF(Data!G960="",1,IF(ISNUMBER(MATCH(Data!H960,Data_Val!$D$2:$D$35,0)),0,1))))</f>
        <v/>
      </c>
      <c r="I970" s="38" t="str">
        <f>IF(Data!G960="","",IF(Data!G960=Data_Val!$C$2,IF(Data!I960="",0,1),0))</f>
        <v/>
      </c>
      <c r="J970" s="38" t="str">
        <f>IF(Data!I960="","",IF(ISNUMBER(MATCH(Data!J960,Data_Val!$A$2:$A$3,0)),0,1))</f>
        <v/>
      </c>
      <c r="K970" s="38" t="str">
        <f ca="1">IF(Data!I960="","",IF(ISNUMBER(Data!K960),IF(AND(Data!K960&gt;(TODAY()-(Data_Val!$K$3*365.25)),Data!K960&lt;=(TODAY()-(Data_Val!$K$2*365.25))),0,1),1))</f>
        <v/>
      </c>
      <c r="L970" s="16" t="str">
        <f>IF(Data!G960="","",IF(Data!G960=Data_Val!$C$2,IF(Data!L960="",0,1),0))</f>
        <v/>
      </c>
      <c r="M970" s="16" t="str">
        <f>IF(Data!L960="","",IF(ISNUMBER(MATCH(Data!M960,Data_Val!$A$2:$A$3,0)),0,1))</f>
        <v/>
      </c>
      <c r="N970" s="43" t="str">
        <f ca="1">IF(Data!L960="","",IF(ISNUMBER(Data!N960),IF(AND(Data!N960&gt;(TODAY()-(Data_Val!$L$3*365.25)),Data!N960&lt;=(TODAY()-(Data_Val!$L$2*365.25))),0,1),1))</f>
        <v/>
      </c>
      <c r="O970" s="18" t="str">
        <f>IF(Data!$G960="","",IF(Data!$G960=Data_Val!$C$2,IF(Data!O960="",0,1),0))</f>
        <v/>
      </c>
      <c r="P970" s="18" t="str">
        <f>IF(Data!O960="","",IF(ISNUMBER(MATCH(Data!P960,Data_Val!$A$2:$A$3,0)),0,1))</f>
        <v/>
      </c>
      <c r="Q970" s="44" t="str">
        <f ca="1">IF(Data!O960="","",IF(ISNUMBER(Data!Q960),IF(AND(Data!Q960&gt;(TODAY()-(Data_Val!$L$3*365.25)),Data!Q960&lt;=(TODAY()-(Data_Val!$L$2*365.25))),0,1),1))</f>
        <v/>
      </c>
    </row>
    <row r="971" spans="1:17" ht="12" customHeight="1" x14ac:dyDescent="0.25">
      <c r="A971" s="36" t="str">
        <f>IF(Data!B961="","",IF(COUNTIFS(Data!A$1:'Data'!A961,Data!A961)&lt;=1,0,1))</f>
        <v/>
      </c>
      <c r="B971" s="36"/>
      <c r="C971" s="36" t="str">
        <f>IF(Data!C961="","",(IF(ISNUMBER(MATCH("*@*.?*",Data!C961,0)),0,1)+IF(COUNTIFS(Data!C$1:'Data'!C961,Data!C961)&gt;1,1,0)))</f>
        <v/>
      </c>
      <c r="D971" s="36" t="str">
        <f>IF(Data!B961="","",IF(ISNUMBER(Data!D961),IF(AND(Data!D961&gt;999999999,Data!D961&lt;=9999999999),IF(COUNTIFS(Data!D$1:'Data'!D961,Data!D961)&lt;=1,0,1),1),1))</f>
        <v/>
      </c>
      <c r="E971" s="36" t="str">
        <f>IF(Data!B961="","",IF(ISNUMBER(MATCH(Data!E961,Data_Val!$A$2:$A$3,0)),0,1))</f>
        <v/>
      </c>
      <c r="F971" s="36" t="str">
        <f ca="1">IF(Data!B961="","",IF(ISNUMBER(Data!F961),IF(AND(Data!F961&gt;(TODAY()-(Data_Val!$H$3*365.25)),Data!F961&lt;=(TODAY()-(Data_Val!$H$2*365.25))),0,1),1))</f>
        <v/>
      </c>
      <c r="G971" s="12" t="str">
        <f>IF(Data!B961="","",IF(AND(Data!G961="",Data!H961&lt;&gt;""),1,IF(ISNUMBER(MATCH(Data!G961,Data_Val!$C$2:$C$5,0)),0,1)))</f>
        <v/>
      </c>
      <c r="H971" s="12" t="str">
        <f>IF(Data!B961="","",IF(AND(Data!G961&lt;&gt;"",Data!H961=""),1,IF(Data!G961="",1,IF(ISNUMBER(MATCH(Data!H961,Data_Val!$D$2:$D$35,0)),0,1))))</f>
        <v/>
      </c>
      <c r="I971" s="38" t="str">
        <f>IF(Data!G961="","",IF(Data!G961=Data_Val!$C$2,IF(Data!I961="",0,1),0))</f>
        <v/>
      </c>
      <c r="J971" s="38" t="str">
        <f>IF(Data!I961="","",IF(ISNUMBER(MATCH(Data!J961,Data_Val!$A$2:$A$3,0)),0,1))</f>
        <v/>
      </c>
      <c r="K971" s="38" t="str">
        <f ca="1">IF(Data!I961="","",IF(ISNUMBER(Data!K961),IF(AND(Data!K961&gt;(TODAY()-(Data_Val!$K$3*365.25)),Data!K961&lt;=(TODAY()-(Data_Val!$K$2*365.25))),0,1),1))</f>
        <v/>
      </c>
      <c r="L971" s="16" t="str">
        <f>IF(Data!G961="","",IF(Data!G961=Data_Val!$C$2,IF(Data!L961="",0,1),0))</f>
        <v/>
      </c>
      <c r="M971" s="16" t="str">
        <f>IF(Data!L961="","",IF(ISNUMBER(MATCH(Data!M961,Data_Val!$A$2:$A$3,0)),0,1))</f>
        <v/>
      </c>
      <c r="N971" s="43" t="str">
        <f ca="1">IF(Data!L961="","",IF(ISNUMBER(Data!N961),IF(AND(Data!N961&gt;(TODAY()-(Data_Val!$L$3*365.25)),Data!N961&lt;=(TODAY()-(Data_Val!$L$2*365.25))),0,1),1))</f>
        <v/>
      </c>
      <c r="O971" s="18" t="str">
        <f>IF(Data!$G961="","",IF(Data!$G961=Data_Val!$C$2,IF(Data!O961="",0,1),0))</f>
        <v/>
      </c>
      <c r="P971" s="18" t="str">
        <f>IF(Data!O961="","",IF(ISNUMBER(MATCH(Data!P961,Data_Val!$A$2:$A$3,0)),0,1))</f>
        <v/>
      </c>
      <c r="Q971" s="44" t="str">
        <f ca="1">IF(Data!O961="","",IF(ISNUMBER(Data!Q961),IF(AND(Data!Q961&gt;(TODAY()-(Data_Val!$L$3*365.25)),Data!Q961&lt;=(TODAY()-(Data_Val!$L$2*365.25))),0,1),1))</f>
        <v/>
      </c>
    </row>
    <row r="972" spans="1:17" ht="12" customHeight="1" x14ac:dyDescent="0.25">
      <c r="A972" s="36" t="str">
        <f>IF(Data!B962="","",IF(COUNTIFS(Data!A$1:'Data'!A962,Data!A962)&lt;=1,0,1))</f>
        <v/>
      </c>
      <c r="B972" s="36"/>
      <c r="C972" s="36" t="str">
        <f>IF(Data!C962="","",(IF(ISNUMBER(MATCH("*@*.?*",Data!C962,0)),0,1)+IF(COUNTIFS(Data!C$1:'Data'!C962,Data!C962)&gt;1,1,0)))</f>
        <v/>
      </c>
      <c r="D972" s="36" t="str">
        <f>IF(Data!B962="","",IF(ISNUMBER(Data!D962),IF(AND(Data!D962&gt;999999999,Data!D962&lt;=9999999999),IF(COUNTIFS(Data!D$1:'Data'!D962,Data!D962)&lt;=1,0,1),1),1))</f>
        <v/>
      </c>
      <c r="E972" s="36" t="str">
        <f>IF(Data!B962="","",IF(ISNUMBER(MATCH(Data!E962,Data_Val!$A$2:$A$3,0)),0,1))</f>
        <v/>
      </c>
      <c r="F972" s="36" t="str">
        <f ca="1">IF(Data!B962="","",IF(ISNUMBER(Data!F962),IF(AND(Data!F962&gt;(TODAY()-(Data_Val!$H$3*365.25)),Data!F962&lt;=(TODAY()-(Data_Val!$H$2*365.25))),0,1),1))</f>
        <v/>
      </c>
      <c r="G972" s="12" t="str">
        <f>IF(Data!B962="","",IF(AND(Data!G962="",Data!H962&lt;&gt;""),1,IF(ISNUMBER(MATCH(Data!G962,Data_Val!$C$2:$C$5,0)),0,1)))</f>
        <v/>
      </c>
      <c r="H972" s="12" t="str">
        <f>IF(Data!B962="","",IF(AND(Data!G962&lt;&gt;"",Data!H962=""),1,IF(Data!G962="",1,IF(ISNUMBER(MATCH(Data!H962,Data_Val!$D$2:$D$35,0)),0,1))))</f>
        <v/>
      </c>
      <c r="I972" s="38" t="str">
        <f>IF(Data!G962="","",IF(Data!G962=Data_Val!$C$2,IF(Data!I962="",0,1),0))</f>
        <v/>
      </c>
      <c r="J972" s="38" t="str">
        <f>IF(Data!I962="","",IF(ISNUMBER(MATCH(Data!J962,Data_Val!$A$2:$A$3,0)),0,1))</f>
        <v/>
      </c>
      <c r="K972" s="38" t="str">
        <f ca="1">IF(Data!I962="","",IF(ISNUMBER(Data!K962),IF(AND(Data!K962&gt;(TODAY()-(Data_Val!$K$3*365.25)),Data!K962&lt;=(TODAY()-(Data_Val!$K$2*365.25))),0,1),1))</f>
        <v/>
      </c>
      <c r="L972" s="16" t="str">
        <f>IF(Data!G962="","",IF(Data!G962=Data_Val!$C$2,IF(Data!L962="",0,1),0))</f>
        <v/>
      </c>
      <c r="M972" s="16" t="str">
        <f>IF(Data!L962="","",IF(ISNUMBER(MATCH(Data!M962,Data_Val!$A$2:$A$3,0)),0,1))</f>
        <v/>
      </c>
      <c r="N972" s="43" t="str">
        <f ca="1">IF(Data!L962="","",IF(ISNUMBER(Data!N962),IF(AND(Data!N962&gt;(TODAY()-(Data_Val!$L$3*365.25)),Data!N962&lt;=(TODAY()-(Data_Val!$L$2*365.25))),0,1),1))</f>
        <v/>
      </c>
      <c r="O972" s="18" t="str">
        <f>IF(Data!$G962="","",IF(Data!$G962=Data_Val!$C$2,IF(Data!O962="",0,1),0))</f>
        <v/>
      </c>
      <c r="P972" s="18" t="str">
        <f>IF(Data!O962="","",IF(ISNUMBER(MATCH(Data!P962,Data_Val!$A$2:$A$3,0)),0,1))</f>
        <v/>
      </c>
      <c r="Q972" s="44" t="str">
        <f ca="1">IF(Data!O962="","",IF(ISNUMBER(Data!Q962),IF(AND(Data!Q962&gt;(TODAY()-(Data_Val!$L$3*365.25)),Data!Q962&lt;=(TODAY()-(Data_Val!$L$2*365.25))),0,1),1))</f>
        <v/>
      </c>
    </row>
    <row r="973" spans="1:17" ht="12" customHeight="1" x14ac:dyDescent="0.25">
      <c r="A973" s="36" t="str">
        <f>IF(Data!B963="","",IF(COUNTIFS(Data!A$1:'Data'!A963,Data!A963)&lt;=1,0,1))</f>
        <v/>
      </c>
      <c r="B973" s="36"/>
      <c r="C973" s="36" t="str">
        <f>IF(Data!C963="","",(IF(ISNUMBER(MATCH("*@*.?*",Data!C963,0)),0,1)+IF(COUNTIFS(Data!C$1:'Data'!C963,Data!C963)&gt;1,1,0)))</f>
        <v/>
      </c>
      <c r="D973" s="36" t="str">
        <f>IF(Data!B963="","",IF(ISNUMBER(Data!D963),IF(AND(Data!D963&gt;999999999,Data!D963&lt;=9999999999),IF(COUNTIFS(Data!D$1:'Data'!D963,Data!D963)&lt;=1,0,1),1),1))</f>
        <v/>
      </c>
      <c r="E973" s="36" t="str">
        <f>IF(Data!B963="","",IF(ISNUMBER(MATCH(Data!E963,Data_Val!$A$2:$A$3,0)),0,1))</f>
        <v/>
      </c>
      <c r="F973" s="36" t="str">
        <f ca="1">IF(Data!B963="","",IF(ISNUMBER(Data!F963),IF(AND(Data!F963&gt;(TODAY()-(Data_Val!$H$3*365.25)),Data!F963&lt;=(TODAY()-(Data_Val!$H$2*365.25))),0,1),1))</f>
        <v/>
      </c>
      <c r="G973" s="12" t="str">
        <f>IF(Data!B963="","",IF(AND(Data!G963="",Data!H963&lt;&gt;""),1,IF(ISNUMBER(MATCH(Data!G963,Data_Val!$C$2:$C$5,0)),0,1)))</f>
        <v/>
      </c>
      <c r="H973" s="12" t="str">
        <f>IF(Data!B963="","",IF(AND(Data!G963&lt;&gt;"",Data!H963=""),1,IF(Data!G963="",1,IF(ISNUMBER(MATCH(Data!H963,Data_Val!$D$2:$D$35,0)),0,1))))</f>
        <v/>
      </c>
      <c r="I973" s="38" t="str">
        <f>IF(Data!G963="","",IF(Data!G963=Data_Val!$C$2,IF(Data!I963="",0,1),0))</f>
        <v/>
      </c>
      <c r="J973" s="38" t="str">
        <f>IF(Data!I963="","",IF(ISNUMBER(MATCH(Data!J963,Data_Val!$A$2:$A$3,0)),0,1))</f>
        <v/>
      </c>
      <c r="K973" s="38" t="str">
        <f ca="1">IF(Data!I963="","",IF(ISNUMBER(Data!K963),IF(AND(Data!K963&gt;(TODAY()-(Data_Val!$K$3*365.25)),Data!K963&lt;=(TODAY()-(Data_Val!$K$2*365.25))),0,1),1))</f>
        <v/>
      </c>
      <c r="L973" s="16" t="str">
        <f>IF(Data!G963="","",IF(Data!G963=Data_Val!$C$2,IF(Data!L963="",0,1),0))</f>
        <v/>
      </c>
      <c r="M973" s="16" t="str">
        <f>IF(Data!L963="","",IF(ISNUMBER(MATCH(Data!M963,Data_Val!$A$2:$A$3,0)),0,1))</f>
        <v/>
      </c>
      <c r="N973" s="43" t="str">
        <f ca="1">IF(Data!L963="","",IF(ISNUMBER(Data!N963),IF(AND(Data!N963&gt;(TODAY()-(Data_Val!$L$3*365.25)),Data!N963&lt;=(TODAY()-(Data_Val!$L$2*365.25))),0,1),1))</f>
        <v/>
      </c>
      <c r="O973" s="18" t="str">
        <f>IF(Data!$G963="","",IF(Data!$G963=Data_Val!$C$2,IF(Data!O963="",0,1),0))</f>
        <v/>
      </c>
      <c r="P973" s="18" t="str">
        <f>IF(Data!O963="","",IF(ISNUMBER(MATCH(Data!P963,Data_Val!$A$2:$A$3,0)),0,1))</f>
        <v/>
      </c>
      <c r="Q973" s="44" t="str">
        <f ca="1">IF(Data!O963="","",IF(ISNUMBER(Data!Q963),IF(AND(Data!Q963&gt;(TODAY()-(Data_Val!$L$3*365.25)),Data!Q963&lt;=(TODAY()-(Data_Val!$L$2*365.25))),0,1),1))</f>
        <v/>
      </c>
    </row>
    <row r="974" spans="1:17" ht="12" customHeight="1" x14ac:dyDescent="0.25">
      <c r="A974" s="36" t="str">
        <f>IF(Data!B964="","",IF(COUNTIFS(Data!A$1:'Data'!A964,Data!A964)&lt;=1,0,1))</f>
        <v/>
      </c>
      <c r="B974" s="36"/>
      <c r="C974" s="36" t="str">
        <f>IF(Data!C964="","",(IF(ISNUMBER(MATCH("*@*.?*",Data!C964,0)),0,1)+IF(COUNTIFS(Data!C$1:'Data'!C964,Data!C964)&gt;1,1,0)))</f>
        <v/>
      </c>
      <c r="D974" s="36" t="str">
        <f>IF(Data!B964="","",IF(ISNUMBER(Data!D964),IF(AND(Data!D964&gt;999999999,Data!D964&lt;=9999999999),IF(COUNTIFS(Data!D$1:'Data'!D964,Data!D964)&lt;=1,0,1),1),1))</f>
        <v/>
      </c>
      <c r="E974" s="36" t="str">
        <f>IF(Data!B964="","",IF(ISNUMBER(MATCH(Data!E964,Data_Val!$A$2:$A$3,0)),0,1))</f>
        <v/>
      </c>
      <c r="F974" s="36" t="str">
        <f ca="1">IF(Data!B964="","",IF(ISNUMBER(Data!F964),IF(AND(Data!F964&gt;(TODAY()-(Data_Val!$H$3*365.25)),Data!F964&lt;=(TODAY()-(Data_Val!$H$2*365.25))),0,1),1))</f>
        <v/>
      </c>
      <c r="G974" s="12" t="str">
        <f>IF(Data!B964="","",IF(AND(Data!G964="",Data!H964&lt;&gt;""),1,IF(ISNUMBER(MATCH(Data!G964,Data_Val!$C$2:$C$5,0)),0,1)))</f>
        <v/>
      </c>
      <c r="H974" s="12" t="str">
        <f>IF(Data!B964="","",IF(AND(Data!G964&lt;&gt;"",Data!H964=""),1,IF(Data!G964="",1,IF(ISNUMBER(MATCH(Data!H964,Data_Val!$D$2:$D$35,0)),0,1))))</f>
        <v/>
      </c>
      <c r="I974" s="38" t="str">
        <f>IF(Data!G964="","",IF(Data!G964=Data_Val!$C$2,IF(Data!I964="",0,1),0))</f>
        <v/>
      </c>
      <c r="J974" s="38" t="str">
        <f>IF(Data!I964="","",IF(ISNUMBER(MATCH(Data!J964,Data_Val!$A$2:$A$3,0)),0,1))</f>
        <v/>
      </c>
      <c r="K974" s="38" t="str">
        <f ca="1">IF(Data!I964="","",IF(ISNUMBER(Data!K964),IF(AND(Data!K964&gt;(TODAY()-(Data_Val!$K$3*365.25)),Data!K964&lt;=(TODAY()-(Data_Val!$K$2*365.25))),0,1),1))</f>
        <v/>
      </c>
      <c r="L974" s="16" t="str">
        <f>IF(Data!G964="","",IF(Data!G964=Data_Val!$C$2,IF(Data!L964="",0,1),0))</f>
        <v/>
      </c>
      <c r="M974" s="16" t="str">
        <f>IF(Data!L964="","",IF(ISNUMBER(MATCH(Data!M964,Data_Val!$A$2:$A$3,0)),0,1))</f>
        <v/>
      </c>
      <c r="N974" s="43" t="str">
        <f ca="1">IF(Data!L964="","",IF(ISNUMBER(Data!N964),IF(AND(Data!N964&gt;(TODAY()-(Data_Val!$L$3*365.25)),Data!N964&lt;=(TODAY()-(Data_Val!$L$2*365.25))),0,1),1))</f>
        <v/>
      </c>
      <c r="O974" s="18" t="str">
        <f>IF(Data!$G964="","",IF(Data!$G964=Data_Val!$C$2,IF(Data!O964="",0,1),0))</f>
        <v/>
      </c>
      <c r="P974" s="18" t="str">
        <f>IF(Data!O964="","",IF(ISNUMBER(MATCH(Data!P964,Data_Val!$A$2:$A$3,0)),0,1))</f>
        <v/>
      </c>
      <c r="Q974" s="44" t="str">
        <f ca="1">IF(Data!O964="","",IF(ISNUMBER(Data!Q964),IF(AND(Data!Q964&gt;(TODAY()-(Data_Val!$L$3*365.25)),Data!Q964&lt;=(TODAY()-(Data_Val!$L$2*365.25))),0,1),1))</f>
        <v/>
      </c>
    </row>
    <row r="975" spans="1:17" ht="12" customHeight="1" x14ac:dyDescent="0.25">
      <c r="A975" s="36" t="str">
        <f>IF(Data!B965="","",IF(COUNTIFS(Data!A$1:'Data'!A965,Data!A965)&lt;=1,0,1))</f>
        <v/>
      </c>
      <c r="B975" s="36"/>
      <c r="C975" s="36" t="str">
        <f>IF(Data!C965="","",(IF(ISNUMBER(MATCH("*@*.?*",Data!C965,0)),0,1)+IF(COUNTIFS(Data!C$1:'Data'!C965,Data!C965)&gt;1,1,0)))</f>
        <v/>
      </c>
      <c r="D975" s="36" t="str">
        <f>IF(Data!B965="","",IF(ISNUMBER(Data!D965),IF(AND(Data!D965&gt;999999999,Data!D965&lt;=9999999999),IF(COUNTIFS(Data!D$1:'Data'!D965,Data!D965)&lt;=1,0,1),1),1))</f>
        <v/>
      </c>
      <c r="E975" s="36" t="str">
        <f>IF(Data!B965="","",IF(ISNUMBER(MATCH(Data!E965,Data_Val!$A$2:$A$3,0)),0,1))</f>
        <v/>
      </c>
      <c r="F975" s="36" t="str">
        <f ca="1">IF(Data!B965="","",IF(ISNUMBER(Data!F965),IF(AND(Data!F965&gt;(TODAY()-(Data_Val!$H$3*365.25)),Data!F965&lt;=(TODAY()-(Data_Val!$H$2*365.25))),0,1),1))</f>
        <v/>
      </c>
      <c r="G975" s="12" t="str">
        <f>IF(Data!B965="","",IF(AND(Data!G965="",Data!H965&lt;&gt;""),1,IF(ISNUMBER(MATCH(Data!G965,Data_Val!$C$2:$C$5,0)),0,1)))</f>
        <v/>
      </c>
      <c r="H975" s="12" t="str">
        <f>IF(Data!B965="","",IF(AND(Data!G965&lt;&gt;"",Data!H965=""),1,IF(Data!G965="",1,IF(ISNUMBER(MATCH(Data!H965,Data_Val!$D$2:$D$35,0)),0,1))))</f>
        <v/>
      </c>
      <c r="I975" s="38" t="str">
        <f>IF(Data!G965="","",IF(Data!G965=Data_Val!$C$2,IF(Data!I965="",0,1),0))</f>
        <v/>
      </c>
      <c r="J975" s="38" t="str">
        <f>IF(Data!I965="","",IF(ISNUMBER(MATCH(Data!J965,Data_Val!$A$2:$A$3,0)),0,1))</f>
        <v/>
      </c>
      <c r="K975" s="38" t="str">
        <f ca="1">IF(Data!I965="","",IF(ISNUMBER(Data!K965),IF(AND(Data!K965&gt;(TODAY()-(Data_Val!$K$3*365.25)),Data!K965&lt;=(TODAY()-(Data_Val!$K$2*365.25))),0,1),1))</f>
        <v/>
      </c>
      <c r="L975" s="16" t="str">
        <f>IF(Data!G965="","",IF(Data!G965=Data_Val!$C$2,IF(Data!L965="",0,1),0))</f>
        <v/>
      </c>
      <c r="M975" s="16" t="str">
        <f>IF(Data!L965="","",IF(ISNUMBER(MATCH(Data!M965,Data_Val!$A$2:$A$3,0)),0,1))</f>
        <v/>
      </c>
      <c r="N975" s="43" t="str">
        <f ca="1">IF(Data!L965="","",IF(ISNUMBER(Data!N965),IF(AND(Data!N965&gt;(TODAY()-(Data_Val!$L$3*365.25)),Data!N965&lt;=(TODAY()-(Data_Val!$L$2*365.25))),0,1),1))</f>
        <v/>
      </c>
      <c r="O975" s="18" t="str">
        <f>IF(Data!$G965="","",IF(Data!$G965=Data_Val!$C$2,IF(Data!O965="",0,1),0))</f>
        <v/>
      </c>
      <c r="P975" s="18" t="str">
        <f>IF(Data!O965="","",IF(ISNUMBER(MATCH(Data!P965,Data_Val!$A$2:$A$3,0)),0,1))</f>
        <v/>
      </c>
      <c r="Q975" s="44" t="str">
        <f ca="1">IF(Data!O965="","",IF(ISNUMBER(Data!Q965),IF(AND(Data!Q965&gt;(TODAY()-(Data_Val!$L$3*365.25)),Data!Q965&lt;=(TODAY()-(Data_Val!$L$2*365.25))),0,1),1))</f>
        <v/>
      </c>
    </row>
    <row r="976" spans="1:17" ht="12" customHeight="1" x14ac:dyDescent="0.25">
      <c r="A976" s="36" t="str">
        <f>IF(Data!B966="","",IF(COUNTIFS(Data!A$1:'Data'!A966,Data!A966)&lt;=1,0,1))</f>
        <v/>
      </c>
      <c r="B976" s="36"/>
      <c r="C976" s="36" t="str">
        <f>IF(Data!C966="","",(IF(ISNUMBER(MATCH("*@*.?*",Data!C966,0)),0,1)+IF(COUNTIFS(Data!C$1:'Data'!C966,Data!C966)&gt;1,1,0)))</f>
        <v/>
      </c>
      <c r="D976" s="36" t="str">
        <f>IF(Data!B966="","",IF(ISNUMBER(Data!D966),IF(AND(Data!D966&gt;999999999,Data!D966&lt;=9999999999),IF(COUNTIFS(Data!D$1:'Data'!D966,Data!D966)&lt;=1,0,1),1),1))</f>
        <v/>
      </c>
      <c r="E976" s="36" t="str">
        <f>IF(Data!B966="","",IF(ISNUMBER(MATCH(Data!E966,Data_Val!$A$2:$A$3,0)),0,1))</f>
        <v/>
      </c>
      <c r="F976" s="36" t="str">
        <f ca="1">IF(Data!B966="","",IF(ISNUMBER(Data!F966),IF(AND(Data!F966&gt;(TODAY()-(Data_Val!$H$3*365.25)),Data!F966&lt;=(TODAY()-(Data_Val!$H$2*365.25))),0,1),1))</f>
        <v/>
      </c>
      <c r="G976" s="12" t="str">
        <f>IF(Data!B966="","",IF(AND(Data!G966="",Data!H966&lt;&gt;""),1,IF(ISNUMBER(MATCH(Data!G966,Data_Val!$C$2:$C$5,0)),0,1)))</f>
        <v/>
      </c>
      <c r="H976" s="12" t="str">
        <f>IF(Data!B966="","",IF(AND(Data!G966&lt;&gt;"",Data!H966=""),1,IF(Data!G966="",1,IF(ISNUMBER(MATCH(Data!H966,Data_Val!$D$2:$D$35,0)),0,1))))</f>
        <v/>
      </c>
      <c r="I976" s="38" t="str">
        <f>IF(Data!G966="","",IF(Data!G966=Data_Val!$C$2,IF(Data!I966="",0,1),0))</f>
        <v/>
      </c>
      <c r="J976" s="38" t="str">
        <f>IF(Data!I966="","",IF(ISNUMBER(MATCH(Data!J966,Data_Val!$A$2:$A$3,0)),0,1))</f>
        <v/>
      </c>
      <c r="K976" s="38" t="str">
        <f ca="1">IF(Data!I966="","",IF(ISNUMBER(Data!K966),IF(AND(Data!K966&gt;(TODAY()-(Data_Val!$K$3*365.25)),Data!K966&lt;=(TODAY()-(Data_Val!$K$2*365.25))),0,1),1))</f>
        <v/>
      </c>
      <c r="L976" s="16" t="str">
        <f>IF(Data!G966="","",IF(Data!G966=Data_Val!$C$2,IF(Data!L966="",0,1),0))</f>
        <v/>
      </c>
      <c r="M976" s="16" t="str">
        <f>IF(Data!L966="","",IF(ISNUMBER(MATCH(Data!M966,Data_Val!$A$2:$A$3,0)),0,1))</f>
        <v/>
      </c>
      <c r="N976" s="43" t="str">
        <f ca="1">IF(Data!L966="","",IF(ISNUMBER(Data!N966),IF(AND(Data!N966&gt;(TODAY()-(Data_Val!$L$3*365.25)),Data!N966&lt;=(TODAY()-(Data_Val!$L$2*365.25))),0,1),1))</f>
        <v/>
      </c>
      <c r="O976" s="18" t="str">
        <f>IF(Data!$G966="","",IF(Data!$G966=Data_Val!$C$2,IF(Data!O966="",0,1),0))</f>
        <v/>
      </c>
      <c r="P976" s="18" t="str">
        <f>IF(Data!O966="","",IF(ISNUMBER(MATCH(Data!P966,Data_Val!$A$2:$A$3,0)),0,1))</f>
        <v/>
      </c>
      <c r="Q976" s="44" t="str">
        <f ca="1">IF(Data!O966="","",IF(ISNUMBER(Data!Q966),IF(AND(Data!Q966&gt;(TODAY()-(Data_Val!$L$3*365.25)),Data!Q966&lt;=(TODAY()-(Data_Val!$L$2*365.25))),0,1),1))</f>
        <v/>
      </c>
    </row>
    <row r="977" spans="1:17" ht="12" customHeight="1" x14ac:dyDescent="0.25">
      <c r="A977" s="36" t="str">
        <f>IF(Data!B967="","",IF(COUNTIFS(Data!A$1:'Data'!A967,Data!A967)&lt;=1,0,1))</f>
        <v/>
      </c>
      <c r="B977" s="36"/>
      <c r="C977" s="36" t="str">
        <f>IF(Data!C967="","",(IF(ISNUMBER(MATCH("*@*.?*",Data!C967,0)),0,1)+IF(COUNTIFS(Data!C$1:'Data'!C967,Data!C967)&gt;1,1,0)))</f>
        <v/>
      </c>
      <c r="D977" s="36" t="str">
        <f>IF(Data!B967="","",IF(ISNUMBER(Data!D967),IF(AND(Data!D967&gt;999999999,Data!D967&lt;=9999999999),IF(COUNTIFS(Data!D$1:'Data'!D967,Data!D967)&lt;=1,0,1),1),1))</f>
        <v/>
      </c>
      <c r="E977" s="36" t="str">
        <f>IF(Data!B967="","",IF(ISNUMBER(MATCH(Data!E967,Data_Val!$A$2:$A$3,0)),0,1))</f>
        <v/>
      </c>
      <c r="F977" s="36" t="str">
        <f ca="1">IF(Data!B967="","",IF(ISNUMBER(Data!F967),IF(AND(Data!F967&gt;(TODAY()-(Data_Val!$H$3*365.25)),Data!F967&lt;=(TODAY()-(Data_Val!$H$2*365.25))),0,1),1))</f>
        <v/>
      </c>
      <c r="G977" s="12" t="str">
        <f>IF(Data!B967="","",IF(AND(Data!G967="",Data!H967&lt;&gt;""),1,IF(ISNUMBER(MATCH(Data!G967,Data_Val!$C$2:$C$5,0)),0,1)))</f>
        <v/>
      </c>
      <c r="H977" s="12" t="str">
        <f>IF(Data!B967="","",IF(AND(Data!G967&lt;&gt;"",Data!H967=""),1,IF(Data!G967="",1,IF(ISNUMBER(MATCH(Data!H967,Data_Val!$D$2:$D$35,0)),0,1))))</f>
        <v/>
      </c>
      <c r="I977" s="38" t="str">
        <f>IF(Data!G967="","",IF(Data!G967=Data_Val!$C$2,IF(Data!I967="",0,1),0))</f>
        <v/>
      </c>
      <c r="J977" s="38" t="str">
        <f>IF(Data!I967="","",IF(ISNUMBER(MATCH(Data!J967,Data_Val!$A$2:$A$3,0)),0,1))</f>
        <v/>
      </c>
      <c r="K977" s="38" t="str">
        <f ca="1">IF(Data!I967="","",IF(ISNUMBER(Data!K967),IF(AND(Data!K967&gt;(TODAY()-(Data_Val!$K$3*365.25)),Data!K967&lt;=(TODAY()-(Data_Val!$K$2*365.25))),0,1),1))</f>
        <v/>
      </c>
      <c r="L977" s="16" t="str">
        <f>IF(Data!G967="","",IF(Data!G967=Data_Val!$C$2,IF(Data!L967="",0,1),0))</f>
        <v/>
      </c>
      <c r="M977" s="16" t="str">
        <f>IF(Data!L967="","",IF(ISNUMBER(MATCH(Data!M967,Data_Val!$A$2:$A$3,0)),0,1))</f>
        <v/>
      </c>
      <c r="N977" s="43" t="str">
        <f ca="1">IF(Data!L967="","",IF(ISNUMBER(Data!N967),IF(AND(Data!N967&gt;(TODAY()-(Data_Val!$L$3*365.25)),Data!N967&lt;=(TODAY()-(Data_Val!$L$2*365.25))),0,1),1))</f>
        <v/>
      </c>
      <c r="O977" s="18" t="str">
        <f>IF(Data!$G967="","",IF(Data!$G967=Data_Val!$C$2,IF(Data!O967="",0,1),0))</f>
        <v/>
      </c>
      <c r="P977" s="18" t="str">
        <f>IF(Data!O967="","",IF(ISNUMBER(MATCH(Data!P967,Data_Val!$A$2:$A$3,0)),0,1))</f>
        <v/>
      </c>
      <c r="Q977" s="44" t="str">
        <f ca="1">IF(Data!O967="","",IF(ISNUMBER(Data!Q967),IF(AND(Data!Q967&gt;(TODAY()-(Data_Val!$L$3*365.25)),Data!Q967&lt;=(TODAY()-(Data_Val!$L$2*365.25))),0,1),1))</f>
        <v/>
      </c>
    </row>
    <row r="978" spans="1:17" ht="12" customHeight="1" x14ac:dyDescent="0.25">
      <c r="A978" s="36" t="str">
        <f>IF(Data!B968="","",IF(COUNTIFS(Data!A$1:'Data'!A968,Data!A968)&lt;=1,0,1))</f>
        <v/>
      </c>
      <c r="B978" s="36"/>
      <c r="C978" s="36" t="str">
        <f>IF(Data!C968="","",(IF(ISNUMBER(MATCH("*@*.?*",Data!C968,0)),0,1)+IF(COUNTIFS(Data!C$1:'Data'!C968,Data!C968)&gt;1,1,0)))</f>
        <v/>
      </c>
      <c r="D978" s="36" t="str">
        <f>IF(Data!B968="","",IF(ISNUMBER(Data!D968),IF(AND(Data!D968&gt;999999999,Data!D968&lt;=9999999999),IF(COUNTIFS(Data!D$1:'Data'!D968,Data!D968)&lt;=1,0,1),1),1))</f>
        <v/>
      </c>
      <c r="E978" s="36" t="str">
        <f>IF(Data!B968="","",IF(ISNUMBER(MATCH(Data!E968,Data_Val!$A$2:$A$3,0)),0,1))</f>
        <v/>
      </c>
      <c r="F978" s="36" t="str">
        <f ca="1">IF(Data!B968="","",IF(ISNUMBER(Data!F968),IF(AND(Data!F968&gt;(TODAY()-(Data_Val!$H$3*365.25)),Data!F968&lt;=(TODAY()-(Data_Val!$H$2*365.25))),0,1),1))</f>
        <v/>
      </c>
      <c r="G978" s="12" t="str">
        <f>IF(Data!B968="","",IF(AND(Data!G968="",Data!H968&lt;&gt;""),1,IF(ISNUMBER(MATCH(Data!G968,Data_Val!$C$2:$C$5,0)),0,1)))</f>
        <v/>
      </c>
      <c r="H978" s="12" t="str">
        <f>IF(Data!B968="","",IF(AND(Data!G968&lt;&gt;"",Data!H968=""),1,IF(Data!G968="",1,IF(ISNUMBER(MATCH(Data!H968,Data_Val!$D$2:$D$35,0)),0,1))))</f>
        <v/>
      </c>
      <c r="I978" s="38" t="str">
        <f>IF(Data!G968="","",IF(Data!G968=Data_Val!$C$2,IF(Data!I968="",0,1),0))</f>
        <v/>
      </c>
      <c r="J978" s="38" t="str">
        <f>IF(Data!I968="","",IF(ISNUMBER(MATCH(Data!J968,Data_Val!$A$2:$A$3,0)),0,1))</f>
        <v/>
      </c>
      <c r="K978" s="38" t="str">
        <f ca="1">IF(Data!I968="","",IF(ISNUMBER(Data!K968),IF(AND(Data!K968&gt;(TODAY()-(Data_Val!$K$3*365.25)),Data!K968&lt;=(TODAY()-(Data_Val!$K$2*365.25))),0,1),1))</f>
        <v/>
      </c>
      <c r="L978" s="16" t="str">
        <f>IF(Data!G968="","",IF(Data!G968=Data_Val!$C$2,IF(Data!L968="",0,1),0))</f>
        <v/>
      </c>
      <c r="M978" s="16" t="str">
        <f>IF(Data!L968="","",IF(ISNUMBER(MATCH(Data!M968,Data_Val!$A$2:$A$3,0)),0,1))</f>
        <v/>
      </c>
      <c r="N978" s="43" t="str">
        <f ca="1">IF(Data!L968="","",IF(ISNUMBER(Data!N968),IF(AND(Data!N968&gt;(TODAY()-(Data_Val!$L$3*365.25)),Data!N968&lt;=(TODAY()-(Data_Val!$L$2*365.25))),0,1),1))</f>
        <v/>
      </c>
      <c r="O978" s="18" t="str">
        <f>IF(Data!$G968="","",IF(Data!$G968=Data_Val!$C$2,IF(Data!O968="",0,1),0))</f>
        <v/>
      </c>
      <c r="P978" s="18" t="str">
        <f>IF(Data!O968="","",IF(ISNUMBER(MATCH(Data!P968,Data_Val!$A$2:$A$3,0)),0,1))</f>
        <v/>
      </c>
      <c r="Q978" s="44" t="str">
        <f ca="1">IF(Data!O968="","",IF(ISNUMBER(Data!Q968),IF(AND(Data!Q968&gt;(TODAY()-(Data_Val!$L$3*365.25)),Data!Q968&lt;=(TODAY()-(Data_Val!$L$2*365.25))),0,1),1))</f>
        <v/>
      </c>
    </row>
    <row r="979" spans="1:17" ht="12" customHeight="1" x14ac:dyDescent="0.25">
      <c r="A979" s="36" t="str">
        <f>IF(Data!B969="","",IF(COUNTIFS(Data!A$1:'Data'!A969,Data!A969)&lt;=1,0,1))</f>
        <v/>
      </c>
      <c r="B979" s="36"/>
      <c r="C979" s="36" t="str">
        <f>IF(Data!C969="","",(IF(ISNUMBER(MATCH("*@*.?*",Data!C969,0)),0,1)+IF(COUNTIFS(Data!C$1:'Data'!C969,Data!C969)&gt;1,1,0)))</f>
        <v/>
      </c>
      <c r="D979" s="36" t="str">
        <f>IF(Data!B969="","",IF(ISNUMBER(Data!D969),IF(AND(Data!D969&gt;999999999,Data!D969&lt;=9999999999),IF(COUNTIFS(Data!D$1:'Data'!D969,Data!D969)&lt;=1,0,1),1),1))</f>
        <v/>
      </c>
      <c r="E979" s="36" t="str">
        <f>IF(Data!B969="","",IF(ISNUMBER(MATCH(Data!E969,Data_Val!$A$2:$A$3,0)),0,1))</f>
        <v/>
      </c>
      <c r="F979" s="36" t="str">
        <f ca="1">IF(Data!B969="","",IF(ISNUMBER(Data!F969),IF(AND(Data!F969&gt;(TODAY()-(Data_Val!$H$3*365.25)),Data!F969&lt;=(TODAY()-(Data_Val!$H$2*365.25))),0,1),1))</f>
        <v/>
      </c>
      <c r="G979" s="12" t="str">
        <f>IF(Data!B969="","",IF(AND(Data!G969="",Data!H969&lt;&gt;""),1,IF(ISNUMBER(MATCH(Data!G969,Data_Val!$C$2:$C$5,0)),0,1)))</f>
        <v/>
      </c>
      <c r="H979" s="12" t="str">
        <f>IF(Data!B969="","",IF(AND(Data!G969&lt;&gt;"",Data!H969=""),1,IF(Data!G969="",1,IF(ISNUMBER(MATCH(Data!H969,Data_Val!$D$2:$D$35,0)),0,1))))</f>
        <v/>
      </c>
      <c r="I979" s="38" t="str">
        <f>IF(Data!G969="","",IF(Data!G969=Data_Val!$C$2,IF(Data!I969="",0,1),0))</f>
        <v/>
      </c>
      <c r="J979" s="38" t="str">
        <f>IF(Data!I969="","",IF(ISNUMBER(MATCH(Data!J969,Data_Val!$A$2:$A$3,0)),0,1))</f>
        <v/>
      </c>
      <c r="K979" s="38" t="str">
        <f ca="1">IF(Data!I969="","",IF(ISNUMBER(Data!K969),IF(AND(Data!K969&gt;(TODAY()-(Data_Val!$K$3*365.25)),Data!K969&lt;=(TODAY()-(Data_Val!$K$2*365.25))),0,1),1))</f>
        <v/>
      </c>
      <c r="L979" s="16" t="str">
        <f>IF(Data!G969="","",IF(Data!G969=Data_Val!$C$2,IF(Data!L969="",0,1),0))</f>
        <v/>
      </c>
      <c r="M979" s="16" t="str">
        <f>IF(Data!L969="","",IF(ISNUMBER(MATCH(Data!M969,Data_Val!$A$2:$A$3,0)),0,1))</f>
        <v/>
      </c>
      <c r="N979" s="43" t="str">
        <f ca="1">IF(Data!L969="","",IF(ISNUMBER(Data!N969),IF(AND(Data!N969&gt;(TODAY()-(Data_Val!$L$3*365.25)),Data!N969&lt;=(TODAY()-(Data_Val!$L$2*365.25))),0,1),1))</f>
        <v/>
      </c>
      <c r="O979" s="18" t="str">
        <f>IF(Data!$G969="","",IF(Data!$G969=Data_Val!$C$2,IF(Data!O969="",0,1),0))</f>
        <v/>
      </c>
      <c r="P979" s="18" t="str">
        <f>IF(Data!O969="","",IF(ISNUMBER(MATCH(Data!P969,Data_Val!$A$2:$A$3,0)),0,1))</f>
        <v/>
      </c>
      <c r="Q979" s="44" t="str">
        <f ca="1">IF(Data!O969="","",IF(ISNUMBER(Data!Q969),IF(AND(Data!Q969&gt;(TODAY()-(Data_Val!$L$3*365.25)),Data!Q969&lt;=(TODAY()-(Data_Val!$L$2*365.25))),0,1),1))</f>
        <v/>
      </c>
    </row>
    <row r="980" spans="1:17" ht="12" customHeight="1" x14ac:dyDescent="0.25">
      <c r="A980" s="36" t="str">
        <f>IF(Data!B970="","",IF(COUNTIFS(Data!A$1:'Data'!A970,Data!A970)&lt;=1,0,1))</f>
        <v/>
      </c>
      <c r="B980" s="36"/>
      <c r="C980" s="36" t="str">
        <f>IF(Data!C970="","",(IF(ISNUMBER(MATCH("*@*.?*",Data!C970,0)),0,1)+IF(COUNTIFS(Data!C$1:'Data'!C970,Data!C970)&gt;1,1,0)))</f>
        <v/>
      </c>
      <c r="D980" s="36" t="str">
        <f>IF(Data!B970="","",IF(ISNUMBER(Data!D970),IF(AND(Data!D970&gt;999999999,Data!D970&lt;=9999999999),IF(COUNTIFS(Data!D$1:'Data'!D970,Data!D970)&lt;=1,0,1),1),1))</f>
        <v/>
      </c>
      <c r="E980" s="36" t="str">
        <f>IF(Data!B970="","",IF(ISNUMBER(MATCH(Data!E970,Data_Val!$A$2:$A$3,0)),0,1))</f>
        <v/>
      </c>
      <c r="F980" s="36" t="str">
        <f ca="1">IF(Data!B970="","",IF(ISNUMBER(Data!F970),IF(AND(Data!F970&gt;(TODAY()-(Data_Val!$H$3*365.25)),Data!F970&lt;=(TODAY()-(Data_Val!$H$2*365.25))),0,1),1))</f>
        <v/>
      </c>
      <c r="G980" s="12" t="str">
        <f>IF(Data!B970="","",IF(AND(Data!G970="",Data!H970&lt;&gt;""),1,IF(ISNUMBER(MATCH(Data!G970,Data_Val!$C$2:$C$5,0)),0,1)))</f>
        <v/>
      </c>
      <c r="H980" s="12" t="str">
        <f>IF(Data!B970="","",IF(AND(Data!G970&lt;&gt;"",Data!H970=""),1,IF(Data!G970="",1,IF(ISNUMBER(MATCH(Data!H970,Data_Val!$D$2:$D$35,0)),0,1))))</f>
        <v/>
      </c>
      <c r="I980" s="38" t="str">
        <f>IF(Data!G970="","",IF(Data!G970=Data_Val!$C$2,IF(Data!I970="",0,1),0))</f>
        <v/>
      </c>
      <c r="J980" s="38" t="str">
        <f>IF(Data!I970="","",IF(ISNUMBER(MATCH(Data!J970,Data_Val!$A$2:$A$3,0)),0,1))</f>
        <v/>
      </c>
      <c r="K980" s="38" t="str">
        <f ca="1">IF(Data!I970="","",IF(ISNUMBER(Data!K970),IF(AND(Data!K970&gt;(TODAY()-(Data_Val!$K$3*365.25)),Data!K970&lt;=(TODAY()-(Data_Val!$K$2*365.25))),0,1),1))</f>
        <v/>
      </c>
      <c r="L980" s="16" t="str">
        <f>IF(Data!G970="","",IF(Data!G970=Data_Val!$C$2,IF(Data!L970="",0,1),0))</f>
        <v/>
      </c>
      <c r="M980" s="16" t="str">
        <f>IF(Data!L970="","",IF(ISNUMBER(MATCH(Data!M970,Data_Val!$A$2:$A$3,0)),0,1))</f>
        <v/>
      </c>
      <c r="N980" s="43" t="str">
        <f ca="1">IF(Data!L970="","",IF(ISNUMBER(Data!N970),IF(AND(Data!N970&gt;(TODAY()-(Data_Val!$L$3*365.25)),Data!N970&lt;=(TODAY()-(Data_Val!$L$2*365.25))),0,1),1))</f>
        <v/>
      </c>
      <c r="O980" s="18" t="str">
        <f>IF(Data!$G970="","",IF(Data!$G970=Data_Val!$C$2,IF(Data!O970="",0,1),0))</f>
        <v/>
      </c>
      <c r="P980" s="18" t="str">
        <f>IF(Data!O970="","",IF(ISNUMBER(MATCH(Data!P970,Data_Val!$A$2:$A$3,0)),0,1))</f>
        <v/>
      </c>
      <c r="Q980" s="44" t="str">
        <f ca="1">IF(Data!O970="","",IF(ISNUMBER(Data!Q970),IF(AND(Data!Q970&gt;(TODAY()-(Data_Val!$L$3*365.25)),Data!Q970&lt;=(TODAY()-(Data_Val!$L$2*365.25))),0,1),1))</f>
        <v/>
      </c>
    </row>
    <row r="981" spans="1:17" ht="12" customHeight="1" x14ac:dyDescent="0.25">
      <c r="A981" s="36" t="str">
        <f>IF(Data!B971="","",IF(COUNTIFS(Data!A$1:'Data'!A971,Data!A971)&lt;=1,0,1))</f>
        <v/>
      </c>
      <c r="B981" s="36"/>
      <c r="C981" s="36" t="str">
        <f>IF(Data!C971="","",(IF(ISNUMBER(MATCH("*@*.?*",Data!C971,0)),0,1)+IF(COUNTIFS(Data!C$1:'Data'!C971,Data!C971)&gt;1,1,0)))</f>
        <v/>
      </c>
      <c r="D981" s="36" t="str">
        <f>IF(Data!B971="","",IF(ISNUMBER(Data!D971),IF(AND(Data!D971&gt;999999999,Data!D971&lt;=9999999999),IF(COUNTIFS(Data!D$1:'Data'!D971,Data!D971)&lt;=1,0,1),1),1))</f>
        <v/>
      </c>
      <c r="E981" s="36" t="str">
        <f>IF(Data!B971="","",IF(ISNUMBER(MATCH(Data!E971,Data_Val!$A$2:$A$3,0)),0,1))</f>
        <v/>
      </c>
      <c r="F981" s="36" t="str">
        <f ca="1">IF(Data!B971="","",IF(ISNUMBER(Data!F971),IF(AND(Data!F971&gt;(TODAY()-(Data_Val!$H$3*365.25)),Data!F971&lt;=(TODAY()-(Data_Val!$H$2*365.25))),0,1),1))</f>
        <v/>
      </c>
      <c r="G981" s="12" t="str">
        <f>IF(Data!B971="","",IF(AND(Data!G971="",Data!H971&lt;&gt;""),1,IF(ISNUMBER(MATCH(Data!G971,Data_Val!$C$2:$C$5,0)),0,1)))</f>
        <v/>
      </c>
      <c r="H981" s="12" t="str">
        <f>IF(Data!B971="","",IF(AND(Data!G971&lt;&gt;"",Data!H971=""),1,IF(Data!G971="",1,IF(ISNUMBER(MATCH(Data!H971,Data_Val!$D$2:$D$35,0)),0,1))))</f>
        <v/>
      </c>
      <c r="I981" s="38" t="str">
        <f>IF(Data!G971="","",IF(Data!G971=Data_Val!$C$2,IF(Data!I971="",0,1),0))</f>
        <v/>
      </c>
      <c r="J981" s="38" t="str">
        <f>IF(Data!I971="","",IF(ISNUMBER(MATCH(Data!J971,Data_Val!$A$2:$A$3,0)),0,1))</f>
        <v/>
      </c>
      <c r="K981" s="38" t="str">
        <f ca="1">IF(Data!I971="","",IF(ISNUMBER(Data!K971),IF(AND(Data!K971&gt;(TODAY()-(Data_Val!$K$3*365.25)),Data!K971&lt;=(TODAY()-(Data_Val!$K$2*365.25))),0,1),1))</f>
        <v/>
      </c>
      <c r="L981" s="16" t="str">
        <f>IF(Data!G971="","",IF(Data!G971=Data_Val!$C$2,IF(Data!L971="",0,1),0))</f>
        <v/>
      </c>
      <c r="M981" s="16" t="str">
        <f>IF(Data!L971="","",IF(ISNUMBER(MATCH(Data!M971,Data_Val!$A$2:$A$3,0)),0,1))</f>
        <v/>
      </c>
      <c r="N981" s="43" t="str">
        <f ca="1">IF(Data!L971="","",IF(ISNUMBER(Data!N971),IF(AND(Data!N971&gt;(TODAY()-(Data_Val!$L$3*365.25)),Data!N971&lt;=(TODAY()-(Data_Val!$L$2*365.25))),0,1),1))</f>
        <v/>
      </c>
      <c r="O981" s="18" t="str">
        <f>IF(Data!$G971="","",IF(Data!$G971=Data_Val!$C$2,IF(Data!O971="",0,1),0))</f>
        <v/>
      </c>
      <c r="P981" s="18" t="str">
        <f>IF(Data!O971="","",IF(ISNUMBER(MATCH(Data!P971,Data_Val!$A$2:$A$3,0)),0,1))</f>
        <v/>
      </c>
      <c r="Q981" s="44" t="str">
        <f ca="1">IF(Data!O971="","",IF(ISNUMBER(Data!Q971),IF(AND(Data!Q971&gt;(TODAY()-(Data_Val!$L$3*365.25)),Data!Q971&lt;=(TODAY()-(Data_Val!$L$2*365.25))),0,1),1))</f>
        <v/>
      </c>
    </row>
    <row r="982" spans="1:17" ht="12" customHeight="1" x14ac:dyDescent="0.25">
      <c r="A982" s="36" t="str">
        <f>IF(Data!B972="","",IF(COUNTIFS(Data!A$1:'Data'!A972,Data!A972)&lt;=1,0,1))</f>
        <v/>
      </c>
      <c r="B982" s="36"/>
      <c r="C982" s="36" t="str">
        <f>IF(Data!C972="","",(IF(ISNUMBER(MATCH("*@*.?*",Data!C972,0)),0,1)+IF(COUNTIFS(Data!C$1:'Data'!C972,Data!C972)&gt;1,1,0)))</f>
        <v/>
      </c>
      <c r="D982" s="36" t="str">
        <f>IF(Data!B972="","",IF(ISNUMBER(Data!D972),IF(AND(Data!D972&gt;999999999,Data!D972&lt;=9999999999),IF(COUNTIFS(Data!D$1:'Data'!D972,Data!D972)&lt;=1,0,1),1),1))</f>
        <v/>
      </c>
      <c r="E982" s="36" t="str">
        <f>IF(Data!B972="","",IF(ISNUMBER(MATCH(Data!E972,Data_Val!$A$2:$A$3,0)),0,1))</f>
        <v/>
      </c>
      <c r="F982" s="36" t="str">
        <f ca="1">IF(Data!B972="","",IF(ISNUMBER(Data!F972),IF(AND(Data!F972&gt;(TODAY()-(Data_Val!$H$3*365.25)),Data!F972&lt;=(TODAY()-(Data_Val!$H$2*365.25))),0,1),1))</f>
        <v/>
      </c>
      <c r="G982" s="12" t="str">
        <f>IF(Data!B972="","",IF(AND(Data!G972="",Data!H972&lt;&gt;""),1,IF(ISNUMBER(MATCH(Data!G972,Data_Val!$C$2:$C$5,0)),0,1)))</f>
        <v/>
      </c>
      <c r="H982" s="12" t="str">
        <f>IF(Data!B972="","",IF(AND(Data!G972&lt;&gt;"",Data!H972=""),1,IF(Data!G972="",1,IF(ISNUMBER(MATCH(Data!H972,Data_Val!$D$2:$D$35,0)),0,1))))</f>
        <v/>
      </c>
      <c r="I982" s="38" t="str">
        <f>IF(Data!G972="","",IF(Data!G972=Data_Val!$C$2,IF(Data!I972="",0,1),0))</f>
        <v/>
      </c>
      <c r="J982" s="38" t="str">
        <f>IF(Data!I972="","",IF(ISNUMBER(MATCH(Data!J972,Data_Val!$A$2:$A$3,0)),0,1))</f>
        <v/>
      </c>
      <c r="K982" s="38" t="str">
        <f ca="1">IF(Data!I972="","",IF(ISNUMBER(Data!K972),IF(AND(Data!K972&gt;(TODAY()-(Data_Val!$K$3*365.25)),Data!K972&lt;=(TODAY()-(Data_Val!$K$2*365.25))),0,1),1))</f>
        <v/>
      </c>
      <c r="L982" s="16" t="str">
        <f>IF(Data!G972="","",IF(Data!G972=Data_Val!$C$2,IF(Data!L972="",0,1),0))</f>
        <v/>
      </c>
      <c r="M982" s="16" t="str">
        <f>IF(Data!L972="","",IF(ISNUMBER(MATCH(Data!M972,Data_Val!$A$2:$A$3,0)),0,1))</f>
        <v/>
      </c>
      <c r="N982" s="43" t="str">
        <f ca="1">IF(Data!L972="","",IF(ISNUMBER(Data!N972),IF(AND(Data!N972&gt;(TODAY()-(Data_Val!$L$3*365.25)),Data!N972&lt;=(TODAY()-(Data_Val!$L$2*365.25))),0,1),1))</f>
        <v/>
      </c>
      <c r="O982" s="18" t="str">
        <f>IF(Data!$G972="","",IF(Data!$G972=Data_Val!$C$2,IF(Data!O972="",0,1),0))</f>
        <v/>
      </c>
      <c r="P982" s="18" t="str">
        <f>IF(Data!O972="","",IF(ISNUMBER(MATCH(Data!P972,Data_Val!$A$2:$A$3,0)),0,1))</f>
        <v/>
      </c>
      <c r="Q982" s="44" t="str">
        <f ca="1">IF(Data!O972="","",IF(ISNUMBER(Data!Q972),IF(AND(Data!Q972&gt;(TODAY()-(Data_Val!$L$3*365.25)),Data!Q972&lt;=(TODAY()-(Data_Val!$L$2*365.25))),0,1),1))</f>
        <v/>
      </c>
    </row>
    <row r="983" spans="1:17" ht="12" customHeight="1" x14ac:dyDescent="0.25">
      <c r="A983" s="36" t="str">
        <f>IF(Data!B973="","",IF(COUNTIFS(Data!A$1:'Data'!A973,Data!A973)&lt;=1,0,1))</f>
        <v/>
      </c>
      <c r="B983" s="36"/>
      <c r="C983" s="36" t="str">
        <f>IF(Data!C973="","",(IF(ISNUMBER(MATCH("*@*.?*",Data!C973,0)),0,1)+IF(COUNTIFS(Data!C$1:'Data'!C973,Data!C973)&gt;1,1,0)))</f>
        <v/>
      </c>
      <c r="D983" s="36" t="str">
        <f>IF(Data!B973="","",IF(ISNUMBER(Data!D973),IF(AND(Data!D973&gt;999999999,Data!D973&lt;=9999999999),IF(COUNTIFS(Data!D$1:'Data'!D973,Data!D973)&lt;=1,0,1),1),1))</f>
        <v/>
      </c>
      <c r="E983" s="36" t="str">
        <f>IF(Data!B973="","",IF(ISNUMBER(MATCH(Data!E973,Data_Val!$A$2:$A$3,0)),0,1))</f>
        <v/>
      </c>
      <c r="F983" s="36" t="str">
        <f ca="1">IF(Data!B973="","",IF(ISNUMBER(Data!F973),IF(AND(Data!F973&gt;(TODAY()-(Data_Val!$H$3*365.25)),Data!F973&lt;=(TODAY()-(Data_Val!$H$2*365.25))),0,1),1))</f>
        <v/>
      </c>
      <c r="G983" s="12" t="str">
        <f>IF(Data!B973="","",IF(AND(Data!G973="",Data!H973&lt;&gt;""),1,IF(ISNUMBER(MATCH(Data!G973,Data_Val!$C$2:$C$5,0)),0,1)))</f>
        <v/>
      </c>
      <c r="H983" s="12" t="str">
        <f>IF(Data!B973="","",IF(AND(Data!G973&lt;&gt;"",Data!H973=""),1,IF(Data!G973="",1,IF(ISNUMBER(MATCH(Data!H973,Data_Val!$D$2:$D$35,0)),0,1))))</f>
        <v/>
      </c>
      <c r="I983" s="38" t="str">
        <f>IF(Data!G973="","",IF(Data!G973=Data_Val!$C$2,IF(Data!I973="",0,1),0))</f>
        <v/>
      </c>
      <c r="J983" s="38" t="str">
        <f>IF(Data!I973="","",IF(ISNUMBER(MATCH(Data!J973,Data_Val!$A$2:$A$3,0)),0,1))</f>
        <v/>
      </c>
      <c r="K983" s="38" t="str">
        <f ca="1">IF(Data!I973="","",IF(ISNUMBER(Data!K973),IF(AND(Data!K973&gt;(TODAY()-(Data_Val!$K$3*365.25)),Data!K973&lt;=(TODAY()-(Data_Val!$K$2*365.25))),0,1),1))</f>
        <v/>
      </c>
      <c r="L983" s="16" t="str">
        <f>IF(Data!G973="","",IF(Data!G973=Data_Val!$C$2,IF(Data!L973="",0,1),0))</f>
        <v/>
      </c>
      <c r="M983" s="16" t="str">
        <f>IF(Data!L973="","",IF(ISNUMBER(MATCH(Data!M973,Data_Val!$A$2:$A$3,0)),0,1))</f>
        <v/>
      </c>
      <c r="N983" s="43" t="str">
        <f ca="1">IF(Data!L973="","",IF(ISNUMBER(Data!N973),IF(AND(Data!N973&gt;(TODAY()-(Data_Val!$L$3*365.25)),Data!N973&lt;=(TODAY()-(Data_Val!$L$2*365.25))),0,1),1))</f>
        <v/>
      </c>
      <c r="O983" s="18" t="str">
        <f>IF(Data!$G973="","",IF(Data!$G973=Data_Val!$C$2,IF(Data!O973="",0,1),0))</f>
        <v/>
      </c>
      <c r="P983" s="18" t="str">
        <f>IF(Data!O973="","",IF(ISNUMBER(MATCH(Data!P973,Data_Val!$A$2:$A$3,0)),0,1))</f>
        <v/>
      </c>
      <c r="Q983" s="44" t="str">
        <f ca="1">IF(Data!O973="","",IF(ISNUMBER(Data!Q973),IF(AND(Data!Q973&gt;(TODAY()-(Data_Val!$L$3*365.25)),Data!Q973&lt;=(TODAY()-(Data_Val!$L$2*365.25))),0,1),1))</f>
        <v/>
      </c>
    </row>
    <row r="984" spans="1:17" ht="12" customHeight="1" x14ac:dyDescent="0.25">
      <c r="A984" s="36" t="str">
        <f>IF(Data!B974="","",IF(COUNTIFS(Data!A$1:'Data'!A974,Data!A974)&lt;=1,0,1))</f>
        <v/>
      </c>
      <c r="B984" s="36"/>
      <c r="C984" s="36" t="str">
        <f>IF(Data!C974="","",(IF(ISNUMBER(MATCH("*@*.?*",Data!C974,0)),0,1)+IF(COUNTIFS(Data!C$1:'Data'!C974,Data!C974)&gt;1,1,0)))</f>
        <v/>
      </c>
      <c r="D984" s="36" t="str">
        <f>IF(Data!B974="","",IF(ISNUMBER(Data!D974),IF(AND(Data!D974&gt;999999999,Data!D974&lt;=9999999999),IF(COUNTIFS(Data!D$1:'Data'!D974,Data!D974)&lt;=1,0,1),1),1))</f>
        <v/>
      </c>
      <c r="E984" s="36" t="str">
        <f>IF(Data!B974="","",IF(ISNUMBER(MATCH(Data!E974,Data_Val!$A$2:$A$3,0)),0,1))</f>
        <v/>
      </c>
      <c r="F984" s="36" t="str">
        <f ca="1">IF(Data!B974="","",IF(ISNUMBER(Data!F974),IF(AND(Data!F974&gt;(TODAY()-(Data_Val!$H$3*365.25)),Data!F974&lt;=(TODAY()-(Data_Val!$H$2*365.25))),0,1),1))</f>
        <v/>
      </c>
      <c r="G984" s="12" t="str">
        <f>IF(Data!B974="","",IF(AND(Data!G974="",Data!H974&lt;&gt;""),1,IF(ISNUMBER(MATCH(Data!G974,Data_Val!$C$2:$C$5,0)),0,1)))</f>
        <v/>
      </c>
      <c r="H984" s="12" t="str">
        <f>IF(Data!B974="","",IF(AND(Data!G974&lt;&gt;"",Data!H974=""),1,IF(Data!G974="",1,IF(ISNUMBER(MATCH(Data!H974,Data_Val!$D$2:$D$35,0)),0,1))))</f>
        <v/>
      </c>
      <c r="I984" s="38" t="str">
        <f>IF(Data!G974="","",IF(Data!G974=Data_Val!$C$2,IF(Data!I974="",0,1),0))</f>
        <v/>
      </c>
      <c r="J984" s="38" t="str">
        <f>IF(Data!I974="","",IF(ISNUMBER(MATCH(Data!J974,Data_Val!$A$2:$A$3,0)),0,1))</f>
        <v/>
      </c>
      <c r="K984" s="38" t="str">
        <f ca="1">IF(Data!I974="","",IF(ISNUMBER(Data!K974),IF(AND(Data!K974&gt;(TODAY()-(Data_Val!$K$3*365.25)),Data!K974&lt;=(TODAY()-(Data_Val!$K$2*365.25))),0,1),1))</f>
        <v/>
      </c>
      <c r="L984" s="16" t="str">
        <f>IF(Data!G974="","",IF(Data!G974=Data_Val!$C$2,IF(Data!L974="",0,1),0))</f>
        <v/>
      </c>
      <c r="M984" s="16" t="str">
        <f>IF(Data!L974="","",IF(ISNUMBER(MATCH(Data!M974,Data_Val!$A$2:$A$3,0)),0,1))</f>
        <v/>
      </c>
      <c r="N984" s="43" t="str">
        <f ca="1">IF(Data!L974="","",IF(ISNUMBER(Data!N974),IF(AND(Data!N974&gt;(TODAY()-(Data_Val!$L$3*365.25)),Data!N974&lt;=(TODAY()-(Data_Val!$L$2*365.25))),0,1),1))</f>
        <v/>
      </c>
      <c r="O984" s="18" t="str">
        <f>IF(Data!$G974="","",IF(Data!$G974=Data_Val!$C$2,IF(Data!O974="",0,1),0))</f>
        <v/>
      </c>
      <c r="P984" s="18" t="str">
        <f>IF(Data!O974="","",IF(ISNUMBER(MATCH(Data!P974,Data_Val!$A$2:$A$3,0)),0,1))</f>
        <v/>
      </c>
      <c r="Q984" s="44" t="str">
        <f ca="1">IF(Data!O974="","",IF(ISNUMBER(Data!Q974),IF(AND(Data!Q974&gt;(TODAY()-(Data_Val!$L$3*365.25)),Data!Q974&lt;=(TODAY()-(Data_Val!$L$2*365.25))),0,1),1))</f>
        <v/>
      </c>
    </row>
    <row r="985" spans="1:17" ht="12" customHeight="1" x14ac:dyDescent="0.25">
      <c r="A985" s="36" t="str">
        <f>IF(Data!B975="","",IF(COUNTIFS(Data!A$1:'Data'!A975,Data!A975)&lt;=1,0,1))</f>
        <v/>
      </c>
      <c r="B985" s="36"/>
      <c r="C985" s="36" t="str">
        <f>IF(Data!C975="","",(IF(ISNUMBER(MATCH("*@*.?*",Data!C975,0)),0,1)+IF(COUNTIFS(Data!C$1:'Data'!C975,Data!C975)&gt;1,1,0)))</f>
        <v/>
      </c>
      <c r="D985" s="36" t="str">
        <f>IF(Data!B975="","",IF(ISNUMBER(Data!D975),IF(AND(Data!D975&gt;999999999,Data!D975&lt;=9999999999),IF(COUNTIFS(Data!D$1:'Data'!D975,Data!D975)&lt;=1,0,1),1),1))</f>
        <v/>
      </c>
      <c r="E985" s="36" t="str">
        <f>IF(Data!B975="","",IF(ISNUMBER(MATCH(Data!E975,Data_Val!$A$2:$A$3,0)),0,1))</f>
        <v/>
      </c>
      <c r="F985" s="36" t="str">
        <f ca="1">IF(Data!B975="","",IF(ISNUMBER(Data!F975),IF(AND(Data!F975&gt;(TODAY()-(Data_Val!$H$3*365.25)),Data!F975&lt;=(TODAY()-(Data_Val!$H$2*365.25))),0,1),1))</f>
        <v/>
      </c>
      <c r="G985" s="12" t="str">
        <f>IF(Data!B975="","",IF(AND(Data!G975="",Data!H975&lt;&gt;""),1,IF(ISNUMBER(MATCH(Data!G975,Data_Val!$C$2:$C$5,0)),0,1)))</f>
        <v/>
      </c>
      <c r="H985" s="12" t="str">
        <f>IF(Data!B975="","",IF(AND(Data!G975&lt;&gt;"",Data!H975=""),1,IF(Data!G975="",1,IF(ISNUMBER(MATCH(Data!H975,Data_Val!$D$2:$D$35,0)),0,1))))</f>
        <v/>
      </c>
      <c r="I985" s="38" t="str">
        <f>IF(Data!G975="","",IF(Data!G975=Data_Val!$C$2,IF(Data!I975="",0,1),0))</f>
        <v/>
      </c>
      <c r="J985" s="38" t="str">
        <f>IF(Data!I975="","",IF(ISNUMBER(MATCH(Data!J975,Data_Val!$A$2:$A$3,0)),0,1))</f>
        <v/>
      </c>
      <c r="K985" s="38" t="str">
        <f ca="1">IF(Data!I975="","",IF(ISNUMBER(Data!K975),IF(AND(Data!K975&gt;(TODAY()-(Data_Val!$K$3*365.25)),Data!K975&lt;=(TODAY()-(Data_Val!$K$2*365.25))),0,1),1))</f>
        <v/>
      </c>
      <c r="L985" s="16" t="str">
        <f>IF(Data!G975="","",IF(Data!G975=Data_Val!$C$2,IF(Data!L975="",0,1),0))</f>
        <v/>
      </c>
      <c r="M985" s="16" t="str">
        <f>IF(Data!L975="","",IF(ISNUMBER(MATCH(Data!M975,Data_Val!$A$2:$A$3,0)),0,1))</f>
        <v/>
      </c>
      <c r="N985" s="43" t="str">
        <f ca="1">IF(Data!L975="","",IF(ISNUMBER(Data!N975),IF(AND(Data!N975&gt;(TODAY()-(Data_Val!$L$3*365.25)),Data!N975&lt;=(TODAY()-(Data_Val!$L$2*365.25))),0,1),1))</f>
        <v/>
      </c>
      <c r="O985" s="18" t="str">
        <f>IF(Data!$G975="","",IF(Data!$G975=Data_Val!$C$2,IF(Data!O975="",0,1),0))</f>
        <v/>
      </c>
      <c r="P985" s="18" t="str">
        <f>IF(Data!O975="","",IF(ISNUMBER(MATCH(Data!P975,Data_Val!$A$2:$A$3,0)),0,1))</f>
        <v/>
      </c>
      <c r="Q985" s="44" t="str">
        <f ca="1">IF(Data!O975="","",IF(ISNUMBER(Data!Q975),IF(AND(Data!Q975&gt;(TODAY()-(Data_Val!$L$3*365.25)),Data!Q975&lt;=(TODAY()-(Data_Val!$L$2*365.25))),0,1),1))</f>
        <v/>
      </c>
    </row>
    <row r="986" spans="1:17" ht="12" customHeight="1" x14ac:dyDescent="0.25">
      <c r="A986" s="36" t="str">
        <f>IF(Data!B976="","",IF(COUNTIFS(Data!A$1:'Data'!A976,Data!A976)&lt;=1,0,1))</f>
        <v/>
      </c>
      <c r="B986" s="36"/>
      <c r="C986" s="36" t="str">
        <f>IF(Data!C976="","",(IF(ISNUMBER(MATCH("*@*.?*",Data!C976,0)),0,1)+IF(COUNTIFS(Data!C$1:'Data'!C976,Data!C976)&gt;1,1,0)))</f>
        <v/>
      </c>
      <c r="D986" s="36" t="str">
        <f>IF(Data!B976="","",IF(ISNUMBER(Data!D976),IF(AND(Data!D976&gt;999999999,Data!D976&lt;=9999999999),IF(COUNTIFS(Data!D$1:'Data'!D976,Data!D976)&lt;=1,0,1),1),1))</f>
        <v/>
      </c>
      <c r="E986" s="36" t="str">
        <f>IF(Data!B976="","",IF(ISNUMBER(MATCH(Data!E976,Data_Val!$A$2:$A$3,0)),0,1))</f>
        <v/>
      </c>
      <c r="F986" s="36" t="str">
        <f ca="1">IF(Data!B976="","",IF(ISNUMBER(Data!F976),IF(AND(Data!F976&gt;(TODAY()-(Data_Val!$H$3*365.25)),Data!F976&lt;=(TODAY()-(Data_Val!$H$2*365.25))),0,1),1))</f>
        <v/>
      </c>
      <c r="G986" s="12" t="str">
        <f>IF(Data!B976="","",IF(AND(Data!G976="",Data!H976&lt;&gt;""),1,IF(ISNUMBER(MATCH(Data!G976,Data_Val!$C$2:$C$5,0)),0,1)))</f>
        <v/>
      </c>
      <c r="H986" s="12" t="str">
        <f>IF(Data!B976="","",IF(AND(Data!G976&lt;&gt;"",Data!H976=""),1,IF(Data!G976="",1,IF(ISNUMBER(MATCH(Data!H976,Data_Val!$D$2:$D$35,0)),0,1))))</f>
        <v/>
      </c>
      <c r="I986" s="38" t="str">
        <f>IF(Data!G976="","",IF(Data!G976=Data_Val!$C$2,IF(Data!I976="",0,1),0))</f>
        <v/>
      </c>
      <c r="J986" s="38" t="str">
        <f>IF(Data!I976="","",IF(ISNUMBER(MATCH(Data!J976,Data_Val!$A$2:$A$3,0)),0,1))</f>
        <v/>
      </c>
      <c r="K986" s="38" t="str">
        <f ca="1">IF(Data!I976="","",IF(ISNUMBER(Data!K976),IF(AND(Data!K976&gt;(TODAY()-(Data_Val!$K$3*365.25)),Data!K976&lt;=(TODAY()-(Data_Val!$K$2*365.25))),0,1),1))</f>
        <v/>
      </c>
      <c r="L986" s="16" t="str">
        <f>IF(Data!G976="","",IF(Data!G976=Data_Val!$C$2,IF(Data!L976="",0,1),0))</f>
        <v/>
      </c>
      <c r="M986" s="16" t="str">
        <f>IF(Data!L976="","",IF(ISNUMBER(MATCH(Data!M976,Data_Val!$A$2:$A$3,0)),0,1))</f>
        <v/>
      </c>
      <c r="N986" s="43" t="str">
        <f ca="1">IF(Data!L976="","",IF(ISNUMBER(Data!N976),IF(AND(Data!N976&gt;(TODAY()-(Data_Val!$L$3*365.25)),Data!N976&lt;=(TODAY()-(Data_Val!$L$2*365.25))),0,1),1))</f>
        <v/>
      </c>
      <c r="O986" s="18" t="str">
        <f>IF(Data!$G976="","",IF(Data!$G976=Data_Val!$C$2,IF(Data!O976="",0,1),0))</f>
        <v/>
      </c>
      <c r="P986" s="18" t="str">
        <f>IF(Data!O976="","",IF(ISNUMBER(MATCH(Data!P976,Data_Val!$A$2:$A$3,0)),0,1))</f>
        <v/>
      </c>
      <c r="Q986" s="44" t="str">
        <f ca="1">IF(Data!O976="","",IF(ISNUMBER(Data!Q976),IF(AND(Data!Q976&gt;(TODAY()-(Data_Val!$L$3*365.25)),Data!Q976&lt;=(TODAY()-(Data_Val!$L$2*365.25))),0,1),1))</f>
        <v/>
      </c>
    </row>
    <row r="987" spans="1:17" ht="12" customHeight="1" x14ac:dyDescent="0.25">
      <c r="A987" s="36" t="str">
        <f>IF(Data!B977="","",IF(COUNTIFS(Data!A$1:'Data'!A977,Data!A977)&lt;=1,0,1))</f>
        <v/>
      </c>
      <c r="B987" s="36"/>
      <c r="C987" s="36" t="str">
        <f>IF(Data!C977="","",(IF(ISNUMBER(MATCH("*@*.?*",Data!C977,0)),0,1)+IF(COUNTIFS(Data!C$1:'Data'!C977,Data!C977)&gt;1,1,0)))</f>
        <v/>
      </c>
      <c r="D987" s="36" t="str">
        <f>IF(Data!B977="","",IF(ISNUMBER(Data!D977),IF(AND(Data!D977&gt;999999999,Data!D977&lt;=9999999999),IF(COUNTIFS(Data!D$1:'Data'!D977,Data!D977)&lt;=1,0,1),1),1))</f>
        <v/>
      </c>
      <c r="E987" s="36" t="str">
        <f>IF(Data!B977="","",IF(ISNUMBER(MATCH(Data!E977,Data_Val!$A$2:$A$3,0)),0,1))</f>
        <v/>
      </c>
      <c r="F987" s="36" t="str">
        <f ca="1">IF(Data!B977="","",IF(ISNUMBER(Data!F977),IF(AND(Data!F977&gt;(TODAY()-(Data_Val!$H$3*365.25)),Data!F977&lt;=(TODAY()-(Data_Val!$H$2*365.25))),0,1),1))</f>
        <v/>
      </c>
      <c r="G987" s="12" t="str">
        <f>IF(Data!B977="","",IF(AND(Data!G977="",Data!H977&lt;&gt;""),1,IF(ISNUMBER(MATCH(Data!G977,Data_Val!$C$2:$C$5,0)),0,1)))</f>
        <v/>
      </c>
      <c r="H987" s="12" t="str">
        <f>IF(Data!B977="","",IF(AND(Data!G977&lt;&gt;"",Data!H977=""),1,IF(Data!G977="",1,IF(ISNUMBER(MATCH(Data!H977,Data_Val!$D$2:$D$35,0)),0,1))))</f>
        <v/>
      </c>
      <c r="I987" s="38" t="str">
        <f>IF(Data!G977="","",IF(Data!G977=Data_Val!$C$2,IF(Data!I977="",0,1),0))</f>
        <v/>
      </c>
      <c r="J987" s="38" t="str">
        <f>IF(Data!I977="","",IF(ISNUMBER(MATCH(Data!J977,Data_Val!$A$2:$A$3,0)),0,1))</f>
        <v/>
      </c>
      <c r="K987" s="38" t="str">
        <f ca="1">IF(Data!I977="","",IF(ISNUMBER(Data!K977),IF(AND(Data!K977&gt;(TODAY()-(Data_Val!$K$3*365.25)),Data!K977&lt;=(TODAY()-(Data_Val!$K$2*365.25))),0,1),1))</f>
        <v/>
      </c>
      <c r="L987" s="16" t="str">
        <f>IF(Data!G977="","",IF(Data!G977=Data_Val!$C$2,IF(Data!L977="",0,1),0))</f>
        <v/>
      </c>
      <c r="M987" s="16" t="str">
        <f>IF(Data!L977="","",IF(ISNUMBER(MATCH(Data!M977,Data_Val!$A$2:$A$3,0)),0,1))</f>
        <v/>
      </c>
      <c r="N987" s="43" t="str">
        <f ca="1">IF(Data!L977="","",IF(ISNUMBER(Data!N977),IF(AND(Data!N977&gt;(TODAY()-(Data_Val!$L$3*365.25)),Data!N977&lt;=(TODAY()-(Data_Val!$L$2*365.25))),0,1),1))</f>
        <v/>
      </c>
      <c r="O987" s="18" t="str">
        <f>IF(Data!$G977="","",IF(Data!$G977=Data_Val!$C$2,IF(Data!O977="",0,1),0))</f>
        <v/>
      </c>
      <c r="P987" s="18" t="str">
        <f>IF(Data!O977="","",IF(ISNUMBER(MATCH(Data!P977,Data_Val!$A$2:$A$3,0)),0,1))</f>
        <v/>
      </c>
      <c r="Q987" s="44" t="str">
        <f ca="1">IF(Data!O977="","",IF(ISNUMBER(Data!Q977),IF(AND(Data!Q977&gt;(TODAY()-(Data_Val!$L$3*365.25)),Data!Q977&lt;=(TODAY()-(Data_Val!$L$2*365.25))),0,1),1))</f>
        <v/>
      </c>
    </row>
    <row r="988" spans="1:17" ht="12" customHeight="1" x14ac:dyDescent="0.25">
      <c r="A988" s="36" t="str">
        <f>IF(Data!B978="","",IF(COUNTIFS(Data!A$1:'Data'!A978,Data!A978)&lt;=1,0,1))</f>
        <v/>
      </c>
      <c r="B988" s="36"/>
      <c r="C988" s="36" t="str">
        <f>IF(Data!C978="","",(IF(ISNUMBER(MATCH("*@*.?*",Data!C978,0)),0,1)+IF(COUNTIFS(Data!C$1:'Data'!C978,Data!C978)&gt;1,1,0)))</f>
        <v/>
      </c>
      <c r="D988" s="36" t="str">
        <f>IF(Data!B978="","",IF(ISNUMBER(Data!D978),IF(AND(Data!D978&gt;999999999,Data!D978&lt;=9999999999),IF(COUNTIFS(Data!D$1:'Data'!D978,Data!D978)&lt;=1,0,1),1),1))</f>
        <v/>
      </c>
      <c r="E988" s="36" t="str">
        <f>IF(Data!B978="","",IF(ISNUMBER(MATCH(Data!E978,Data_Val!$A$2:$A$3,0)),0,1))</f>
        <v/>
      </c>
      <c r="F988" s="36" t="str">
        <f ca="1">IF(Data!B978="","",IF(ISNUMBER(Data!F978),IF(AND(Data!F978&gt;(TODAY()-(Data_Val!$H$3*365.25)),Data!F978&lt;=(TODAY()-(Data_Val!$H$2*365.25))),0,1),1))</f>
        <v/>
      </c>
      <c r="G988" s="12" t="str">
        <f>IF(Data!B978="","",IF(AND(Data!G978="",Data!H978&lt;&gt;""),1,IF(ISNUMBER(MATCH(Data!G978,Data_Val!$C$2:$C$5,0)),0,1)))</f>
        <v/>
      </c>
      <c r="H988" s="12" t="str">
        <f>IF(Data!B978="","",IF(AND(Data!G978&lt;&gt;"",Data!H978=""),1,IF(Data!G978="",1,IF(ISNUMBER(MATCH(Data!H978,Data_Val!$D$2:$D$35,0)),0,1))))</f>
        <v/>
      </c>
      <c r="I988" s="38" t="str">
        <f>IF(Data!G978="","",IF(Data!G978=Data_Val!$C$2,IF(Data!I978="",0,1),0))</f>
        <v/>
      </c>
      <c r="J988" s="38" t="str">
        <f>IF(Data!I978="","",IF(ISNUMBER(MATCH(Data!J978,Data_Val!$A$2:$A$3,0)),0,1))</f>
        <v/>
      </c>
      <c r="K988" s="38" t="str">
        <f ca="1">IF(Data!I978="","",IF(ISNUMBER(Data!K978),IF(AND(Data!K978&gt;(TODAY()-(Data_Val!$K$3*365.25)),Data!K978&lt;=(TODAY()-(Data_Val!$K$2*365.25))),0,1),1))</f>
        <v/>
      </c>
      <c r="L988" s="16" t="str">
        <f>IF(Data!G978="","",IF(Data!G978=Data_Val!$C$2,IF(Data!L978="",0,1),0))</f>
        <v/>
      </c>
      <c r="M988" s="16" t="str">
        <f>IF(Data!L978="","",IF(ISNUMBER(MATCH(Data!M978,Data_Val!$A$2:$A$3,0)),0,1))</f>
        <v/>
      </c>
      <c r="N988" s="43" t="str">
        <f ca="1">IF(Data!L978="","",IF(ISNUMBER(Data!N978),IF(AND(Data!N978&gt;(TODAY()-(Data_Val!$L$3*365.25)),Data!N978&lt;=(TODAY()-(Data_Val!$L$2*365.25))),0,1),1))</f>
        <v/>
      </c>
      <c r="O988" s="18" t="str">
        <f>IF(Data!$G978="","",IF(Data!$G978=Data_Val!$C$2,IF(Data!O978="",0,1),0))</f>
        <v/>
      </c>
      <c r="P988" s="18" t="str">
        <f>IF(Data!O978="","",IF(ISNUMBER(MATCH(Data!P978,Data_Val!$A$2:$A$3,0)),0,1))</f>
        <v/>
      </c>
      <c r="Q988" s="44" t="str">
        <f ca="1">IF(Data!O978="","",IF(ISNUMBER(Data!Q978),IF(AND(Data!Q978&gt;(TODAY()-(Data_Val!$L$3*365.25)),Data!Q978&lt;=(TODAY()-(Data_Val!$L$2*365.25))),0,1),1))</f>
        <v/>
      </c>
    </row>
    <row r="989" spans="1:17" ht="12" customHeight="1" x14ac:dyDescent="0.25">
      <c r="A989" s="36" t="str">
        <f>IF(Data!B979="","",IF(COUNTIFS(Data!A$1:'Data'!A979,Data!A979)&lt;=1,0,1))</f>
        <v/>
      </c>
      <c r="B989" s="36"/>
      <c r="C989" s="36" t="str">
        <f>IF(Data!C979="","",(IF(ISNUMBER(MATCH("*@*.?*",Data!C979,0)),0,1)+IF(COUNTIFS(Data!C$1:'Data'!C979,Data!C979)&gt;1,1,0)))</f>
        <v/>
      </c>
      <c r="D989" s="36" t="str">
        <f>IF(Data!B979="","",IF(ISNUMBER(Data!D979),IF(AND(Data!D979&gt;999999999,Data!D979&lt;=9999999999),IF(COUNTIFS(Data!D$1:'Data'!D979,Data!D979)&lt;=1,0,1),1),1))</f>
        <v/>
      </c>
      <c r="E989" s="36" t="str">
        <f>IF(Data!B979="","",IF(ISNUMBER(MATCH(Data!E979,Data_Val!$A$2:$A$3,0)),0,1))</f>
        <v/>
      </c>
      <c r="F989" s="36" t="str">
        <f ca="1">IF(Data!B979="","",IF(ISNUMBER(Data!F979),IF(AND(Data!F979&gt;(TODAY()-(Data_Val!$H$3*365.25)),Data!F979&lt;=(TODAY()-(Data_Val!$H$2*365.25))),0,1),1))</f>
        <v/>
      </c>
      <c r="G989" s="12" t="str">
        <f>IF(Data!B979="","",IF(AND(Data!G979="",Data!H979&lt;&gt;""),1,IF(ISNUMBER(MATCH(Data!G979,Data_Val!$C$2:$C$5,0)),0,1)))</f>
        <v/>
      </c>
      <c r="H989" s="12" t="str">
        <f>IF(Data!B979="","",IF(AND(Data!G979&lt;&gt;"",Data!H979=""),1,IF(Data!G979="",1,IF(ISNUMBER(MATCH(Data!H979,Data_Val!$D$2:$D$35,0)),0,1))))</f>
        <v/>
      </c>
      <c r="I989" s="38" t="str">
        <f>IF(Data!G979="","",IF(Data!G979=Data_Val!$C$2,IF(Data!I979="",0,1),0))</f>
        <v/>
      </c>
      <c r="J989" s="38" t="str">
        <f>IF(Data!I979="","",IF(ISNUMBER(MATCH(Data!J979,Data_Val!$A$2:$A$3,0)),0,1))</f>
        <v/>
      </c>
      <c r="K989" s="38" t="str">
        <f ca="1">IF(Data!I979="","",IF(ISNUMBER(Data!K979),IF(AND(Data!K979&gt;(TODAY()-(Data_Val!$K$3*365.25)),Data!K979&lt;=(TODAY()-(Data_Val!$K$2*365.25))),0,1),1))</f>
        <v/>
      </c>
      <c r="L989" s="16" t="str">
        <f>IF(Data!G979="","",IF(Data!G979=Data_Val!$C$2,IF(Data!L979="",0,1),0))</f>
        <v/>
      </c>
      <c r="M989" s="16" t="str">
        <f>IF(Data!L979="","",IF(ISNUMBER(MATCH(Data!M979,Data_Val!$A$2:$A$3,0)),0,1))</f>
        <v/>
      </c>
      <c r="N989" s="43" t="str">
        <f ca="1">IF(Data!L979="","",IF(ISNUMBER(Data!N979),IF(AND(Data!N979&gt;(TODAY()-(Data_Val!$L$3*365.25)),Data!N979&lt;=(TODAY()-(Data_Val!$L$2*365.25))),0,1),1))</f>
        <v/>
      </c>
      <c r="O989" s="18" t="str">
        <f>IF(Data!$G979="","",IF(Data!$G979=Data_Val!$C$2,IF(Data!O979="",0,1),0))</f>
        <v/>
      </c>
      <c r="P989" s="18" t="str">
        <f>IF(Data!O979="","",IF(ISNUMBER(MATCH(Data!P979,Data_Val!$A$2:$A$3,0)),0,1))</f>
        <v/>
      </c>
      <c r="Q989" s="44" t="str">
        <f ca="1">IF(Data!O979="","",IF(ISNUMBER(Data!Q979),IF(AND(Data!Q979&gt;(TODAY()-(Data_Val!$L$3*365.25)),Data!Q979&lt;=(TODAY()-(Data_Val!$L$2*365.25))),0,1),1))</f>
        <v/>
      </c>
    </row>
    <row r="990" spans="1:17" ht="12" customHeight="1" x14ac:dyDescent="0.25">
      <c r="A990" s="36" t="str">
        <f>IF(Data!B980="","",IF(COUNTIFS(Data!A$1:'Data'!A980,Data!A980)&lt;=1,0,1))</f>
        <v/>
      </c>
      <c r="B990" s="36"/>
      <c r="C990" s="36" t="str">
        <f>IF(Data!C980="","",(IF(ISNUMBER(MATCH("*@*.?*",Data!C980,0)),0,1)+IF(COUNTIFS(Data!C$1:'Data'!C980,Data!C980)&gt;1,1,0)))</f>
        <v/>
      </c>
      <c r="D990" s="36" t="str">
        <f>IF(Data!B980="","",IF(ISNUMBER(Data!D980),IF(AND(Data!D980&gt;999999999,Data!D980&lt;=9999999999),IF(COUNTIFS(Data!D$1:'Data'!D980,Data!D980)&lt;=1,0,1),1),1))</f>
        <v/>
      </c>
      <c r="E990" s="36" t="str">
        <f>IF(Data!B980="","",IF(ISNUMBER(MATCH(Data!E980,Data_Val!$A$2:$A$3,0)),0,1))</f>
        <v/>
      </c>
      <c r="F990" s="36" t="str">
        <f ca="1">IF(Data!B980="","",IF(ISNUMBER(Data!F980),IF(AND(Data!F980&gt;(TODAY()-(Data_Val!$H$3*365.25)),Data!F980&lt;=(TODAY()-(Data_Val!$H$2*365.25))),0,1),1))</f>
        <v/>
      </c>
      <c r="G990" s="12" t="str">
        <f>IF(Data!B980="","",IF(AND(Data!G980="",Data!H980&lt;&gt;""),1,IF(ISNUMBER(MATCH(Data!G980,Data_Val!$C$2:$C$5,0)),0,1)))</f>
        <v/>
      </c>
      <c r="H990" s="12" t="str">
        <f>IF(Data!B980="","",IF(AND(Data!G980&lt;&gt;"",Data!H980=""),1,IF(Data!G980="",1,IF(ISNUMBER(MATCH(Data!H980,Data_Val!$D$2:$D$35,0)),0,1))))</f>
        <v/>
      </c>
      <c r="I990" s="38" t="str">
        <f>IF(Data!G980="","",IF(Data!G980=Data_Val!$C$2,IF(Data!I980="",0,1),0))</f>
        <v/>
      </c>
      <c r="J990" s="38" t="str">
        <f>IF(Data!I980="","",IF(ISNUMBER(MATCH(Data!J980,Data_Val!$A$2:$A$3,0)),0,1))</f>
        <v/>
      </c>
      <c r="K990" s="38" t="str">
        <f ca="1">IF(Data!I980="","",IF(ISNUMBER(Data!K980),IF(AND(Data!K980&gt;(TODAY()-(Data_Val!$K$3*365.25)),Data!K980&lt;=(TODAY()-(Data_Val!$K$2*365.25))),0,1),1))</f>
        <v/>
      </c>
      <c r="L990" s="16" t="str">
        <f>IF(Data!G980="","",IF(Data!G980=Data_Val!$C$2,IF(Data!L980="",0,1),0))</f>
        <v/>
      </c>
      <c r="M990" s="16" t="str">
        <f>IF(Data!L980="","",IF(ISNUMBER(MATCH(Data!M980,Data_Val!$A$2:$A$3,0)),0,1))</f>
        <v/>
      </c>
      <c r="N990" s="43" t="str">
        <f ca="1">IF(Data!L980="","",IF(ISNUMBER(Data!N980),IF(AND(Data!N980&gt;(TODAY()-(Data_Val!$L$3*365.25)),Data!N980&lt;=(TODAY()-(Data_Val!$L$2*365.25))),0,1),1))</f>
        <v/>
      </c>
      <c r="O990" s="18" t="str">
        <f>IF(Data!$G980="","",IF(Data!$G980=Data_Val!$C$2,IF(Data!O980="",0,1),0))</f>
        <v/>
      </c>
      <c r="P990" s="18" t="str">
        <f>IF(Data!O980="","",IF(ISNUMBER(MATCH(Data!P980,Data_Val!$A$2:$A$3,0)),0,1))</f>
        <v/>
      </c>
      <c r="Q990" s="44" t="str">
        <f ca="1">IF(Data!O980="","",IF(ISNUMBER(Data!Q980),IF(AND(Data!Q980&gt;(TODAY()-(Data_Val!$L$3*365.25)),Data!Q980&lt;=(TODAY()-(Data_Val!$L$2*365.25))),0,1),1))</f>
        <v/>
      </c>
    </row>
    <row r="991" spans="1:17" ht="12" customHeight="1" x14ac:dyDescent="0.25">
      <c r="A991" s="36" t="str">
        <f>IF(Data!B981="","",IF(COUNTIFS(Data!A$1:'Data'!A981,Data!A981)&lt;=1,0,1))</f>
        <v/>
      </c>
      <c r="B991" s="36"/>
      <c r="C991" s="36" t="str">
        <f>IF(Data!C981="","",(IF(ISNUMBER(MATCH("*@*.?*",Data!C981,0)),0,1)+IF(COUNTIFS(Data!C$1:'Data'!C981,Data!C981)&gt;1,1,0)))</f>
        <v/>
      </c>
      <c r="D991" s="36" t="str">
        <f>IF(Data!B981="","",IF(ISNUMBER(Data!D981),IF(AND(Data!D981&gt;999999999,Data!D981&lt;=9999999999),IF(COUNTIFS(Data!D$1:'Data'!D981,Data!D981)&lt;=1,0,1),1),1))</f>
        <v/>
      </c>
      <c r="E991" s="36" t="str">
        <f>IF(Data!B981="","",IF(ISNUMBER(MATCH(Data!E981,Data_Val!$A$2:$A$3,0)),0,1))</f>
        <v/>
      </c>
      <c r="F991" s="36" t="str">
        <f ca="1">IF(Data!B981="","",IF(ISNUMBER(Data!F981),IF(AND(Data!F981&gt;(TODAY()-(Data_Val!$H$3*365.25)),Data!F981&lt;=(TODAY()-(Data_Val!$H$2*365.25))),0,1),1))</f>
        <v/>
      </c>
      <c r="G991" s="12" t="str">
        <f>IF(Data!B981="","",IF(AND(Data!G981="",Data!H981&lt;&gt;""),1,IF(ISNUMBER(MATCH(Data!G981,Data_Val!$C$2:$C$5,0)),0,1)))</f>
        <v/>
      </c>
      <c r="H991" s="12" t="str">
        <f>IF(Data!B981="","",IF(AND(Data!G981&lt;&gt;"",Data!H981=""),1,IF(Data!G981="",1,IF(ISNUMBER(MATCH(Data!H981,Data_Val!$D$2:$D$35,0)),0,1))))</f>
        <v/>
      </c>
      <c r="I991" s="38" t="str">
        <f>IF(Data!G981="","",IF(Data!G981=Data_Val!$C$2,IF(Data!I981="",0,1),0))</f>
        <v/>
      </c>
      <c r="J991" s="38" t="str">
        <f>IF(Data!I981="","",IF(ISNUMBER(MATCH(Data!J981,Data_Val!$A$2:$A$3,0)),0,1))</f>
        <v/>
      </c>
      <c r="K991" s="38" t="str">
        <f ca="1">IF(Data!I981="","",IF(ISNUMBER(Data!K981),IF(AND(Data!K981&gt;(TODAY()-(Data_Val!$K$3*365.25)),Data!K981&lt;=(TODAY()-(Data_Val!$K$2*365.25))),0,1),1))</f>
        <v/>
      </c>
      <c r="L991" s="16" t="str">
        <f>IF(Data!G981="","",IF(Data!G981=Data_Val!$C$2,IF(Data!L981="",0,1),0))</f>
        <v/>
      </c>
      <c r="M991" s="16" t="str">
        <f>IF(Data!L981="","",IF(ISNUMBER(MATCH(Data!M981,Data_Val!$A$2:$A$3,0)),0,1))</f>
        <v/>
      </c>
      <c r="N991" s="43" t="str">
        <f ca="1">IF(Data!L981="","",IF(ISNUMBER(Data!N981),IF(AND(Data!N981&gt;(TODAY()-(Data_Val!$L$3*365.25)),Data!N981&lt;=(TODAY()-(Data_Val!$L$2*365.25))),0,1),1))</f>
        <v/>
      </c>
      <c r="O991" s="18" t="str">
        <f>IF(Data!$G981="","",IF(Data!$G981=Data_Val!$C$2,IF(Data!O981="",0,1),0))</f>
        <v/>
      </c>
      <c r="P991" s="18" t="str">
        <f>IF(Data!O981="","",IF(ISNUMBER(MATCH(Data!P981,Data_Val!$A$2:$A$3,0)),0,1))</f>
        <v/>
      </c>
      <c r="Q991" s="44" t="str">
        <f ca="1">IF(Data!O981="","",IF(ISNUMBER(Data!Q981),IF(AND(Data!Q981&gt;(TODAY()-(Data_Val!$L$3*365.25)),Data!Q981&lt;=(TODAY()-(Data_Val!$L$2*365.25))),0,1),1))</f>
        <v/>
      </c>
    </row>
    <row r="992" spans="1:17" ht="12" customHeight="1" x14ac:dyDescent="0.25">
      <c r="A992" s="36" t="str">
        <f>IF(Data!B982="","",IF(COUNTIFS(Data!A$1:'Data'!A982,Data!A982)&lt;=1,0,1))</f>
        <v/>
      </c>
      <c r="B992" s="36"/>
      <c r="C992" s="36" t="str">
        <f>IF(Data!C982="","",(IF(ISNUMBER(MATCH("*@*.?*",Data!C982,0)),0,1)+IF(COUNTIFS(Data!C$1:'Data'!C982,Data!C982)&gt;1,1,0)))</f>
        <v/>
      </c>
      <c r="D992" s="36" t="str">
        <f>IF(Data!B982="","",IF(ISNUMBER(Data!D982),IF(AND(Data!D982&gt;999999999,Data!D982&lt;=9999999999),IF(COUNTIFS(Data!D$1:'Data'!D982,Data!D982)&lt;=1,0,1),1),1))</f>
        <v/>
      </c>
      <c r="E992" s="36" t="str">
        <f>IF(Data!B982="","",IF(ISNUMBER(MATCH(Data!E982,Data_Val!$A$2:$A$3,0)),0,1))</f>
        <v/>
      </c>
      <c r="F992" s="36" t="str">
        <f ca="1">IF(Data!B982="","",IF(ISNUMBER(Data!F982),IF(AND(Data!F982&gt;(TODAY()-(Data_Val!$H$3*365.25)),Data!F982&lt;=(TODAY()-(Data_Val!$H$2*365.25))),0,1),1))</f>
        <v/>
      </c>
      <c r="G992" s="12" t="str">
        <f>IF(Data!B982="","",IF(AND(Data!G982="",Data!H982&lt;&gt;""),1,IF(ISNUMBER(MATCH(Data!G982,Data_Val!$C$2:$C$5,0)),0,1)))</f>
        <v/>
      </c>
      <c r="H992" s="12" t="str">
        <f>IF(Data!B982="","",IF(AND(Data!G982&lt;&gt;"",Data!H982=""),1,IF(Data!G982="",1,IF(ISNUMBER(MATCH(Data!H982,Data_Val!$D$2:$D$35,0)),0,1))))</f>
        <v/>
      </c>
      <c r="I992" s="38" t="str">
        <f>IF(Data!G982="","",IF(Data!G982=Data_Val!$C$2,IF(Data!I982="",0,1),0))</f>
        <v/>
      </c>
      <c r="J992" s="38" t="str">
        <f>IF(Data!I982="","",IF(ISNUMBER(MATCH(Data!J982,Data_Val!$A$2:$A$3,0)),0,1))</f>
        <v/>
      </c>
      <c r="K992" s="38" t="str">
        <f ca="1">IF(Data!I982="","",IF(ISNUMBER(Data!K982),IF(AND(Data!K982&gt;(TODAY()-(Data_Val!$K$3*365.25)),Data!K982&lt;=(TODAY()-(Data_Val!$K$2*365.25))),0,1),1))</f>
        <v/>
      </c>
      <c r="L992" s="16" t="str">
        <f>IF(Data!G982="","",IF(Data!G982=Data_Val!$C$2,IF(Data!L982="",0,1),0))</f>
        <v/>
      </c>
      <c r="M992" s="16" t="str">
        <f>IF(Data!L982="","",IF(ISNUMBER(MATCH(Data!M982,Data_Val!$A$2:$A$3,0)),0,1))</f>
        <v/>
      </c>
      <c r="N992" s="43" t="str">
        <f ca="1">IF(Data!L982="","",IF(ISNUMBER(Data!N982),IF(AND(Data!N982&gt;(TODAY()-(Data_Val!$L$3*365.25)),Data!N982&lt;=(TODAY()-(Data_Val!$L$2*365.25))),0,1),1))</f>
        <v/>
      </c>
      <c r="O992" s="18" t="str">
        <f>IF(Data!$G982="","",IF(Data!$G982=Data_Val!$C$2,IF(Data!O982="",0,1),0))</f>
        <v/>
      </c>
      <c r="P992" s="18" t="str">
        <f>IF(Data!O982="","",IF(ISNUMBER(MATCH(Data!P982,Data_Val!$A$2:$A$3,0)),0,1))</f>
        <v/>
      </c>
      <c r="Q992" s="44" t="str">
        <f ca="1">IF(Data!O982="","",IF(ISNUMBER(Data!Q982),IF(AND(Data!Q982&gt;(TODAY()-(Data_Val!$L$3*365.25)),Data!Q982&lt;=(TODAY()-(Data_Val!$L$2*365.25))),0,1),1))</f>
        <v/>
      </c>
    </row>
    <row r="993" spans="1:17" ht="12" customHeight="1" x14ac:dyDescent="0.25">
      <c r="A993" s="36" t="str">
        <f>IF(Data!B983="","",IF(COUNTIFS(Data!A$1:'Data'!A983,Data!A983)&lt;=1,0,1))</f>
        <v/>
      </c>
      <c r="B993" s="36"/>
      <c r="C993" s="36" t="str">
        <f>IF(Data!C983="","",(IF(ISNUMBER(MATCH("*@*.?*",Data!C983,0)),0,1)+IF(COUNTIFS(Data!C$1:'Data'!C983,Data!C983)&gt;1,1,0)))</f>
        <v/>
      </c>
      <c r="D993" s="36" t="str">
        <f>IF(Data!B983="","",IF(ISNUMBER(Data!D983),IF(AND(Data!D983&gt;999999999,Data!D983&lt;=9999999999),IF(COUNTIFS(Data!D$1:'Data'!D983,Data!D983)&lt;=1,0,1),1),1))</f>
        <v/>
      </c>
      <c r="E993" s="36" t="str">
        <f>IF(Data!B983="","",IF(ISNUMBER(MATCH(Data!E983,Data_Val!$A$2:$A$3,0)),0,1))</f>
        <v/>
      </c>
      <c r="F993" s="36" t="str">
        <f ca="1">IF(Data!B983="","",IF(ISNUMBER(Data!F983),IF(AND(Data!F983&gt;(TODAY()-(Data_Val!$H$3*365.25)),Data!F983&lt;=(TODAY()-(Data_Val!$H$2*365.25))),0,1),1))</f>
        <v/>
      </c>
      <c r="G993" s="12" t="str">
        <f>IF(Data!B983="","",IF(AND(Data!G983="",Data!H983&lt;&gt;""),1,IF(ISNUMBER(MATCH(Data!G983,Data_Val!$C$2:$C$5,0)),0,1)))</f>
        <v/>
      </c>
      <c r="H993" s="12" t="str">
        <f>IF(Data!B983="","",IF(AND(Data!G983&lt;&gt;"",Data!H983=""),1,IF(Data!G983="",1,IF(ISNUMBER(MATCH(Data!H983,Data_Val!$D$2:$D$35,0)),0,1))))</f>
        <v/>
      </c>
      <c r="I993" s="38" t="str">
        <f>IF(Data!G983="","",IF(Data!G983=Data_Val!$C$2,IF(Data!I983="",0,1),0))</f>
        <v/>
      </c>
      <c r="J993" s="38" t="str">
        <f>IF(Data!I983="","",IF(ISNUMBER(MATCH(Data!J983,Data_Val!$A$2:$A$3,0)),0,1))</f>
        <v/>
      </c>
      <c r="K993" s="38" t="str">
        <f ca="1">IF(Data!I983="","",IF(ISNUMBER(Data!K983),IF(AND(Data!K983&gt;(TODAY()-(Data_Val!$K$3*365.25)),Data!K983&lt;=(TODAY()-(Data_Val!$K$2*365.25))),0,1),1))</f>
        <v/>
      </c>
      <c r="L993" s="16" t="str">
        <f>IF(Data!G983="","",IF(Data!G983=Data_Val!$C$2,IF(Data!L983="",0,1),0))</f>
        <v/>
      </c>
      <c r="M993" s="16" t="str">
        <f>IF(Data!L983="","",IF(ISNUMBER(MATCH(Data!M983,Data_Val!$A$2:$A$3,0)),0,1))</f>
        <v/>
      </c>
      <c r="N993" s="43" t="str">
        <f ca="1">IF(Data!L983="","",IF(ISNUMBER(Data!N983),IF(AND(Data!N983&gt;(TODAY()-(Data_Val!$L$3*365.25)),Data!N983&lt;=(TODAY()-(Data_Val!$L$2*365.25))),0,1),1))</f>
        <v/>
      </c>
      <c r="O993" s="18" t="str">
        <f>IF(Data!$G983="","",IF(Data!$G983=Data_Val!$C$2,IF(Data!O983="",0,1),0))</f>
        <v/>
      </c>
      <c r="P993" s="18" t="str">
        <f>IF(Data!O983="","",IF(ISNUMBER(MATCH(Data!P983,Data_Val!$A$2:$A$3,0)),0,1))</f>
        <v/>
      </c>
      <c r="Q993" s="44" t="str">
        <f ca="1">IF(Data!O983="","",IF(ISNUMBER(Data!Q983),IF(AND(Data!Q983&gt;(TODAY()-(Data_Val!$L$3*365.25)),Data!Q983&lt;=(TODAY()-(Data_Val!$L$2*365.25))),0,1),1))</f>
        <v/>
      </c>
    </row>
    <row r="994" spans="1:17" ht="12" customHeight="1" x14ac:dyDescent="0.25">
      <c r="A994" s="36" t="str">
        <f>IF(Data!B984="","",IF(COUNTIFS(Data!A$1:'Data'!A984,Data!A984)&lt;=1,0,1))</f>
        <v/>
      </c>
      <c r="B994" s="36"/>
      <c r="C994" s="36" t="str">
        <f>IF(Data!C984="","",(IF(ISNUMBER(MATCH("*@*.?*",Data!C984,0)),0,1)+IF(COUNTIFS(Data!C$1:'Data'!C984,Data!C984)&gt;1,1,0)))</f>
        <v/>
      </c>
      <c r="D994" s="36" t="str">
        <f>IF(Data!B984="","",IF(ISNUMBER(Data!D984),IF(AND(Data!D984&gt;999999999,Data!D984&lt;=9999999999),IF(COUNTIFS(Data!D$1:'Data'!D984,Data!D984)&lt;=1,0,1),1),1))</f>
        <v/>
      </c>
      <c r="E994" s="36" t="str">
        <f>IF(Data!B984="","",IF(ISNUMBER(MATCH(Data!E984,Data_Val!$A$2:$A$3,0)),0,1))</f>
        <v/>
      </c>
      <c r="F994" s="36" t="str">
        <f ca="1">IF(Data!B984="","",IF(ISNUMBER(Data!F984),IF(AND(Data!F984&gt;(TODAY()-(Data_Val!$H$3*365.25)),Data!F984&lt;=(TODAY()-(Data_Val!$H$2*365.25))),0,1),1))</f>
        <v/>
      </c>
      <c r="G994" s="12" t="str">
        <f>IF(Data!B984="","",IF(AND(Data!G984="",Data!H984&lt;&gt;""),1,IF(ISNUMBER(MATCH(Data!G984,Data_Val!$C$2:$C$5,0)),0,1)))</f>
        <v/>
      </c>
      <c r="H994" s="12" t="str">
        <f>IF(Data!B984="","",IF(AND(Data!G984&lt;&gt;"",Data!H984=""),1,IF(Data!G984="",1,IF(ISNUMBER(MATCH(Data!H984,Data_Val!$D$2:$D$35,0)),0,1))))</f>
        <v/>
      </c>
      <c r="I994" s="38" t="str">
        <f>IF(Data!G984="","",IF(Data!G984=Data_Val!$C$2,IF(Data!I984="",0,1),0))</f>
        <v/>
      </c>
      <c r="J994" s="38" t="str">
        <f>IF(Data!I984="","",IF(ISNUMBER(MATCH(Data!J984,Data_Val!$A$2:$A$3,0)),0,1))</f>
        <v/>
      </c>
      <c r="K994" s="38" t="str">
        <f ca="1">IF(Data!I984="","",IF(ISNUMBER(Data!K984),IF(AND(Data!K984&gt;(TODAY()-(Data_Val!$K$3*365.25)),Data!K984&lt;=(TODAY()-(Data_Val!$K$2*365.25))),0,1),1))</f>
        <v/>
      </c>
      <c r="L994" s="16" t="str">
        <f>IF(Data!G984="","",IF(Data!G984=Data_Val!$C$2,IF(Data!L984="",0,1),0))</f>
        <v/>
      </c>
      <c r="M994" s="16" t="str">
        <f>IF(Data!L984="","",IF(ISNUMBER(MATCH(Data!M984,Data_Val!$A$2:$A$3,0)),0,1))</f>
        <v/>
      </c>
      <c r="N994" s="43" t="str">
        <f ca="1">IF(Data!L984="","",IF(ISNUMBER(Data!N984),IF(AND(Data!N984&gt;(TODAY()-(Data_Val!$L$3*365.25)),Data!N984&lt;=(TODAY()-(Data_Val!$L$2*365.25))),0,1),1))</f>
        <v/>
      </c>
      <c r="O994" s="18" t="str">
        <f>IF(Data!$G984="","",IF(Data!$G984=Data_Val!$C$2,IF(Data!O984="",0,1),0))</f>
        <v/>
      </c>
      <c r="P994" s="18" t="str">
        <f>IF(Data!O984="","",IF(ISNUMBER(MATCH(Data!P984,Data_Val!$A$2:$A$3,0)),0,1))</f>
        <v/>
      </c>
      <c r="Q994" s="44" t="str">
        <f ca="1">IF(Data!O984="","",IF(ISNUMBER(Data!Q984),IF(AND(Data!Q984&gt;(TODAY()-(Data_Val!$L$3*365.25)),Data!Q984&lt;=(TODAY()-(Data_Val!$L$2*365.25))),0,1),1))</f>
        <v/>
      </c>
    </row>
    <row r="995" spans="1:17" ht="12" customHeight="1" x14ac:dyDescent="0.25">
      <c r="A995" s="36" t="str">
        <f>IF(Data!B985="","",IF(COUNTIFS(Data!A$1:'Data'!A985,Data!A985)&lt;=1,0,1))</f>
        <v/>
      </c>
      <c r="B995" s="36"/>
      <c r="C995" s="36" t="str">
        <f>IF(Data!C985="","",(IF(ISNUMBER(MATCH("*@*.?*",Data!C985,0)),0,1)+IF(COUNTIFS(Data!C$1:'Data'!C985,Data!C985)&gt;1,1,0)))</f>
        <v/>
      </c>
      <c r="D995" s="36" t="str">
        <f>IF(Data!B985="","",IF(ISNUMBER(Data!D985),IF(AND(Data!D985&gt;999999999,Data!D985&lt;=9999999999),IF(COUNTIFS(Data!D$1:'Data'!D985,Data!D985)&lt;=1,0,1),1),1))</f>
        <v/>
      </c>
      <c r="E995" s="36" t="str">
        <f>IF(Data!B985="","",IF(ISNUMBER(MATCH(Data!E985,Data_Val!$A$2:$A$3,0)),0,1))</f>
        <v/>
      </c>
      <c r="F995" s="36" t="str">
        <f ca="1">IF(Data!B985="","",IF(ISNUMBER(Data!F985),IF(AND(Data!F985&gt;(TODAY()-(Data_Val!$H$3*365.25)),Data!F985&lt;=(TODAY()-(Data_Val!$H$2*365.25))),0,1),1))</f>
        <v/>
      </c>
      <c r="G995" s="12" t="str">
        <f>IF(Data!B985="","",IF(AND(Data!G985="",Data!H985&lt;&gt;""),1,IF(ISNUMBER(MATCH(Data!G985,Data_Val!$C$2:$C$5,0)),0,1)))</f>
        <v/>
      </c>
      <c r="H995" s="12" t="str">
        <f>IF(Data!B985="","",IF(AND(Data!G985&lt;&gt;"",Data!H985=""),1,IF(Data!G985="",1,IF(ISNUMBER(MATCH(Data!H985,Data_Val!$D$2:$D$35,0)),0,1))))</f>
        <v/>
      </c>
      <c r="I995" s="38" t="str">
        <f>IF(Data!G985="","",IF(Data!G985=Data_Val!$C$2,IF(Data!I985="",0,1),0))</f>
        <v/>
      </c>
      <c r="J995" s="38" t="str">
        <f>IF(Data!I985="","",IF(ISNUMBER(MATCH(Data!J985,Data_Val!$A$2:$A$3,0)),0,1))</f>
        <v/>
      </c>
      <c r="K995" s="38" t="str">
        <f ca="1">IF(Data!I985="","",IF(ISNUMBER(Data!K985),IF(AND(Data!K985&gt;(TODAY()-(Data_Val!$K$3*365.25)),Data!K985&lt;=(TODAY()-(Data_Val!$K$2*365.25))),0,1),1))</f>
        <v/>
      </c>
      <c r="L995" s="16" t="str">
        <f>IF(Data!G985="","",IF(Data!G985=Data_Val!$C$2,IF(Data!L985="",0,1),0))</f>
        <v/>
      </c>
      <c r="M995" s="16" t="str">
        <f>IF(Data!L985="","",IF(ISNUMBER(MATCH(Data!M985,Data_Val!$A$2:$A$3,0)),0,1))</f>
        <v/>
      </c>
      <c r="N995" s="43" t="str">
        <f ca="1">IF(Data!L985="","",IF(ISNUMBER(Data!N985),IF(AND(Data!N985&gt;(TODAY()-(Data_Val!$L$3*365.25)),Data!N985&lt;=(TODAY()-(Data_Val!$L$2*365.25))),0,1),1))</f>
        <v/>
      </c>
      <c r="O995" s="18" t="str">
        <f>IF(Data!$G985="","",IF(Data!$G985=Data_Val!$C$2,IF(Data!O985="",0,1),0))</f>
        <v/>
      </c>
      <c r="P995" s="18" t="str">
        <f>IF(Data!O985="","",IF(ISNUMBER(MATCH(Data!P985,Data_Val!$A$2:$A$3,0)),0,1))</f>
        <v/>
      </c>
      <c r="Q995" s="44" t="str">
        <f ca="1">IF(Data!O985="","",IF(ISNUMBER(Data!Q985),IF(AND(Data!Q985&gt;(TODAY()-(Data_Val!$L$3*365.25)),Data!Q985&lt;=(TODAY()-(Data_Val!$L$2*365.25))),0,1),1))</f>
        <v/>
      </c>
    </row>
    <row r="996" spans="1:17" ht="12" customHeight="1" x14ac:dyDescent="0.25">
      <c r="A996" s="36" t="str">
        <f>IF(Data!B986="","",IF(COUNTIFS(Data!A$1:'Data'!A986,Data!A986)&lt;=1,0,1))</f>
        <v/>
      </c>
      <c r="B996" s="36"/>
      <c r="C996" s="36" t="str">
        <f>IF(Data!C986="","",(IF(ISNUMBER(MATCH("*@*.?*",Data!C986,0)),0,1)+IF(COUNTIFS(Data!C$1:'Data'!C986,Data!C986)&gt;1,1,0)))</f>
        <v/>
      </c>
      <c r="D996" s="36" t="str">
        <f>IF(Data!B986="","",IF(ISNUMBER(Data!D986),IF(AND(Data!D986&gt;999999999,Data!D986&lt;=9999999999),IF(COUNTIFS(Data!D$1:'Data'!D986,Data!D986)&lt;=1,0,1),1),1))</f>
        <v/>
      </c>
      <c r="E996" s="36" t="str">
        <f>IF(Data!B986="","",IF(ISNUMBER(MATCH(Data!E986,Data_Val!$A$2:$A$3,0)),0,1))</f>
        <v/>
      </c>
      <c r="F996" s="36" t="str">
        <f ca="1">IF(Data!B986="","",IF(ISNUMBER(Data!F986),IF(AND(Data!F986&gt;(TODAY()-(Data_Val!$H$3*365.25)),Data!F986&lt;=(TODAY()-(Data_Val!$H$2*365.25))),0,1),1))</f>
        <v/>
      </c>
      <c r="G996" s="12" t="str">
        <f>IF(Data!B986="","",IF(AND(Data!G986="",Data!H986&lt;&gt;""),1,IF(ISNUMBER(MATCH(Data!G986,Data_Val!$C$2:$C$5,0)),0,1)))</f>
        <v/>
      </c>
      <c r="H996" s="12" t="str">
        <f>IF(Data!B986="","",IF(AND(Data!G986&lt;&gt;"",Data!H986=""),1,IF(Data!G986="",1,IF(ISNUMBER(MATCH(Data!H986,Data_Val!$D$2:$D$35,0)),0,1))))</f>
        <v/>
      </c>
      <c r="I996" s="38" t="str">
        <f>IF(Data!G986="","",IF(Data!G986=Data_Val!$C$2,IF(Data!I986="",0,1),0))</f>
        <v/>
      </c>
      <c r="J996" s="38" t="str">
        <f>IF(Data!I986="","",IF(ISNUMBER(MATCH(Data!J986,Data_Val!$A$2:$A$3,0)),0,1))</f>
        <v/>
      </c>
      <c r="K996" s="38" t="str">
        <f ca="1">IF(Data!I986="","",IF(ISNUMBER(Data!K986),IF(AND(Data!K986&gt;(TODAY()-(Data_Val!$K$3*365.25)),Data!K986&lt;=(TODAY()-(Data_Val!$K$2*365.25))),0,1),1))</f>
        <v/>
      </c>
      <c r="L996" s="16" t="str">
        <f>IF(Data!G986="","",IF(Data!G986=Data_Val!$C$2,IF(Data!L986="",0,1),0))</f>
        <v/>
      </c>
      <c r="M996" s="16" t="str">
        <f>IF(Data!L986="","",IF(ISNUMBER(MATCH(Data!M986,Data_Val!$A$2:$A$3,0)),0,1))</f>
        <v/>
      </c>
      <c r="N996" s="43" t="str">
        <f ca="1">IF(Data!L986="","",IF(ISNUMBER(Data!N986),IF(AND(Data!N986&gt;(TODAY()-(Data_Val!$L$3*365.25)),Data!N986&lt;=(TODAY()-(Data_Val!$L$2*365.25))),0,1),1))</f>
        <v/>
      </c>
      <c r="O996" s="18" t="str">
        <f>IF(Data!$G986="","",IF(Data!$G986=Data_Val!$C$2,IF(Data!O986="",0,1),0))</f>
        <v/>
      </c>
      <c r="P996" s="18" t="str">
        <f>IF(Data!O986="","",IF(ISNUMBER(MATCH(Data!P986,Data_Val!$A$2:$A$3,0)),0,1))</f>
        <v/>
      </c>
      <c r="Q996" s="44" t="str">
        <f ca="1">IF(Data!O986="","",IF(ISNUMBER(Data!Q986),IF(AND(Data!Q986&gt;(TODAY()-(Data_Val!$L$3*365.25)),Data!Q986&lt;=(TODAY()-(Data_Val!$L$2*365.25))),0,1),1))</f>
        <v/>
      </c>
    </row>
    <row r="997" spans="1:17" ht="12" customHeight="1" x14ac:dyDescent="0.25">
      <c r="A997" s="36" t="str">
        <f>IF(Data!B987="","",IF(COUNTIFS(Data!A$1:'Data'!A987,Data!A987)&lt;=1,0,1))</f>
        <v/>
      </c>
      <c r="B997" s="36"/>
      <c r="C997" s="36" t="str">
        <f>IF(Data!C987="","",(IF(ISNUMBER(MATCH("*@*.?*",Data!C987,0)),0,1)+IF(COUNTIFS(Data!C$1:'Data'!C987,Data!C987)&gt;1,1,0)))</f>
        <v/>
      </c>
      <c r="D997" s="36" t="str">
        <f>IF(Data!B987="","",IF(ISNUMBER(Data!D987),IF(AND(Data!D987&gt;999999999,Data!D987&lt;=9999999999),IF(COUNTIFS(Data!D$1:'Data'!D987,Data!D987)&lt;=1,0,1),1),1))</f>
        <v/>
      </c>
      <c r="E997" s="36" t="str">
        <f>IF(Data!B987="","",IF(ISNUMBER(MATCH(Data!E987,Data_Val!$A$2:$A$3,0)),0,1))</f>
        <v/>
      </c>
      <c r="F997" s="36" t="str">
        <f ca="1">IF(Data!B987="","",IF(ISNUMBER(Data!F987),IF(AND(Data!F987&gt;(TODAY()-(Data_Val!$H$3*365.25)),Data!F987&lt;=(TODAY()-(Data_Val!$H$2*365.25))),0,1),1))</f>
        <v/>
      </c>
      <c r="G997" s="12" t="str">
        <f>IF(Data!B987="","",IF(AND(Data!G987="",Data!H987&lt;&gt;""),1,IF(ISNUMBER(MATCH(Data!G987,Data_Val!$C$2:$C$5,0)),0,1)))</f>
        <v/>
      </c>
      <c r="H997" s="12" t="str">
        <f>IF(Data!B987="","",IF(AND(Data!G987&lt;&gt;"",Data!H987=""),1,IF(Data!G987="",1,IF(ISNUMBER(MATCH(Data!H987,Data_Val!$D$2:$D$35,0)),0,1))))</f>
        <v/>
      </c>
      <c r="I997" s="38" t="str">
        <f>IF(Data!G987="","",IF(Data!G987=Data_Val!$C$2,IF(Data!I987="",0,1),0))</f>
        <v/>
      </c>
      <c r="J997" s="38" t="str">
        <f>IF(Data!I987="","",IF(ISNUMBER(MATCH(Data!J987,Data_Val!$A$2:$A$3,0)),0,1))</f>
        <v/>
      </c>
      <c r="K997" s="38" t="str">
        <f ca="1">IF(Data!I987="","",IF(ISNUMBER(Data!K987),IF(AND(Data!K987&gt;(TODAY()-(Data_Val!$K$3*365.25)),Data!K987&lt;=(TODAY()-(Data_Val!$K$2*365.25))),0,1),1))</f>
        <v/>
      </c>
      <c r="L997" s="16" t="str">
        <f>IF(Data!G987="","",IF(Data!G987=Data_Val!$C$2,IF(Data!L987="",0,1),0))</f>
        <v/>
      </c>
      <c r="M997" s="16" t="str">
        <f>IF(Data!L987="","",IF(ISNUMBER(MATCH(Data!M987,Data_Val!$A$2:$A$3,0)),0,1))</f>
        <v/>
      </c>
      <c r="N997" s="43" t="str">
        <f ca="1">IF(Data!L987="","",IF(ISNUMBER(Data!N987),IF(AND(Data!N987&gt;(TODAY()-(Data_Val!$L$3*365.25)),Data!N987&lt;=(TODAY()-(Data_Val!$L$2*365.25))),0,1),1))</f>
        <v/>
      </c>
      <c r="O997" s="18" t="str">
        <f>IF(Data!$G987="","",IF(Data!$G987=Data_Val!$C$2,IF(Data!O987="",0,1),0))</f>
        <v/>
      </c>
      <c r="P997" s="18" t="str">
        <f>IF(Data!O987="","",IF(ISNUMBER(MATCH(Data!P987,Data_Val!$A$2:$A$3,0)),0,1))</f>
        <v/>
      </c>
      <c r="Q997" s="44" t="str">
        <f ca="1">IF(Data!O987="","",IF(ISNUMBER(Data!Q987),IF(AND(Data!Q987&gt;(TODAY()-(Data_Val!$L$3*365.25)),Data!Q987&lt;=(TODAY()-(Data_Val!$L$2*365.25))),0,1),1))</f>
        <v/>
      </c>
    </row>
    <row r="998" spans="1:17" ht="12" customHeight="1" x14ac:dyDescent="0.25">
      <c r="A998" s="36" t="str">
        <f>IF(Data!B988="","",IF(COUNTIFS(Data!A$1:'Data'!A988,Data!A988)&lt;=1,0,1))</f>
        <v/>
      </c>
      <c r="B998" s="36"/>
      <c r="C998" s="36" t="str">
        <f>IF(Data!C988="","",(IF(ISNUMBER(MATCH("*@*.?*",Data!C988,0)),0,1)+IF(COUNTIFS(Data!C$1:'Data'!C988,Data!C988)&gt;1,1,0)))</f>
        <v/>
      </c>
      <c r="D998" s="36" t="str">
        <f>IF(Data!B988="","",IF(ISNUMBER(Data!D988),IF(AND(Data!D988&gt;999999999,Data!D988&lt;=9999999999),IF(COUNTIFS(Data!D$1:'Data'!D988,Data!D988)&lt;=1,0,1),1),1))</f>
        <v/>
      </c>
      <c r="E998" s="36" t="str">
        <f>IF(Data!B988="","",IF(ISNUMBER(MATCH(Data!E988,Data_Val!$A$2:$A$3,0)),0,1))</f>
        <v/>
      </c>
      <c r="F998" s="36" t="str">
        <f ca="1">IF(Data!B988="","",IF(ISNUMBER(Data!F988),IF(AND(Data!F988&gt;(TODAY()-(Data_Val!$H$3*365.25)),Data!F988&lt;=(TODAY()-(Data_Val!$H$2*365.25))),0,1),1))</f>
        <v/>
      </c>
      <c r="G998" s="12" t="str">
        <f>IF(Data!B988="","",IF(AND(Data!G988="",Data!H988&lt;&gt;""),1,IF(ISNUMBER(MATCH(Data!G988,Data_Val!$C$2:$C$5,0)),0,1)))</f>
        <v/>
      </c>
      <c r="H998" s="12" t="str">
        <f>IF(Data!B988="","",IF(AND(Data!G988&lt;&gt;"",Data!H988=""),1,IF(Data!G988="",1,IF(ISNUMBER(MATCH(Data!H988,Data_Val!$D$2:$D$35,0)),0,1))))</f>
        <v/>
      </c>
      <c r="I998" s="38" t="str">
        <f>IF(Data!G988="","",IF(Data!G988=Data_Val!$C$2,IF(Data!I988="",0,1),0))</f>
        <v/>
      </c>
      <c r="J998" s="38" t="str">
        <f>IF(Data!I988="","",IF(ISNUMBER(MATCH(Data!J988,Data_Val!$A$2:$A$3,0)),0,1))</f>
        <v/>
      </c>
      <c r="K998" s="38" t="str">
        <f ca="1">IF(Data!I988="","",IF(ISNUMBER(Data!K988),IF(AND(Data!K988&gt;(TODAY()-(Data_Val!$K$3*365.25)),Data!K988&lt;=(TODAY()-(Data_Val!$K$2*365.25))),0,1),1))</f>
        <v/>
      </c>
      <c r="L998" s="16" t="str">
        <f>IF(Data!G988="","",IF(Data!G988=Data_Val!$C$2,IF(Data!L988="",0,1),0))</f>
        <v/>
      </c>
      <c r="M998" s="16" t="str">
        <f>IF(Data!L988="","",IF(ISNUMBER(MATCH(Data!M988,Data_Val!$A$2:$A$3,0)),0,1))</f>
        <v/>
      </c>
      <c r="N998" s="43" t="str">
        <f ca="1">IF(Data!L988="","",IF(ISNUMBER(Data!N988),IF(AND(Data!N988&gt;(TODAY()-(Data_Val!$L$3*365.25)),Data!N988&lt;=(TODAY()-(Data_Val!$L$2*365.25))),0,1),1))</f>
        <v/>
      </c>
      <c r="O998" s="18" t="str">
        <f>IF(Data!$G988="","",IF(Data!$G988=Data_Val!$C$2,IF(Data!O988="",0,1),0))</f>
        <v/>
      </c>
      <c r="P998" s="18" t="str">
        <f>IF(Data!O988="","",IF(ISNUMBER(MATCH(Data!P988,Data_Val!$A$2:$A$3,0)),0,1))</f>
        <v/>
      </c>
      <c r="Q998" s="44" t="str">
        <f ca="1">IF(Data!O988="","",IF(ISNUMBER(Data!Q988),IF(AND(Data!Q988&gt;(TODAY()-(Data_Val!$L$3*365.25)),Data!Q988&lt;=(TODAY()-(Data_Val!$L$2*365.25))),0,1),1))</f>
        <v/>
      </c>
    </row>
    <row r="999" spans="1:17" ht="12" customHeight="1" x14ac:dyDescent="0.25">
      <c r="A999" s="36" t="str">
        <f>IF(Data!B989="","",IF(COUNTIFS(Data!A$1:'Data'!A989,Data!A989)&lt;=1,0,1))</f>
        <v/>
      </c>
      <c r="B999" s="36"/>
      <c r="C999" s="36" t="str">
        <f>IF(Data!C989="","",(IF(ISNUMBER(MATCH("*@*.?*",Data!C989,0)),0,1)+IF(COUNTIFS(Data!C$1:'Data'!C989,Data!C989)&gt;1,1,0)))</f>
        <v/>
      </c>
      <c r="D999" s="36" t="str">
        <f>IF(Data!B989="","",IF(ISNUMBER(Data!D989),IF(AND(Data!D989&gt;999999999,Data!D989&lt;=9999999999),IF(COUNTIFS(Data!D$1:'Data'!D989,Data!D989)&lt;=1,0,1),1),1))</f>
        <v/>
      </c>
      <c r="E999" s="36" t="str">
        <f>IF(Data!B989="","",IF(ISNUMBER(MATCH(Data!E989,Data_Val!$A$2:$A$3,0)),0,1))</f>
        <v/>
      </c>
      <c r="F999" s="36" t="str">
        <f ca="1">IF(Data!B989="","",IF(ISNUMBER(Data!F989),IF(AND(Data!F989&gt;(TODAY()-(Data_Val!$H$3*365.25)),Data!F989&lt;=(TODAY()-(Data_Val!$H$2*365.25))),0,1),1))</f>
        <v/>
      </c>
      <c r="G999" s="12" t="str">
        <f>IF(Data!B989="","",IF(AND(Data!G989="",Data!H989&lt;&gt;""),1,IF(ISNUMBER(MATCH(Data!G989,Data_Val!$C$2:$C$5,0)),0,1)))</f>
        <v/>
      </c>
      <c r="H999" s="12" t="str">
        <f>IF(Data!B989="","",IF(AND(Data!G989&lt;&gt;"",Data!H989=""),1,IF(Data!G989="",1,IF(ISNUMBER(MATCH(Data!H989,Data_Val!$D$2:$D$35,0)),0,1))))</f>
        <v/>
      </c>
      <c r="I999" s="38" t="str">
        <f>IF(Data!G989="","",IF(Data!G989=Data_Val!$C$2,IF(Data!I989="",0,1),0))</f>
        <v/>
      </c>
      <c r="J999" s="38" t="str">
        <f>IF(Data!I989="","",IF(ISNUMBER(MATCH(Data!J989,Data_Val!$A$2:$A$3,0)),0,1))</f>
        <v/>
      </c>
      <c r="K999" s="38" t="str">
        <f ca="1">IF(Data!I989="","",IF(ISNUMBER(Data!K989),IF(AND(Data!K989&gt;(TODAY()-(Data_Val!$K$3*365.25)),Data!K989&lt;=(TODAY()-(Data_Val!$K$2*365.25))),0,1),1))</f>
        <v/>
      </c>
      <c r="L999" s="16" t="str">
        <f>IF(Data!G989="","",IF(Data!G989=Data_Val!$C$2,IF(Data!L989="",0,1),0))</f>
        <v/>
      </c>
      <c r="M999" s="16" t="str">
        <f>IF(Data!L989="","",IF(ISNUMBER(MATCH(Data!M989,Data_Val!$A$2:$A$3,0)),0,1))</f>
        <v/>
      </c>
      <c r="N999" s="43" t="str">
        <f ca="1">IF(Data!L989="","",IF(ISNUMBER(Data!N989),IF(AND(Data!N989&gt;(TODAY()-(Data_Val!$L$3*365.25)),Data!N989&lt;=(TODAY()-(Data_Val!$L$2*365.25))),0,1),1))</f>
        <v/>
      </c>
      <c r="O999" s="18" t="str">
        <f>IF(Data!$G989="","",IF(Data!$G989=Data_Val!$C$2,IF(Data!O989="",0,1),0))</f>
        <v/>
      </c>
      <c r="P999" s="18" t="str">
        <f>IF(Data!O989="","",IF(ISNUMBER(MATCH(Data!P989,Data_Val!$A$2:$A$3,0)),0,1))</f>
        <v/>
      </c>
      <c r="Q999" s="44" t="str">
        <f ca="1">IF(Data!O989="","",IF(ISNUMBER(Data!Q989),IF(AND(Data!Q989&gt;(TODAY()-(Data_Val!$L$3*365.25)),Data!Q989&lt;=(TODAY()-(Data_Val!$L$2*365.25))),0,1),1))</f>
        <v/>
      </c>
    </row>
    <row r="1000" spans="1:17" ht="12" customHeight="1" x14ac:dyDescent="0.25">
      <c r="A1000" s="36" t="str">
        <f>IF(Data!B990="","",IF(COUNTIFS(Data!A$1:'Data'!A990,Data!A990)&lt;=1,0,1))</f>
        <v/>
      </c>
      <c r="B1000" s="36"/>
      <c r="C1000" s="36" t="str">
        <f>IF(Data!C990="","",(IF(ISNUMBER(MATCH("*@*.?*",Data!C990,0)),0,1)+IF(COUNTIFS(Data!C$1:'Data'!C990,Data!C990)&gt;1,1,0)))</f>
        <v/>
      </c>
      <c r="D1000" s="36" t="str">
        <f>IF(Data!B990="","",IF(ISNUMBER(Data!D990),IF(AND(Data!D990&gt;999999999,Data!D990&lt;=9999999999),IF(COUNTIFS(Data!D$1:'Data'!D990,Data!D990)&lt;=1,0,1),1),1))</f>
        <v/>
      </c>
      <c r="E1000" s="36" t="str">
        <f>IF(Data!B990="","",IF(ISNUMBER(MATCH(Data!E990,Data_Val!$A$2:$A$3,0)),0,1))</f>
        <v/>
      </c>
      <c r="F1000" s="36" t="str">
        <f ca="1">IF(Data!B990="","",IF(ISNUMBER(Data!F990),IF(AND(Data!F990&gt;(TODAY()-(Data_Val!$H$3*365.25)),Data!F990&lt;=(TODAY()-(Data_Val!$H$2*365.25))),0,1),1))</f>
        <v/>
      </c>
      <c r="G1000" s="12" t="str">
        <f>IF(Data!B990="","",IF(AND(Data!G990="",Data!H990&lt;&gt;""),1,IF(ISNUMBER(MATCH(Data!G990,Data_Val!$C$2:$C$5,0)),0,1)))</f>
        <v/>
      </c>
      <c r="H1000" s="12" t="str">
        <f>IF(Data!B990="","",IF(AND(Data!G990&lt;&gt;"",Data!H990=""),1,IF(Data!G990="",1,IF(ISNUMBER(MATCH(Data!H990,Data_Val!$D$2:$D$35,0)),0,1))))</f>
        <v/>
      </c>
      <c r="I1000" s="38" t="str">
        <f>IF(Data!G990="","",IF(Data!G990=Data_Val!$C$2,IF(Data!I990="",0,1),0))</f>
        <v/>
      </c>
      <c r="J1000" s="38" t="str">
        <f>IF(Data!I990="","",IF(ISNUMBER(MATCH(Data!J990,Data_Val!$A$2:$A$3,0)),0,1))</f>
        <v/>
      </c>
      <c r="K1000" s="38" t="str">
        <f ca="1">IF(Data!I990="","",IF(ISNUMBER(Data!K990),IF(AND(Data!K990&gt;(TODAY()-(Data_Val!$K$3*365.25)),Data!K990&lt;=(TODAY()-(Data_Val!$K$2*365.25))),0,1),1))</f>
        <v/>
      </c>
      <c r="L1000" s="16" t="str">
        <f>IF(Data!G990="","",IF(Data!G990=Data_Val!$C$2,IF(Data!L990="",0,1),0))</f>
        <v/>
      </c>
      <c r="M1000" s="16" t="str">
        <f>IF(Data!L990="","",IF(ISNUMBER(MATCH(Data!M990,Data_Val!$A$2:$A$3,0)),0,1))</f>
        <v/>
      </c>
      <c r="N1000" s="43" t="str">
        <f ca="1">IF(Data!L990="","",IF(ISNUMBER(Data!N990),IF(AND(Data!N990&gt;(TODAY()-(Data_Val!$L$3*365.25)),Data!N990&lt;=(TODAY()-(Data_Val!$L$2*365.25))),0,1),1))</f>
        <v/>
      </c>
      <c r="O1000" s="18" t="str">
        <f>IF(Data!$G990="","",IF(Data!$G990=Data_Val!$C$2,IF(Data!O990="",0,1),0))</f>
        <v/>
      </c>
      <c r="P1000" s="18" t="str">
        <f>IF(Data!O990="","",IF(ISNUMBER(MATCH(Data!P990,Data_Val!$A$2:$A$3,0)),0,1))</f>
        <v/>
      </c>
      <c r="Q1000" s="44" t="str">
        <f ca="1">IF(Data!O990="","",IF(ISNUMBER(Data!Q990),IF(AND(Data!Q990&gt;(TODAY()-(Data_Val!$L$3*365.25)),Data!Q990&lt;=(TODAY()-(Data_Val!$L$2*365.25))),0,1),1))</f>
        <v/>
      </c>
    </row>
    <row r="1001" spans="1:17" ht="12" customHeight="1" x14ac:dyDescent="0.25">
      <c r="A1001" s="36" t="str">
        <f>IF(Data!B991="","",IF(COUNTIFS(Data!A$1:'Data'!A991,Data!A991)&lt;=1,0,1))</f>
        <v/>
      </c>
      <c r="B1001" s="36"/>
      <c r="C1001" s="36" t="str">
        <f>IF(Data!C991="","",(IF(ISNUMBER(MATCH("*@*.?*",Data!C991,0)),0,1)+IF(COUNTIFS(Data!C$1:'Data'!C991,Data!C991)&gt;1,1,0)))</f>
        <v/>
      </c>
      <c r="D1001" s="36" t="str">
        <f>IF(Data!B991="","",IF(ISNUMBER(Data!D991),IF(AND(Data!D991&gt;999999999,Data!D991&lt;=9999999999),IF(COUNTIFS(Data!D$1:'Data'!D991,Data!D991)&lt;=1,0,1),1),1))</f>
        <v/>
      </c>
      <c r="E1001" s="36" t="str">
        <f>IF(Data!B991="","",IF(ISNUMBER(MATCH(Data!E991,Data_Val!$A$2:$A$3,0)),0,1))</f>
        <v/>
      </c>
      <c r="F1001" s="36" t="str">
        <f ca="1">IF(Data!B991="","",IF(ISNUMBER(Data!F991),IF(AND(Data!F991&gt;(TODAY()-(Data_Val!$H$3*365.25)),Data!F991&lt;=(TODAY()-(Data_Val!$H$2*365.25))),0,1),1))</f>
        <v/>
      </c>
      <c r="G1001" s="12" t="str">
        <f>IF(Data!B991="","",IF(AND(Data!G991="",Data!H991&lt;&gt;""),1,IF(ISNUMBER(MATCH(Data!G991,Data_Val!$C$2:$C$5,0)),0,1)))</f>
        <v/>
      </c>
      <c r="H1001" s="12" t="str">
        <f>IF(Data!B991="","",IF(AND(Data!G991&lt;&gt;"",Data!H991=""),1,IF(Data!G991="",1,IF(ISNUMBER(MATCH(Data!H991,Data_Val!$D$2:$D$35,0)),0,1))))</f>
        <v/>
      </c>
      <c r="I1001" s="38" t="str">
        <f>IF(Data!G991="","",IF(Data!G991=Data_Val!$C$2,IF(Data!I991="",0,1),0))</f>
        <v/>
      </c>
      <c r="J1001" s="38" t="str">
        <f>IF(Data!I991="","",IF(ISNUMBER(MATCH(Data!J991,Data_Val!$A$2:$A$3,0)),0,1))</f>
        <v/>
      </c>
      <c r="K1001" s="38" t="str">
        <f ca="1">IF(Data!I991="","",IF(ISNUMBER(Data!K991),IF(AND(Data!K991&gt;(TODAY()-(Data_Val!$K$3*365.25)),Data!K991&lt;=(TODAY()-(Data_Val!$K$2*365.25))),0,1),1))</f>
        <v/>
      </c>
      <c r="L1001" s="16" t="str">
        <f>IF(Data!G991="","",IF(Data!G991=Data_Val!$C$2,IF(Data!L991="",0,1),0))</f>
        <v/>
      </c>
      <c r="M1001" s="16" t="str">
        <f>IF(Data!L991="","",IF(ISNUMBER(MATCH(Data!M991,Data_Val!$A$2:$A$3,0)),0,1))</f>
        <v/>
      </c>
      <c r="N1001" s="43" t="str">
        <f ca="1">IF(Data!L991="","",IF(ISNUMBER(Data!N991),IF(AND(Data!N991&gt;(TODAY()-(Data_Val!$L$3*365.25)),Data!N991&lt;=(TODAY()-(Data_Val!$L$2*365.25))),0,1),1))</f>
        <v/>
      </c>
      <c r="O1001" s="18" t="str">
        <f>IF(Data!$G991="","",IF(Data!$G991=Data_Val!$C$2,IF(Data!O991="",0,1),0))</f>
        <v/>
      </c>
      <c r="P1001" s="18" t="str">
        <f>IF(Data!O991="","",IF(ISNUMBER(MATCH(Data!P991,Data_Val!$A$2:$A$3,0)),0,1))</f>
        <v/>
      </c>
      <c r="Q1001" s="44" t="str">
        <f ca="1">IF(Data!O991="","",IF(ISNUMBER(Data!Q991),IF(AND(Data!Q991&gt;(TODAY()-(Data_Val!$L$3*365.25)),Data!Q991&lt;=(TODAY()-(Data_Val!$L$2*365.25))),0,1),1))</f>
        <v/>
      </c>
    </row>
  </sheetData>
  <pageMargins left="0.7" right="0.7" top="0.75" bottom="0.75" header="0" footer="0"/>
  <pageSetup paperSize="9" orientation="portrait"/>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7F7F7F"/>
  </sheetPr>
  <dimension ref="A1:X1000"/>
  <sheetViews>
    <sheetView workbookViewId="0"/>
  </sheetViews>
  <sheetFormatPr defaultColWidth="12.6328125" defaultRowHeight="15" customHeight="1" x14ac:dyDescent="0.25"/>
  <cols>
    <col min="1" max="1" width="13.90625" customWidth="1"/>
    <col min="2" max="2" width="20.08984375" customWidth="1"/>
    <col min="3" max="3" width="35.08984375" customWidth="1"/>
    <col min="4" max="4" width="23.26953125" customWidth="1"/>
    <col min="5" max="5" width="21.7265625" customWidth="1"/>
    <col min="6" max="6" width="34.26953125" customWidth="1"/>
    <col min="7" max="7" width="13.36328125" customWidth="1"/>
    <col min="8" max="8" width="25.90625" customWidth="1"/>
    <col min="9" max="9" width="24.36328125" customWidth="1"/>
    <col min="10" max="10" width="18.36328125" customWidth="1"/>
    <col min="11" max="11" width="18.08984375" customWidth="1"/>
    <col min="12" max="24" width="8.6328125" customWidth="1"/>
  </cols>
  <sheetData>
    <row r="1" spans="1:24" ht="12" customHeight="1" x14ac:dyDescent="0.3">
      <c r="A1" s="45" t="s">
        <v>35</v>
      </c>
      <c r="B1" s="45" t="s">
        <v>36</v>
      </c>
      <c r="C1" s="45" t="s">
        <v>6</v>
      </c>
      <c r="D1" s="45" t="s">
        <v>30</v>
      </c>
      <c r="E1" s="45" t="s">
        <v>37</v>
      </c>
      <c r="F1" s="45" t="s">
        <v>38</v>
      </c>
      <c r="G1" s="45" t="s">
        <v>39</v>
      </c>
      <c r="H1" s="45" t="s">
        <v>40</v>
      </c>
      <c r="I1" s="45" t="s">
        <v>41</v>
      </c>
      <c r="J1" s="45" t="s">
        <v>42</v>
      </c>
      <c r="K1" s="45" t="s">
        <v>43</v>
      </c>
      <c r="L1" s="45" t="s">
        <v>44</v>
      </c>
      <c r="M1" s="45" t="s">
        <v>45</v>
      </c>
    </row>
    <row r="2" spans="1:24" ht="12" customHeight="1" x14ac:dyDescent="0.25">
      <c r="A2" s="9" t="s">
        <v>46</v>
      </c>
      <c r="B2" s="9" t="s">
        <v>47</v>
      </c>
      <c r="C2" s="9" t="s">
        <v>48</v>
      </c>
      <c r="D2" s="9" t="s">
        <v>49</v>
      </c>
      <c r="E2" s="9" t="s">
        <v>50</v>
      </c>
      <c r="F2" s="9" t="s">
        <v>51</v>
      </c>
      <c r="G2" s="46">
        <v>99999</v>
      </c>
      <c r="H2" s="46">
        <v>3</v>
      </c>
      <c r="I2" s="9">
        <v>25</v>
      </c>
      <c r="J2" s="9">
        <v>18</v>
      </c>
      <c r="K2" s="9">
        <v>18</v>
      </c>
      <c r="L2" s="9">
        <v>0</v>
      </c>
      <c r="M2" s="9">
        <v>3</v>
      </c>
    </row>
    <row r="3" spans="1:24" ht="12" customHeight="1" x14ac:dyDescent="0.25">
      <c r="A3" s="9" t="s">
        <v>52</v>
      </c>
      <c r="B3" s="9" t="s">
        <v>53</v>
      </c>
      <c r="C3" s="9" t="s">
        <v>54</v>
      </c>
      <c r="D3" s="9" t="s">
        <v>55</v>
      </c>
      <c r="E3" s="9" t="s">
        <v>56</v>
      </c>
      <c r="F3" s="9" t="s">
        <v>57</v>
      </c>
      <c r="G3" s="46">
        <v>9999999999</v>
      </c>
      <c r="H3" s="46">
        <v>66</v>
      </c>
      <c r="I3" s="9">
        <v>80</v>
      </c>
      <c r="J3" s="9">
        <v>101</v>
      </c>
      <c r="K3" s="9">
        <v>66</v>
      </c>
      <c r="L3" s="9">
        <v>26</v>
      </c>
      <c r="M3" s="9">
        <v>46</v>
      </c>
    </row>
    <row r="4" spans="1:24" ht="12" customHeight="1" x14ac:dyDescent="0.25">
      <c r="B4" s="9" t="s">
        <v>58</v>
      </c>
      <c r="D4" s="9" t="s">
        <v>59</v>
      </c>
      <c r="E4" s="9" t="s">
        <v>60</v>
      </c>
      <c r="F4" s="9" t="s">
        <v>61</v>
      </c>
    </row>
    <row r="5" spans="1:24" ht="12" customHeight="1" x14ac:dyDescent="0.25">
      <c r="B5" s="9" t="s">
        <v>62</v>
      </c>
      <c r="D5" s="9" t="s">
        <v>63</v>
      </c>
      <c r="E5" s="9" t="s">
        <v>64</v>
      </c>
      <c r="F5" s="9" t="s">
        <v>65</v>
      </c>
    </row>
    <row r="6" spans="1:24" ht="12" customHeight="1" x14ac:dyDescent="0.25">
      <c r="B6" s="9" t="s">
        <v>66</v>
      </c>
      <c r="D6" s="9" t="s">
        <v>67</v>
      </c>
      <c r="F6" s="9" t="s">
        <v>68</v>
      </c>
    </row>
    <row r="7" spans="1:24" ht="12" customHeight="1" x14ac:dyDescent="0.25">
      <c r="B7" s="9" t="s">
        <v>69</v>
      </c>
      <c r="D7" s="9" t="s">
        <v>70</v>
      </c>
      <c r="F7" s="9" t="s">
        <v>71</v>
      </c>
    </row>
    <row r="8" spans="1:24" ht="12" customHeight="1" x14ac:dyDescent="0.25">
      <c r="B8" s="9" t="s">
        <v>72</v>
      </c>
      <c r="D8" s="9" t="s">
        <v>73</v>
      </c>
      <c r="F8" s="9" t="s">
        <v>74</v>
      </c>
    </row>
    <row r="9" spans="1:24" ht="12" customHeight="1" x14ac:dyDescent="0.25">
      <c r="B9" s="9" t="s">
        <v>75</v>
      </c>
      <c r="D9" s="9" t="s">
        <v>76</v>
      </c>
      <c r="F9" s="9" t="s">
        <v>77</v>
      </c>
    </row>
    <row r="10" spans="1:24" ht="12" customHeight="1" x14ac:dyDescent="0.25">
      <c r="B10" s="9" t="s">
        <v>78</v>
      </c>
      <c r="D10" s="9" t="s">
        <v>79</v>
      </c>
      <c r="F10" s="9" t="s">
        <v>80</v>
      </c>
    </row>
    <row r="11" spans="1:24" ht="12" customHeight="1" x14ac:dyDescent="0.25">
      <c r="B11" s="9" t="s">
        <v>81</v>
      </c>
      <c r="D11" s="9" t="s">
        <v>82</v>
      </c>
      <c r="F11" s="9" t="s">
        <v>83</v>
      </c>
    </row>
    <row r="12" spans="1:24" ht="12" customHeight="1" x14ac:dyDescent="0.25">
      <c r="B12" s="9" t="s">
        <v>84</v>
      </c>
      <c r="D12" s="9" t="s">
        <v>85</v>
      </c>
      <c r="F12" s="9" t="s">
        <v>86</v>
      </c>
    </row>
    <row r="13" spans="1:24" ht="12" customHeight="1" x14ac:dyDescent="0.25">
      <c r="D13" s="9" t="s">
        <v>87</v>
      </c>
      <c r="F13" s="9" t="s">
        <v>88</v>
      </c>
    </row>
    <row r="14" spans="1:24" ht="12" customHeight="1" x14ac:dyDescent="0.25">
      <c r="D14" s="9" t="s">
        <v>50</v>
      </c>
      <c r="F14" s="9" t="s">
        <v>89</v>
      </c>
    </row>
    <row r="15" spans="1:24" ht="12" customHeight="1" x14ac:dyDescent="0.25">
      <c r="D15" s="9" t="s">
        <v>56</v>
      </c>
      <c r="F15" s="9" t="s">
        <v>90</v>
      </c>
    </row>
    <row r="16" spans="1:24" ht="12" customHeight="1" x14ac:dyDescent="0.3">
      <c r="D16" s="9" t="s">
        <v>60</v>
      </c>
      <c r="F16" s="9" t="s">
        <v>91</v>
      </c>
      <c r="X16" s="47"/>
    </row>
    <row r="17" spans="4:24" ht="12" customHeight="1" x14ac:dyDescent="0.3">
      <c r="D17" s="9" t="s">
        <v>64</v>
      </c>
      <c r="F17" s="9" t="s">
        <v>92</v>
      </c>
      <c r="X17" s="47"/>
    </row>
    <row r="18" spans="4:24" ht="12" customHeight="1" x14ac:dyDescent="0.3">
      <c r="D18" s="9" t="s">
        <v>93</v>
      </c>
      <c r="F18" s="9" t="s">
        <v>94</v>
      </c>
      <c r="X18" s="47"/>
    </row>
    <row r="19" spans="4:24" ht="12" customHeight="1" x14ac:dyDescent="0.3">
      <c r="D19" s="9" t="s">
        <v>95</v>
      </c>
      <c r="F19" s="9" t="s">
        <v>96</v>
      </c>
      <c r="X19" s="47"/>
    </row>
    <row r="20" spans="4:24" ht="12" customHeight="1" x14ac:dyDescent="0.3">
      <c r="D20" s="9" t="s">
        <v>97</v>
      </c>
      <c r="F20" s="9" t="s">
        <v>98</v>
      </c>
      <c r="X20" s="47"/>
    </row>
    <row r="21" spans="4:24" ht="12" customHeight="1" x14ac:dyDescent="0.3">
      <c r="D21" s="9" t="s">
        <v>99</v>
      </c>
      <c r="F21" s="9" t="s">
        <v>100</v>
      </c>
      <c r="X21" s="47"/>
    </row>
    <row r="22" spans="4:24" ht="12" customHeight="1" x14ac:dyDescent="0.3">
      <c r="D22" s="9" t="s">
        <v>101</v>
      </c>
      <c r="F22" s="9" t="s">
        <v>102</v>
      </c>
      <c r="X22" s="47"/>
    </row>
    <row r="23" spans="4:24" ht="12" customHeight="1" x14ac:dyDescent="0.3">
      <c r="D23" s="9" t="s">
        <v>103</v>
      </c>
      <c r="F23" s="9" t="s">
        <v>104</v>
      </c>
      <c r="X23" s="47"/>
    </row>
    <row r="24" spans="4:24" ht="12" customHeight="1" x14ac:dyDescent="0.3">
      <c r="D24" s="9" t="s">
        <v>105</v>
      </c>
      <c r="F24" s="9" t="s">
        <v>106</v>
      </c>
      <c r="X24" s="47"/>
    </row>
    <row r="25" spans="4:24" ht="12" customHeight="1" x14ac:dyDescent="0.3">
      <c r="D25" s="9" t="s">
        <v>107</v>
      </c>
      <c r="F25" s="9" t="s">
        <v>108</v>
      </c>
      <c r="X25" s="47"/>
    </row>
    <row r="26" spans="4:24" ht="12" customHeight="1" x14ac:dyDescent="0.3">
      <c r="D26" s="9" t="s">
        <v>109</v>
      </c>
      <c r="F26" s="9" t="s">
        <v>110</v>
      </c>
      <c r="X26" s="47"/>
    </row>
    <row r="27" spans="4:24" ht="12" customHeight="1" x14ac:dyDescent="0.3">
      <c r="D27" s="9" t="s">
        <v>111</v>
      </c>
      <c r="F27" s="9" t="s">
        <v>112</v>
      </c>
      <c r="X27" s="47"/>
    </row>
    <row r="28" spans="4:24" ht="12" customHeight="1" x14ac:dyDescent="0.3">
      <c r="D28" s="9" t="s">
        <v>113</v>
      </c>
      <c r="F28" s="9" t="s">
        <v>114</v>
      </c>
      <c r="X28" s="47"/>
    </row>
    <row r="29" spans="4:24" ht="12" customHeight="1" x14ac:dyDescent="0.3">
      <c r="D29" s="9" t="s">
        <v>115</v>
      </c>
      <c r="F29" s="9" t="s">
        <v>116</v>
      </c>
      <c r="X29" s="47"/>
    </row>
    <row r="30" spans="4:24" ht="12" customHeight="1" x14ac:dyDescent="0.3">
      <c r="D30" s="9" t="s">
        <v>117</v>
      </c>
      <c r="F30" s="9" t="s">
        <v>118</v>
      </c>
      <c r="X30" s="47"/>
    </row>
    <row r="31" spans="4:24" ht="12" customHeight="1" x14ac:dyDescent="0.3">
      <c r="D31" s="9" t="s">
        <v>119</v>
      </c>
      <c r="F31" s="9" t="s">
        <v>120</v>
      </c>
      <c r="X31" s="47"/>
    </row>
    <row r="32" spans="4:24" ht="12" customHeight="1" x14ac:dyDescent="0.3">
      <c r="D32" s="9" t="s">
        <v>121</v>
      </c>
      <c r="F32" s="9" t="s">
        <v>122</v>
      </c>
      <c r="X32" s="47"/>
    </row>
    <row r="33" spans="4:24" ht="12" customHeight="1" x14ac:dyDescent="0.3">
      <c r="D33" s="9" t="s">
        <v>123</v>
      </c>
      <c r="F33" s="9" t="s">
        <v>124</v>
      </c>
      <c r="X33" s="47"/>
    </row>
    <row r="34" spans="4:24" ht="12" customHeight="1" x14ac:dyDescent="0.3">
      <c r="D34" s="9" t="s">
        <v>125</v>
      </c>
      <c r="F34" s="9" t="s">
        <v>126</v>
      </c>
      <c r="X34" s="47"/>
    </row>
    <row r="35" spans="4:24" ht="12" customHeight="1" x14ac:dyDescent="0.3">
      <c r="D35" s="9" t="s">
        <v>127</v>
      </c>
      <c r="F35" s="9" t="s">
        <v>128</v>
      </c>
      <c r="X35" s="47"/>
    </row>
    <row r="36" spans="4:24" ht="12" customHeight="1" x14ac:dyDescent="0.3">
      <c r="F36" s="9" t="s">
        <v>129</v>
      </c>
      <c r="X36" s="47"/>
    </row>
    <row r="37" spans="4:24" ht="12" customHeight="1" x14ac:dyDescent="0.3">
      <c r="F37" s="9" t="s">
        <v>130</v>
      </c>
      <c r="X37" s="47"/>
    </row>
    <row r="38" spans="4:24" ht="12" customHeight="1" x14ac:dyDescent="0.3">
      <c r="X38" s="47"/>
    </row>
    <row r="39" spans="4:24" ht="12" customHeight="1" x14ac:dyDescent="0.3">
      <c r="X39" s="47"/>
    </row>
    <row r="40" spans="4:24" ht="12" customHeight="1" x14ac:dyDescent="0.3">
      <c r="X40" s="47"/>
    </row>
    <row r="41" spans="4:24" ht="12" customHeight="1" x14ac:dyDescent="0.3">
      <c r="X41" s="47"/>
    </row>
    <row r="42" spans="4:24" ht="12" customHeight="1" x14ac:dyDescent="0.3">
      <c r="X42" s="47"/>
    </row>
    <row r="43" spans="4:24" ht="12" customHeight="1" x14ac:dyDescent="0.3">
      <c r="X43" s="47"/>
    </row>
    <row r="44" spans="4:24" ht="12" customHeight="1" x14ac:dyDescent="0.3">
      <c r="X44" s="47"/>
    </row>
    <row r="45" spans="4:24" ht="12" customHeight="1" x14ac:dyDescent="0.3">
      <c r="X45" s="47"/>
    </row>
    <row r="46" spans="4:24" ht="12" customHeight="1" x14ac:dyDescent="0.3">
      <c r="X46" s="47"/>
    </row>
    <row r="47" spans="4:24" ht="12" customHeight="1" x14ac:dyDescent="0.3">
      <c r="X47" s="47"/>
    </row>
    <row r="48" spans="4:24" ht="12" customHeight="1" x14ac:dyDescent="0.3">
      <c r="X48" s="47"/>
    </row>
    <row r="49" spans="24:24" ht="12" customHeight="1" x14ac:dyDescent="0.3">
      <c r="X49" s="47"/>
    </row>
    <row r="50" spans="24:24" ht="12" customHeight="1" x14ac:dyDescent="0.25"/>
    <row r="51" spans="24:24" ht="12" customHeight="1" x14ac:dyDescent="0.25"/>
    <row r="52" spans="24:24" ht="12" customHeight="1" x14ac:dyDescent="0.25"/>
    <row r="53" spans="24:24" ht="12" customHeight="1" x14ac:dyDescent="0.25"/>
    <row r="54" spans="24:24" ht="12" customHeight="1" x14ac:dyDescent="0.25"/>
    <row r="55" spans="24:24" ht="12" customHeight="1" x14ac:dyDescent="0.25"/>
    <row r="56" spans="24:24" ht="12" customHeight="1" x14ac:dyDescent="0.25"/>
    <row r="57" spans="24:24" ht="12" customHeight="1" x14ac:dyDescent="0.25"/>
    <row r="58" spans="24:24" ht="12" customHeight="1" x14ac:dyDescent="0.25"/>
    <row r="59" spans="24:24" ht="12" customHeight="1" x14ac:dyDescent="0.25"/>
    <row r="60" spans="24:24" ht="12" customHeight="1" x14ac:dyDescent="0.25"/>
    <row r="61" spans="24:24" ht="12" customHeight="1" x14ac:dyDescent="0.25"/>
    <row r="62" spans="24:24" ht="12" customHeight="1" x14ac:dyDescent="0.25"/>
    <row r="63" spans="24:24" ht="12" customHeight="1" x14ac:dyDescent="0.25"/>
    <row r="64" spans="24:2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Data_Check</vt:lpstr>
      <vt:lpstr>Data_Val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sravan.kumar@eteamworks.com</cp:lastModifiedBy>
  <dcterms:modified xsi:type="dcterms:W3CDTF">2026-03-10T11:26:16Z</dcterms:modified>
</cp:coreProperties>
</file>